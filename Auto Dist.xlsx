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7005112.sharepoint.com/sites/ConfidentialDrive/Shared Documents/2. Financial/C. Accounting/e. Controller's Folders/Gabe's Projects/"/>
    </mc:Choice>
  </mc:AlternateContent>
  <xr:revisionPtr revIDLastSave="59" documentId="8_{BB8DCF8B-DBBF-4692-A1E7-E68E25A06544}" xr6:coauthVersionLast="47" xr6:coauthVersionMax="47" xr10:uidLastSave="{94C878DD-710A-40B7-B80A-2EB87A9BE14F}"/>
  <bookViews>
    <workbookView minimized="1" xWindow="5760" yWindow="2355" windowWidth="21600" windowHeight="4650" activeTab="2" xr2:uid="{00000000-000D-0000-FFFF-FFFF00000000}"/>
  </bookViews>
  <sheets>
    <sheet name="Posted Sales Invoices" sheetId="5" r:id="rId1"/>
    <sheet name="Posted Sales Invoice Lines" sheetId="6" r:id="rId2"/>
    <sheet name="Combined Invoices &amp; Lines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B2" i="7"/>
  <c r="C2" i="7"/>
  <c r="D2" i="7"/>
  <c r="E2" i="7"/>
  <c r="F2" i="7"/>
  <c r="G2" i="7"/>
  <c r="H2" i="7"/>
  <c r="I2" i="7"/>
  <c r="A3" i="7"/>
  <c r="B3" i="7"/>
  <c r="C3" i="7"/>
  <c r="D3" i="7"/>
  <c r="E3" i="7"/>
  <c r="F3" i="7"/>
  <c r="G3" i="7"/>
  <c r="H3" i="7"/>
  <c r="I3" i="7"/>
  <c r="A4" i="7"/>
  <c r="B4" i="7"/>
  <c r="C4" i="7"/>
  <c r="D4" i="7"/>
  <c r="E4" i="7"/>
  <c r="F4" i="7"/>
  <c r="G4" i="7"/>
  <c r="H4" i="7"/>
  <c r="I4" i="7"/>
  <c r="A5" i="7"/>
  <c r="B5" i="7"/>
  <c r="C5" i="7"/>
  <c r="D5" i="7"/>
  <c r="E5" i="7"/>
  <c r="F5" i="7"/>
  <c r="G5" i="7"/>
  <c r="H5" i="7"/>
  <c r="I5" i="7"/>
  <c r="A6" i="7"/>
  <c r="B6" i="7"/>
  <c r="C6" i="7"/>
  <c r="D6" i="7"/>
  <c r="E6" i="7"/>
  <c r="F6" i="7"/>
  <c r="G6" i="7"/>
  <c r="H6" i="7"/>
  <c r="I6" i="7"/>
  <c r="A7" i="7"/>
  <c r="B7" i="7"/>
  <c r="C7" i="7"/>
  <c r="D7" i="7"/>
  <c r="E7" i="7"/>
  <c r="F7" i="7"/>
  <c r="G7" i="7"/>
  <c r="H7" i="7"/>
  <c r="I7" i="7"/>
  <c r="A8" i="7"/>
  <c r="B8" i="7"/>
  <c r="C8" i="7"/>
  <c r="D8" i="7"/>
  <c r="E8" i="7"/>
  <c r="F8" i="7"/>
  <c r="G8" i="7"/>
  <c r="H8" i="7"/>
  <c r="I8" i="7"/>
  <c r="A9" i="7"/>
  <c r="B9" i="7"/>
  <c r="C9" i="7"/>
  <c r="D9" i="7"/>
  <c r="E9" i="7"/>
  <c r="F9" i="7"/>
  <c r="G9" i="7"/>
  <c r="H9" i="7"/>
  <c r="I9" i="7"/>
  <c r="A10" i="7"/>
  <c r="B10" i="7"/>
  <c r="C10" i="7"/>
  <c r="D10" i="7"/>
  <c r="E10" i="7"/>
  <c r="F10" i="7"/>
  <c r="G10" i="7"/>
  <c r="H10" i="7"/>
  <c r="I10" i="7"/>
  <c r="A11" i="7"/>
  <c r="B11" i="7"/>
  <c r="C11" i="7"/>
  <c r="D11" i="7"/>
  <c r="E11" i="7"/>
  <c r="F11" i="7"/>
  <c r="G11" i="7"/>
  <c r="H11" i="7"/>
  <c r="I11" i="7"/>
  <c r="A12" i="7"/>
  <c r="B12" i="7"/>
  <c r="C12" i="7"/>
  <c r="D12" i="7"/>
  <c r="E12" i="7"/>
  <c r="F12" i="7"/>
  <c r="G12" i="7"/>
  <c r="H12" i="7"/>
  <c r="I12" i="7"/>
  <c r="A13" i="7"/>
  <c r="B13" i="7"/>
  <c r="C13" i="7"/>
  <c r="D13" i="7"/>
  <c r="E13" i="7"/>
  <c r="F13" i="7"/>
  <c r="G13" i="7"/>
  <c r="H13" i="7"/>
  <c r="I13" i="7"/>
  <c r="A14" i="7"/>
  <c r="B14" i="7"/>
  <c r="C14" i="7"/>
  <c r="D14" i="7"/>
  <c r="E14" i="7"/>
  <c r="F14" i="7"/>
  <c r="G14" i="7"/>
  <c r="H14" i="7"/>
  <c r="I14" i="7"/>
  <c r="A15" i="7"/>
  <c r="B15" i="7"/>
  <c r="C15" i="7"/>
  <c r="D15" i="7"/>
  <c r="E15" i="7"/>
  <c r="F15" i="7"/>
  <c r="G15" i="7"/>
  <c r="H15" i="7"/>
  <c r="I15" i="7"/>
  <c r="A16" i="7"/>
  <c r="B16" i="7"/>
  <c r="C16" i="7"/>
  <c r="D16" i="7"/>
  <c r="E16" i="7"/>
  <c r="F16" i="7"/>
  <c r="G16" i="7"/>
  <c r="H16" i="7"/>
  <c r="I16" i="7"/>
  <c r="A17" i="7"/>
  <c r="B17" i="7"/>
  <c r="C17" i="7"/>
  <c r="D17" i="7"/>
  <c r="E17" i="7"/>
  <c r="F17" i="7"/>
  <c r="G17" i="7"/>
  <c r="H17" i="7"/>
  <c r="I17" i="7"/>
  <c r="A18" i="7"/>
  <c r="B18" i="7"/>
  <c r="C18" i="7"/>
  <c r="D18" i="7"/>
  <c r="E18" i="7"/>
  <c r="F18" i="7"/>
  <c r="G18" i="7"/>
  <c r="H18" i="7"/>
  <c r="I18" i="7"/>
  <c r="A19" i="7"/>
  <c r="B19" i="7"/>
  <c r="C19" i="7"/>
  <c r="D19" i="7"/>
  <c r="E19" i="7"/>
  <c r="F19" i="7"/>
  <c r="G19" i="7"/>
  <c r="H19" i="7"/>
  <c r="I19" i="7"/>
  <c r="A20" i="7"/>
  <c r="B20" i="7"/>
  <c r="C20" i="7"/>
  <c r="D20" i="7"/>
  <c r="E20" i="7"/>
  <c r="F20" i="7"/>
  <c r="G20" i="7"/>
  <c r="H20" i="7"/>
  <c r="I20" i="7"/>
  <c r="A21" i="7"/>
  <c r="B21" i="7"/>
  <c r="C21" i="7"/>
  <c r="D21" i="7"/>
  <c r="E21" i="7"/>
  <c r="F21" i="7"/>
  <c r="G21" i="7"/>
  <c r="H21" i="7"/>
  <c r="I21" i="7"/>
  <c r="A22" i="7"/>
  <c r="B22" i="7"/>
  <c r="C22" i="7"/>
  <c r="D22" i="7"/>
  <c r="E22" i="7"/>
  <c r="F22" i="7"/>
  <c r="G22" i="7"/>
  <c r="H22" i="7"/>
  <c r="I22" i="7"/>
  <c r="A23" i="7"/>
  <c r="B23" i="7"/>
  <c r="C23" i="7"/>
  <c r="D23" i="7"/>
  <c r="E23" i="7"/>
  <c r="F23" i="7"/>
  <c r="G23" i="7"/>
  <c r="H23" i="7"/>
  <c r="I23" i="7"/>
  <c r="A24" i="7"/>
  <c r="B24" i="7"/>
  <c r="C24" i="7"/>
  <c r="D24" i="7"/>
  <c r="E24" i="7"/>
  <c r="F24" i="7"/>
  <c r="G24" i="7"/>
  <c r="H24" i="7"/>
  <c r="I24" i="7"/>
  <c r="A25" i="7"/>
  <c r="B25" i="7"/>
  <c r="C25" i="7"/>
  <c r="D25" i="7"/>
  <c r="E25" i="7"/>
  <c r="F25" i="7"/>
  <c r="G25" i="7"/>
  <c r="H25" i="7"/>
  <c r="I25" i="7"/>
  <c r="A26" i="7"/>
  <c r="B26" i="7"/>
  <c r="C26" i="7"/>
  <c r="D26" i="7"/>
  <c r="E26" i="7"/>
  <c r="F26" i="7"/>
  <c r="G26" i="7"/>
  <c r="H26" i="7"/>
  <c r="I26" i="7"/>
  <c r="A27" i="7"/>
  <c r="B27" i="7"/>
  <c r="C27" i="7"/>
  <c r="D27" i="7"/>
  <c r="E27" i="7"/>
  <c r="F27" i="7"/>
  <c r="G27" i="7"/>
  <c r="H27" i="7"/>
  <c r="I27" i="7"/>
  <c r="A28" i="7"/>
  <c r="B28" i="7"/>
  <c r="C28" i="7"/>
  <c r="D28" i="7"/>
  <c r="E28" i="7"/>
  <c r="F28" i="7"/>
  <c r="G28" i="7"/>
  <c r="H28" i="7"/>
  <c r="I28" i="7"/>
  <c r="A29" i="7"/>
  <c r="B29" i="7"/>
  <c r="C29" i="7"/>
  <c r="D29" i="7"/>
  <c r="E29" i="7"/>
  <c r="F29" i="7"/>
  <c r="G29" i="7"/>
  <c r="H29" i="7"/>
  <c r="I29" i="7"/>
  <c r="A30" i="7"/>
  <c r="B30" i="7"/>
  <c r="C30" i="7"/>
  <c r="D30" i="7"/>
  <c r="E30" i="7"/>
  <c r="F30" i="7"/>
  <c r="G30" i="7"/>
  <c r="H30" i="7"/>
  <c r="I30" i="7"/>
  <c r="A31" i="7"/>
  <c r="B31" i="7"/>
  <c r="C31" i="7"/>
  <c r="D31" i="7"/>
  <c r="E31" i="7"/>
  <c r="F31" i="7"/>
  <c r="G31" i="7"/>
  <c r="H31" i="7"/>
  <c r="I31" i="7"/>
  <c r="A32" i="7"/>
  <c r="B32" i="7"/>
  <c r="C32" i="7"/>
  <c r="D32" i="7"/>
  <c r="E32" i="7"/>
  <c r="F32" i="7"/>
  <c r="G32" i="7"/>
  <c r="H32" i="7"/>
  <c r="I32" i="7"/>
  <c r="A33" i="7"/>
  <c r="B33" i="7"/>
  <c r="C33" i="7"/>
  <c r="D33" i="7"/>
  <c r="E33" i="7"/>
  <c r="F33" i="7"/>
  <c r="G33" i="7"/>
  <c r="H33" i="7"/>
  <c r="I33" i="7"/>
  <c r="A34" i="7"/>
  <c r="B34" i="7"/>
  <c r="C34" i="7"/>
  <c r="D34" i="7"/>
  <c r="E34" i="7"/>
  <c r="F34" i="7"/>
  <c r="G34" i="7"/>
  <c r="H34" i="7"/>
  <c r="I34" i="7"/>
  <c r="A35" i="7"/>
  <c r="B35" i="7"/>
  <c r="C35" i="7"/>
  <c r="D35" i="7"/>
  <c r="E35" i="7"/>
  <c r="F35" i="7"/>
  <c r="G35" i="7"/>
  <c r="H35" i="7"/>
  <c r="I35" i="7"/>
  <c r="A36" i="7"/>
  <c r="B36" i="7"/>
  <c r="C36" i="7"/>
  <c r="D36" i="7"/>
  <c r="E36" i="7"/>
  <c r="F36" i="7"/>
  <c r="G36" i="7"/>
  <c r="H36" i="7"/>
  <c r="I36" i="7"/>
  <c r="A37" i="7"/>
  <c r="B37" i="7"/>
  <c r="C37" i="7"/>
  <c r="D37" i="7"/>
  <c r="E37" i="7"/>
  <c r="F37" i="7"/>
  <c r="G37" i="7"/>
  <c r="H37" i="7"/>
  <c r="I37" i="7"/>
  <c r="A38" i="7"/>
  <c r="B38" i="7"/>
  <c r="C38" i="7"/>
  <c r="D38" i="7"/>
  <c r="E38" i="7"/>
  <c r="F38" i="7"/>
  <c r="G38" i="7"/>
  <c r="H38" i="7"/>
  <c r="I38" i="7"/>
  <c r="A39" i="7"/>
  <c r="B39" i="7"/>
  <c r="C39" i="7"/>
  <c r="D39" i="7"/>
  <c r="E39" i="7"/>
  <c r="F39" i="7"/>
  <c r="G39" i="7"/>
  <c r="H39" i="7"/>
  <c r="I39" i="7"/>
  <c r="A40" i="7"/>
  <c r="B40" i="7"/>
  <c r="C40" i="7"/>
  <c r="D40" i="7"/>
  <c r="E40" i="7"/>
  <c r="F40" i="7"/>
  <c r="G40" i="7"/>
  <c r="H40" i="7"/>
  <c r="I40" i="7"/>
  <c r="A41" i="7"/>
  <c r="B41" i="7"/>
  <c r="C41" i="7"/>
  <c r="D41" i="7"/>
  <c r="E41" i="7"/>
  <c r="F41" i="7"/>
  <c r="G41" i="7"/>
  <c r="H41" i="7"/>
  <c r="I41" i="7"/>
  <c r="A42" i="7"/>
  <c r="B42" i="7"/>
  <c r="C42" i="7"/>
  <c r="D42" i="7"/>
  <c r="E42" i="7"/>
  <c r="F42" i="7"/>
  <c r="G42" i="7"/>
  <c r="H42" i="7"/>
  <c r="I42" i="7"/>
  <c r="A43" i="7"/>
  <c r="B43" i="7"/>
  <c r="C43" i="7"/>
  <c r="D43" i="7"/>
  <c r="E43" i="7"/>
  <c r="F43" i="7"/>
  <c r="G43" i="7"/>
  <c r="H43" i="7"/>
  <c r="I43" i="7"/>
  <c r="A44" i="7"/>
  <c r="B44" i="7"/>
  <c r="C44" i="7"/>
  <c r="D44" i="7"/>
  <c r="E44" i="7"/>
  <c r="F44" i="7"/>
  <c r="G44" i="7"/>
  <c r="H44" i="7"/>
  <c r="I44" i="7"/>
  <c r="A45" i="7"/>
  <c r="B45" i="7"/>
  <c r="C45" i="7"/>
  <c r="D45" i="7"/>
  <c r="E45" i="7"/>
  <c r="F45" i="7"/>
  <c r="G45" i="7"/>
  <c r="H45" i="7"/>
  <c r="I45" i="7"/>
  <c r="A46" i="7"/>
  <c r="B46" i="7"/>
  <c r="C46" i="7"/>
  <c r="D46" i="7"/>
  <c r="E46" i="7"/>
  <c r="F46" i="7"/>
  <c r="G46" i="7"/>
  <c r="H46" i="7"/>
  <c r="I46" i="7"/>
  <c r="A47" i="7"/>
  <c r="B47" i="7"/>
  <c r="C47" i="7"/>
  <c r="D47" i="7"/>
  <c r="E47" i="7"/>
  <c r="F47" i="7"/>
  <c r="G47" i="7"/>
  <c r="H47" i="7"/>
  <c r="I47" i="7"/>
  <c r="A48" i="7"/>
  <c r="B48" i="7"/>
  <c r="C48" i="7"/>
  <c r="D48" i="7"/>
  <c r="E48" i="7"/>
  <c r="F48" i="7"/>
  <c r="G48" i="7"/>
  <c r="H48" i="7"/>
  <c r="I48" i="7"/>
  <c r="A49" i="7"/>
  <c r="B49" i="7"/>
  <c r="C49" i="7"/>
  <c r="D49" i="7"/>
  <c r="E49" i="7"/>
  <c r="F49" i="7"/>
  <c r="G49" i="7"/>
  <c r="H49" i="7"/>
  <c r="I49" i="7"/>
  <c r="A50" i="7"/>
  <c r="B50" i="7"/>
  <c r="C50" i="7"/>
  <c r="D50" i="7"/>
  <c r="E50" i="7"/>
  <c r="F50" i="7"/>
  <c r="G50" i="7"/>
  <c r="H50" i="7"/>
  <c r="I50" i="7"/>
  <c r="A51" i="7"/>
  <c r="B51" i="7"/>
  <c r="C51" i="7"/>
  <c r="D51" i="7"/>
  <c r="E51" i="7"/>
  <c r="F51" i="7"/>
  <c r="G51" i="7"/>
  <c r="H51" i="7"/>
  <c r="I51" i="7"/>
  <c r="A52" i="7"/>
  <c r="B52" i="7"/>
  <c r="C52" i="7"/>
  <c r="D52" i="7"/>
  <c r="E52" i="7"/>
  <c r="F52" i="7"/>
  <c r="G52" i="7"/>
  <c r="H52" i="7"/>
  <c r="I52" i="7"/>
  <c r="A53" i="7"/>
  <c r="B53" i="7"/>
  <c r="C53" i="7"/>
  <c r="D53" i="7"/>
  <c r="E53" i="7"/>
  <c r="F53" i="7"/>
  <c r="G53" i="7"/>
  <c r="H53" i="7"/>
  <c r="I53" i="7"/>
  <c r="A54" i="7"/>
  <c r="B54" i="7"/>
  <c r="C54" i="7"/>
  <c r="D54" i="7"/>
  <c r="E54" i="7"/>
  <c r="F54" i="7"/>
  <c r="G54" i="7"/>
  <c r="H54" i="7"/>
  <c r="I54" i="7"/>
  <c r="A55" i="7"/>
  <c r="B55" i="7"/>
  <c r="C55" i="7"/>
  <c r="D55" i="7"/>
  <c r="E55" i="7"/>
  <c r="F55" i="7"/>
  <c r="G55" i="7"/>
  <c r="H55" i="7"/>
  <c r="I55" i="7"/>
  <c r="A56" i="7"/>
  <c r="B56" i="7"/>
  <c r="C56" i="7"/>
  <c r="D56" i="7"/>
  <c r="E56" i="7"/>
  <c r="F56" i="7"/>
  <c r="G56" i="7"/>
  <c r="H56" i="7"/>
  <c r="I56" i="7"/>
  <c r="A57" i="7"/>
  <c r="B57" i="7"/>
  <c r="C57" i="7"/>
  <c r="D57" i="7"/>
  <c r="E57" i="7"/>
  <c r="F57" i="7"/>
  <c r="G57" i="7"/>
  <c r="H57" i="7"/>
  <c r="I57" i="7"/>
  <c r="A58" i="7"/>
  <c r="B58" i="7"/>
  <c r="C58" i="7"/>
  <c r="D58" i="7"/>
  <c r="E58" i="7"/>
  <c r="F58" i="7"/>
  <c r="G58" i="7"/>
  <c r="H58" i="7"/>
  <c r="I58" i="7"/>
  <c r="A59" i="7"/>
  <c r="B59" i="7"/>
  <c r="C59" i="7"/>
  <c r="D59" i="7"/>
  <c r="E59" i="7"/>
  <c r="F59" i="7"/>
  <c r="G59" i="7"/>
  <c r="H59" i="7"/>
  <c r="I59" i="7"/>
  <c r="A60" i="7"/>
  <c r="B60" i="7"/>
  <c r="C60" i="7"/>
  <c r="D60" i="7"/>
  <c r="E60" i="7"/>
  <c r="F60" i="7"/>
  <c r="G60" i="7"/>
  <c r="H60" i="7"/>
  <c r="I60" i="7"/>
  <c r="A61" i="7"/>
  <c r="B61" i="7"/>
  <c r="C61" i="7"/>
  <c r="D61" i="7"/>
  <c r="E61" i="7"/>
  <c r="F61" i="7"/>
  <c r="G61" i="7"/>
  <c r="H61" i="7"/>
  <c r="I61" i="7"/>
  <c r="A62" i="7"/>
  <c r="B62" i="7"/>
  <c r="C62" i="7"/>
  <c r="D62" i="7"/>
  <c r="E62" i="7"/>
  <c r="F62" i="7"/>
  <c r="G62" i="7"/>
  <c r="H62" i="7"/>
  <c r="I62" i="7"/>
  <c r="A63" i="7"/>
  <c r="B63" i="7"/>
  <c r="C63" i="7"/>
  <c r="D63" i="7"/>
  <c r="E63" i="7"/>
  <c r="F63" i="7"/>
  <c r="G63" i="7"/>
  <c r="H63" i="7"/>
  <c r="I63" i="7"/>
  <c r="A64" i="7"/>
  <c r="B64" i="7"/>
  <c r="C64" i="7"/>
  <c r="D64" i="7"/>
  <c r="E64" i="7"/>
  <c r="F64" i="7"/>
  <c r="G64" i="7"/>
  <c r="H64" i="7"/>
  <c r="I64" i="7"/>
  <c r="A65" i="7"/>
  <c r="B65" i="7"/>
  <c r="C65" i="7"/>
  <c r="D65" i="7"/>
  <c r="E65" i="7"/>
  <c r="F65" i="7"/>
  <c r="G65" i="7"/>
  <c r="H65" i="7"/>
  <c r="I65" i="7"/>
  <c r="A66" i="7"/>
  <c r="B66" i="7"/>
  <c r="C66" i="7"/>
  <c r="D66" i="7"/>
  <c r="E66" i="7"/>
  <c r="F66" i="7"/>
  <c r="G66" i="7"/>
  <c r="H66" i="7"/>
  <c r="I66" i="7"/>
  <c r="A67" i="7"/>
  <c r="B67" i="7"/>
  <c r="C67" i="7"/>
  <c r="D67" i="7"/>
  <c r="E67" i="7"/>
  <c r="F67" i="7"/>
  <c r="G67" i="7"/>
  <c r="H67" i="7"/>
  <c r="I67" i="7"/>
  <c r="A68" i="7"/>
  <c r="B68" i="7"/>
  <c r="C68" i="7"/>
  <c r="D68" i="7"/>
  <c r="E68" i="7"/>
  <c r="F68" i="7"/>
  <c r="G68" i="7"/>
  <c r="H68" i="7"/>
  <c r="I68" i="7"/>
  <c r="A69" i="7"/>
  <c r="B69" i="7"/>
  <c r="C69" i="7"/>
  <c r="D69" i="7"/>
  <c r="E69" i="7"/>
  <c r="F69" i="7"/>
  <c r="G69" i="7"/>
  <c r="H69" i="7"/>
  <c r="I69" i="7"/>
  <c r="A70" i="7"/>
  <c r="B70" i="7"/>
  <c r="C70" i="7"/>
  <c r="D70" i="7"/>
  <c r="E70" i="7"/>
  <c r="F70" i="7"/>
  <c r="G70" i="7"/>
  <c r="H70" i="7"/>
  <c r="I70" i="7"/>
  <c r="A71" i="7"/>
  <c r="B71" i="7"/>
  <c r="C71" i="7"/>
  <c r="D71" i="7"/>
  <c r="E71" i="7"/>
  <c r="F71" i="7"/>
  <c r="G71" i="7"/>
  <c r="H71" i="7"/>
  <c r="I71" i="7"/>
  <c r="A72" i="7"/>
  <c r="B72" i="7"/>
  <c r="C72" i="7"/>
  <c r="D72" i="7"/>
  <c r="E72" i="7"/>
  <c r="F72" i="7"/>
  <c r="G72" i="7"/>
  <c r="H72" i="7"/>
  <c r="I72" i="7"/>
  <c r="A73" i="7"/>
  <c r="B73" i="7"/>
  <c r="C73" i="7"/>
  <c r="D73" i="7"/>
  <c r="E73" i="7"/>
  <c r="F73" i="7"/>
  <c r="G73" i="7"/>
  <c r="H73" i="7"/>
  <c r="I73" i="7"/>
  <c r="A74" i="7"/>
  <c r="B74" i="7"/>
  <c r="C74" i="7"/>
  <c r="D74" i="7"/>
  <c r="E74" i="7"/>
  <c r="F74" i="7"/>
  <c r="G74" i="7"/>
  <c r="H74" i="7"/>
  <c r="I74" i="7"/>
  <c r="A75" i="7"/>
  <c r="B75" i="7"/>
  <c r="C75" i="7"/>
  <c r="D75" i="7"/>
  <c r="E75" i="7"/>
  <c r="F75" i="7"/>
  <c r="G75" i="7"/>
  <c r="H75" i="7"/>
  <c r="I75" i="7"/>
  <c r="A76" i="7"/>
  <c r="B76" i="7"/>
  <c r="C76" i="7"/>
  <c r="D76" i="7"/>
  <c r="E76" i="7"/>
  <c r="F76" i="7"/>
  <c r="G76" i="7"/>
  <c r="H76" i="7"/>
  <c r="I76" i="7"/>
  <c r="A77" i="7"/>
  <c r="B77" i="7"/>
  <c r="C77" i="7"/>
  <c r="D77" i="7"/>
  <c r="E77" i="7"/>
  <c r="F77" i="7"/>
  <c r="G77" i="7"/>
  <c r="H77" i="7"/>
  <c r="I77" i="7"/>
  <c r="A78" i="7"/>
  <c r="B78" i="7"/>
  <c r="C78" i="7"/>
  <c r="D78" i="7"/>
  <c r="E78" i="7"/>
  <c r="F78" i="7"/>
  <c r="G78" i="7"/>
  <c r="H78" i="7"/>
  <c r="I78" i="7"/>
  <c r="A79" i="7"/>
  <c r="B79" i="7"/>
  <c r="C79" i="7"/>
  <c r="D79" i="7"/>
  <c r="E79" i="7"/>
  <c r="F79" i="7"/>
  <c r="G79" i="7"/>
  <c r="H79" i="7"/>
  <c r="I79" i="7"/>
  <c r="A80" i="7"/>
  <c r="B80" i="7"/>
  <c r="C80" i="7"/>
  <c r="D80" i="7"/>
  <c r="E80" i="7"/>
  <c r="F80" i="7"/>
  <c r="G80" i="7"/>
  <c r="H80" i="7"/>
  <c r="I80" i="7"/>
  <c r="A81" i="7"/>
  <c r="B81" i="7"/>
  <c r="C81" i="7"/>
  <c r="D81" i="7"/>
  <c r="E81" i="7"/>
  <c r="F81" i="7"/>
  <c r="G81" i="7"/>
  <c r="H81" i="7"/>
  <c r="I81" i="7"/>
  <c r="A82" i="7"/>
  <c r="B82" i="7"/>
  <c r="C82" i="7"/>
  <c r="D82" i="7"/>
  <c r="E82" i="7"/>
  <c r="F82" i="7"/>
  <c r="G82" i="7"/>
  <c r="H82" i="7"/>
  <c r="I82" i="7"/>
  <c r="A83" i="7"/>
  <c r="B83" i="7"/>
  <c r="C83" i="7"/>
  <c r="D83" i="7"/>
  <c r="E83" i="7"/>
  <c r="F83" i="7"/>
  <c r="G83" i="7"/>
  <c r="H83" i="7"/>
  <c r="I83" i="7"/>
  <c r="A84" i="7"/>
  <c r="B84" i="7"/>
  <c r="C84" i="7"/>
  <c r="D84" i="7"/>
  <c r="E84" i="7"/>
  <c r="F84" i="7"/>
  <c r="G84" i="7"/>
  <c r="H84" i="7"/>
  <c r="I84" i="7"/>
  <c r="A85" i="7"/>
  <c r="B85" i="7"/>
  <c r="C85" i="7"/>
  <c r="D85" i="7"/>
  <c r="E85" i="7"/>
  <c r="F85" i="7"/>
  <c r="G85" i="7"/>
  <c r="H85" i="7"/>
  <c r="I85" i="7"/>
  <c r="A86" i="7"/>
  <c r="B86" i="7"/>
  <c r="C86" i="7"/>
  <c r="D86" i="7"/>
  <c r="E86" i="7"/>
  <c r="F86" i="7"/>
  <c r="G86" i="7"/>
  <c r="H86" i="7"/>
  <c r="I86" i="7"/>
  <c r="A87" i="7"/>
  <c r="B87" i="7"/>
  <c r="C87" i="7"/>
  <c r="D87" i="7"/>
  <c r="E87" i="7"/>
  <c r="F87" i="7"/>
  <c r="G87" i="7"/>
  <c r="H87" i="7"/>
  <c r="I87" i="7"/>
  <c r="A88" i="7"/>
  <c r="B88" i="7"/>
  <c r="C88" i="7"/>
  <c r="D88" i="7"/>
  <c r="E88" i="7"/>
  <c r="F88" i="7"/>
  <c r="G88" i="7"/>
  <c r="H88" i="7"/>
  <c r="I88" i="7"/>
  <c r="A89" i="7"/>
  <c r="B89" i="7"/>
  <c r="C89" i="7"/>
  <c r="D89" i="7"/>
  <c r="E89" i="7"/>
  <c r="F89" i="7"/>
  <c r="G89" i="7"/>
  <c r="H89" i="7"/>
  <c r="I89" i="7"/>
  <c r="A90" i="7"/>
  <c r="B90" i="7"/>
  <c r="C90" i="7"/>
  <c r="D90" i="7"/>
  <c r="E90" i="7"/>
  <c r="F90" i="7"/>
  <c r="G90" i="7"/>
  <c r="H90" i="7"/>
  <c r="I90" i="7"/>
  <c r="A91" i="7"/>
  <c r="B91" i="7"/>
  <c r="C91" i="7"/>
  <c r="D91" i="7"/>
  <c r="E91" i="7"/>
  <c r="F91" i="7"/>
  <c r="G91" i="7"/>
  <c r="H91" i="7"/>
  <c r="I91" i="7"/>
  <c r="A92" i="7"/>
  <c r="B92" i="7"/>
  <c r="C92" i="7"/>
  <c r="D92" i="7"/>
  <c r="E92" i="7"/>
  <c r="F92" i="7"/>
  <c r="G92" i="7"/>
  <c r="H92" i="7"/>
  <c r="I92" i="7"/>
  <c r="A93" i="7"/>
  <c r="B93" i="7"/>
  <c r="C93" i="7"/>
  <c r="D93" i="7"/>
  <c r="E93" i="7"/>
  <c r="F93" i="7"/>
  <c r="G93" i="7"/>
  <c r="H93" i="7"/>
  <c r="I93" i="7"/>
  <c r="A94" i="7"/>
  <c r="B94" i="7"/>
  <c r="C94" i="7"/>
  <c r="D94" i="7"/>
  <c r="E94" i="7"/>
  <c r="F94" i="7"/>
  <c r="G94" i="7"/>
  <c r="H94" i="7"/>
  <c r="I94" i="7"/>
  <c r="A95" i="7"/>
  <c r="B95" i="7"/>
  <c r="C95" i="7"/>
  <c r="D95" i="7"/>
  <c r="E95" i="7"/>
  <c r="F95" i="7"/>
  <c r="G95" i="7"/>
  <c r="H95" i="7"/>
  <c r="I95" i="7"/>
  <c r="A96" i="7"/>
  <c r="B96" i="7"/>
  <c r="C96" i="7"/>
  <c r="D96" i="7"/>
  <c r="E96" i="7"/>
  <c r="F96" i="7"/>
  <c r="G96" i="7"/>
  <c r="H96" i="7"/>
  <c r="I96" i="7"/>
  <c r="A97" i="7"/>
  <c r="B97" i="7"/>
  <c r="C97" i="7"/>
  <c r="D97" i="7"/>
  <c r="E97" i="7"/>
  <c r="F97" i="7"/>
  <c r="G97" i="7"/>
  <c r="H97" i="7"/>
  <c r="I97" i="7"/>
  <c r="A98" i="7"/>
  <c r="B98" i="7"/>
  <c r="C98" i="7"/>
  <c r="D98" i="7"/>
  <c r="E98" i="7"/>
  <c r="F98" i="7"/>
  <c r="G98" i="7"/>
  <c r="H98" i="7"/>
  <c r="I98" i="7"/>
  <c r="A99" i="7"/>
  <c r="B99" i="7"/>
  <c r="C99" i="7"/>
  <c r="D99" i="7"/>
  <c r="E99" i="7"/>
  <c r="F99" i="7"/>
  <c r="G99" i="7"/>
  <c r="H99" i="7"/>
  <c r="I99" i="7"/>
  <c r="A100" i="7"/>
  <c r="B100" i="7"/>
  <c r="C100" i="7"/>
  <c r="D100" i="7"/>
  <c r="E100" i="7"/>
  <c r="F100" i="7"/>
  <c r="G100" i="7"/>
  <c r="H100" i="7"/>
  <c r="I100" i="7"/>
  <c r="A101" i="7"/>
  <c r="B101" i="7"/>
  <c r="C101" i="7"/>
  <c r="D101" i="7"/>
  <c r="E101" i="7"/>
  <c r="F101" i="7"/>
  <c r="G101" i="7"/>
  <c r="H101" i="7"/>
  <c r="I101" i="7"/>
  <c r="A102" i="7"/>
  <c r="B102" i="7"/>
  <c r="C102" i="7"/>
  <c r="D102" i="7"/>
  <c r="E102" i="7"/>
  <c r="F102" i="7"/>
  <c r="G102" i="7"/>
  <c r="H102" i="7"/>
  <c r="I102" i="7"/>
  <c r="A103" i="7"/>
  <c r="B103" i="7"/>
  <c r="C103" i="7"/>
  <c r="D103" i="7"/>
  <c r="E103" i="7"/>
  <c r="F103" i="7"/>
  <c r="G103" i="7"/>
  <c r="H103" i="7"/>
  <c r="I103" i="7"/>
  <c r="A104" i="7"/>
  <c r="B104" i="7"/>
  <c r="C104" i="7"/>
  <c r="D104" i="7"/>
  <c r="E104" i="7"/>
  <c r="F104" i="7"/>
  <c r="G104" i="7"/>
  <c r="H104" i="7"/>
  <c r="I104" i="7"/>
  <c r="A105" i="7"/>
  <c r="B105" i="7"/>
  <c r="C105" i="7"/>
  <c r="D105" i="7"/>
  <c r="E105" i="7"/>
  <c r="F105" i="7"/>
  <c r="G105" i="7"/>
  <c r="H105" i="7"/>
  <c r="I105" i="7"/>
  <c r="A106" i="7"/>
  <c r="B106" i="7"/>
  <c r="C106" i="7"/>
  <c r="D106" i="7"/>
  <c r="E106" i="7"/>
  <c r="F106" i="7"/>
  <c r="G106" i="7"/>
  <c r="H106" i="7"/>
  <c r="I106" i="7"/>
  <c r="A107" i="7"/>
  <c r="B107" i="7"/>
  <c r="C107" i="7"/>
  <c r="D107" i="7"/>
  <c r="E107" i="7"/>
  <c r="F107" i="7"/>
  <c r="G107" i="7"/>
  <c r="H107" i="7"/>
  <c r="I107" i="7"/>
  <c r="A108" i="7"/>
  <c r="B108" i="7"/>
  <c r="C108" i="7"/>
  <c r="D108" i="7"/>
  <c r="E108" i="7"/>
  <c r="F108" i="7"/>
  <c r="G108" i="7"/>
  <c r="H108" i="7"/>
  <c r="I108" i="7"/>
  <c r="A109" i="7"/>
  <c r="B109" i="7"/>
  <c r="C109" i="7"/>
  <c r="D109" i="7"/>
  <c r="E109" i="7"/>
  <c r="F109" i="7"/>
  <c r="G109" i="7"/>
  <c r="H109" i="7"/>
  <c r="I109" i="7"/>
  <c r="A110" i="7"/>
  <c r="B110" i="7"/>
  <c r="C110" i="7"/>
  <c r="D110" i="7"/>
  <c r="E110" i="7"/>
  <c r="F110" i="7"/>
  <c r="G110" i="7"/>
  <c r="H110" i="7"/>
  <c r="I110" i="7"/>
  <c r="A111" i="7"/>
  <c r="B111" i="7"/>
  <c r="C111" i="7"/>
  <c r="D111" i="7"/>
  <c r="E111" i="7"/>
  <c r="F111" i="7"/>
  <c r="G111" i="7"/>
  <c r="H111" i="7"/>
  <c r="I111" i="7"/>
  <c r="A112" i="7"/>
  <c r="B112" i="7"/>
  <c r="C112" i="7"/>
  <c r="D112" i="7"/>
  <c r="E112" i="7"/>
  <c r="F112" i="7"/>
  <c r="G112" i="7"/>
  <c r="H112" i="7"/>
  <c r="I112" i="7"/>
  <c r="A113" i="7"/>
  <c r="B113" i="7"/>
  <c r="C113" i="7"/>
  <c r="D113" i="7"/>
  <c r="E113" i="7"/>
  <c r="F113" i="7"/>
  <c r="G113" i="7"/>
  <c r="H113" i="7"/>
  <c r="I113" i="7"/>
  <c r="A114" i="7"/>
  <c r="B114" i="7"/>
  <c r="C114" i="7"/>
  <c r="D114" i="7"/>
  <c r="E114" i="7"/>
  <c r="F114" i="7"/>
  <c r="G114" i="7"/>
  <c r="H114" i="7"/>
  <c r="I114" i="7"/>
  <c r="A115" i="7"/>
  <c r="B115" i="7"/>
  <c r="C115" i="7"/>
  <c r="D115" i="7"/>
  <c r="E115" i="7"/>
  <c r="F115" i="7"/>
  <c r="G115" i="7"/>
  <c r="H115" i="7"/>
  <c r="I115" i="7"/>
  <c r="A116" i="7"/>
  <c r="B116" i="7"/>
  <c r="C116" i="7"/>
  <c r="D116" i="7"/>
  <c r="E116" i="7"/>
  <c r="F116" i="7"/>
  <c r="G116" i="7"/>
  <c r="H116" i="7"/>
  <c r="I116" i="7"/>
  <c r="A117" i="7"/>
  <c r="B117" i="7"/>
  <c r="C117" i="7"/>
  <c r="D117" i="7"/>
  <c r="E117" i="7"/>
  <c r="F117" i="7"/>
  <c r="G117" i="7"/>
  <c r="H117" i="7"/>
  <c r="I117" i="7"/>
  <c r="A118" i="7"/>
  <c r="B118" i="7"/>
  <c r="C118" i="7"/>
  <c r="D118" i="7"/>
  <c r="E118" i="7"/>
  <c r="F118" i="7"/>
  <c r="G118" i="7"/>
  <c r="H118" i="7"/>
  <c r="I118" i="7"/>
  <c r="A119" i="7"/>
  <c r="B119" i="7"/>
  <c r="C119" i="7"/>
  <c r="D119" i="7"/>
  <c r="E119" i="7"/>
  <c r="F119" i="7"/>
  <c r="G119" i="7"/>
  <c r="H119" i="7"/>
  <c r="I119" i="7"/>
  <c r="A120" i="7"/>
  <c r="B120" i="7"/>
  <c r="C120" i="7"/>
  <c r="D120" i="7"/>
  <c r="E120" i="7"/>
  <c r="F120" i="7"/>
  <c r="G120" i="7"/>
  <c r="H120" i="7"/>
  <c r="I120" i="7"/>
  <c r="A121" i="7"/>
  <c r="B121" i="7"/>
  <c r="C121" i="7"/>
  <c r="D121" i="7"/>
  <c r="E121" i="7"/>
  <c r="F121" i="7"/>
  <c r="G121" i="7"/>
  <c r="H121" i="7"/>
  <c r="I121" i="7"/>
  <c r="A122" i="7"/>
  <c r="B122" i="7"/>
  <c r="C122" i="7"/>
  <c r="D122" i="7"/>
  <c r="E122" i="7"/>
  <c r="F122" i="7"/>
  <c r="G122" i="7"/>
  <c r="H122" i="7"/>
  <c r="I122" i="7"/>
  <c r="A123" i="7"/>
  <c r="B123" i="7"/>
  <c r="C123" i="7"/>
  <c r="D123" i="7"/>
  <c r="E123" i="7"/>
  <c r="F123" i="7"/>
  <c r="G123" i="7"/>
  <c r="H123" i="7"/>
  <c r="I123" i="7"/>
  <c r="A124" i="7"/>
  <c r="B124" i="7"/>
  <c r="C124" i="7"/>
  <c r="D124" i="7"/>
  <c r="E124" i="7"/>
  <c r="F124" i="7"/>
  <c r="G124" i="7"/>
  <c r="H124" i="7"/>
  <c r="I124" i="7"/>
  <c r="A125" i="7"/>
  <c r="B125" i="7"/>
  <c r="C125" i="7"/>
  <c r="D125" i="7"/>
  <c r="E125" i="7"/>
  <c r="F125" i="7"/>
  <c r="G125" i="7"/>
  <c r="H125" i="7"/>
  <c r="I125" i="7"/>
  <c r="A126" i="7"/>
  <c r="B126" i="7"/>
  <c r="C126" i="7"/>
  <c r="D126" i="7"/>
  <c r="E126" i="7"/>
  <c r="F126" i="7"/>
  <c r="G126" i="7"/>
  <c r="H126" i="7"/>
  <c r="I126" i="7"/>
  <c r="A127" i="7"/>
  <c r="B127" i="7"/>
  <c r="C127" i="7"/>
  <c r="D127" i="7"/>
  <c r="E127" i="7"/>
  <c r="F127" i="7"/>
  <c r="G127" i="7"/>
  <c r="H127" i="7"/>
  <c r="I127" i="7"/>
  <c r="A128" i="7"/>
  <c r="B128" i="7"/>
  <c r="C128" i="7"/>
  <c r="D128" i="7"/>
  <c r="E128" i="7"/>
  <c r="F128" i="7"/>
  <c r="G128" i="7"/>
  <c r="H128" i="7"/>
  <c r="I128" i="7"/>
  <c r="A129" i="7"/>
  <c r="B129" i="7"/>
  <c r="C129" i="7"/>
  <c r="D129" i="7"/>
  <c r="E129" i="7"/>
  <c r="F129" i="7"/>
  <c r="G129" i="7"/>
  <c r="H129" i="7"/>
  <c r="I129" i="7"/>
  <c r="A130" i="7"/>
  <c r="B130" i="7"/>
  <c r="C130" i="7"/>
  <c r="D130" i="7"/>
  <c r="E130" i="7"/>
  <c r="F130" i="7"/>
  <c r="G130" i="7"/>
  <c r="H130" i="7"/>
  <c r="I130" i="7"/>
  <c r="A131" i="7"/>
  <c r="B131" i="7"/>
  <c r="C131" i="7"/>
  <c r="D131" i="7"/>
  <c r="E131" i="7"/>
  <c r="F131" i="7"/>
  <c r="G131" i="7"/>
  <c r="H131" i="7"/>
  <c r="I131" i="7"/>
  <c r="A132" i="7"/>
  <c r="B132" i="7"/>
  <c r="C132" i="7"/>
  <c r="D132" i="7"/>
  <c r="E132" i="7"/>
  <c r="F132" i="7"/>
  <c r="G132" i="7"/>
  <c r="H132" i="7"/>
  <c r="I132" i="7"/>
  <c r="A133" i="7"/>
  <c r="B133" i="7"/>
  <c r="C133" i="7"/>
  <c r="D133" i="7"/>
  <c r="E133" i="7"/>
  <c r="F133" i="7"/>
  <c r="G133" i="7"/>
  <c r="H133" i="7"/>
  <c r="I133" i="7"/>
  <c r="A134" i="7"/>
  <c r="B134" i="7"/>
  <c r="C134" i="7"/>
  <c r="D134" i="7"/>
  <c r="E134" i="7"/>
  <c r="F134" i="7"/>
  <c r="G134" i="7"/>
  <c r="H134" i="7"/>
  <c r="I134" i="7"/>
  <c r="A135" i="7"/>
  <c r="B135" i="7"/>
  <c r="C135" i="7"/>
  <c r="D135" i="7"/>
  <c r="E135" i="7"/>
  <c r="F135" i="7"/>
  <c r="G135" i="7"/>
  <c r="H135" i="7"/>
  <c r="I135" i="7"/>
  <c r="A136" i="7"/>
  <c r="B136" i="7"/>
  <c r="C136" i="7"/>
  <c r="D136" i="7"/>
  <c r="E136" i="7"/>
  <c r="F136" i="7"/>
  <c r="G136" i="7"/>
  <c r="H136" i="7"/>
  <c r="I136" i="7"/>
  <c r="A137" i="7"/>
  <c r="B137" i="7"/>
  <c r="C137" i="7"/>
  <c r="D137" i="7"/>
  <c r="E137" i="7"/>
  <c r="F137" i="7"/>
  <c r="G137" i="7"/>
  <c r="H137" i="7"/>
  <c r="I137" i="7"/>
  <c r="A138" i="7"/>
  <c r="B138" i="7"/>
  <c r="C138" i="7"/>
  <c r="D138" i="7"/>
  <c r="E138" i="7"/>
  <c r="F138" i="7"/>
  <c r="G138" i="7"/>
  <c r="H138" i="7"/>
  <c r="I138" i="7"/>
  <c r="A139" i="7"/>
  <c r="B139" i="7"/>
  <c r="C139" i="7"/>
  <c r="D139" i="7"/>
  <c r="E139" i="7"/>
  <c r="F139" i="7"/>
  <c r="G139" i="7"/>
  <c r="H139" i="7"/>
  <c r="I139" i="7"/>
  <c r="A140" i="7"/>
  <c r="B140" i="7"/>
  <c r="C140" i="7"/>
  <c r="D140" i="7"/>
  <c r="E140" i="7"/>
  <c r="F140" i="7"/>
  <c r="G140" i="7"/>
  <c r="H140" i="7"/>
  <c r="I140" i="7"/>
  <c r="A141" i="7"/>
  <c r="B141" i="7"/>
  <c r="C141" i="7"/>
  <c r="D141" i="7"/>
  <c r="E141" i="7"/>
  <c r="F141" i="7"/>
  <c r="G141" i="7"/>
  <c r="H141" i="7"/>
  <c r="I141" i="7"/>
  <c r="A142" i="7"/>
  <c r="B142" i="7"/>
  <c r="C142" i="7"/>
  <c r="D142" i="7"/>
  <c r="E142" i="7"/>
  <c r="F142" i="7"/>
  <c r="G142" i="7"/>
  <c r="H142" i="7"/>
  <c r="I142" i="7"/>
  <c r="A143" i="7"/>
  <c r="B143" i="7"/>
  <c r="C143" i="7"/>
  <c r="D143" i="7"/>
  <c r="E143" i="7"/>
  <c r="F143" i="7"/>
  <c r="G143" i="7"/>
  <c r="H143" i="7"/>
  <c r="I143" i="7"/>
  <c r="A144" i="7"/>
  <c r="B144" i="7"/>
  <c r="C144" i="7"/>
  <c r="D144" i="7"/>
  <c r="E144" i="7"/>
  <c r="F144" i="7"/>
  <c r="G144" i="7"/>
  <c r="H144" i="7"/>
  <c r="I144" i="7"/>
  <c r="A145" i="7"/>
  <c r="B145" i="7"/>
  <c r="C145" i="7"/>
  <c r="D145" i="7"/>
  <c r="E145" i="7"/>
  <c r="F145" i="7"/>
  <c r="G145" i="7"/>
  <c r="H145" i="7"/>
  <c r="I145" i="7"/>
  <c r="A146" i="7"/>
  <c r="B146" i="7"/>
  <c r="C146" i="7"/>
  <c r="D146" i="7"/>
  <c r="E146" i="7"/>
  <c r="F146" i="7"/>
  <c r="G146" i="7"/>
  <c r="H146" i="7"/>
  <c r="I146" i="7"/>
  <c r="A147" i="7"/>
  <c r="B147" i="7"/>
  <c r="C147" i="7"/>
  <c r="D147" i="7"/>
  <c r="E147" i="7"/>
  <c r="F147" i="7"/>
  <c r="G147" i="7"/>
  <c r="H147" i="7"/>
  <c r="I147" i="7"/>
  <c r="A148" i="7"/>
  <c r="B148" i="7"/>
  <c r="C148" i="7"/>
  <c r="D148" i="7"/>
  <c r="E148" i="7"/>
  <c r="F148" i="7"/>
  <c r="G148" i="7"/>
  <c r="H148" i="7"/>
  <c r="I148" i="7"/>
  <c r="A149" i="7"/>
  <c r="B149" i="7"/>
  <c r="C149" i="7"/>
  <c r="D149" i="7"/>
  <c r="E149" i="7"/>
  <c r="F149" i="7"/>
  <c r="G149" i="7"/>
  <c r="H149" i="7"/>
  <c r="I149" i="7"/>
  <c r="A150" i="7"/>
  <c r="B150" i="7"/>
  <c r="C150" i="7"/>
  <c r="D150" i="7"/>
  <c r="E150" i="7"/>
  <c r="F150" i="7"/>
  <c r="G150" i="7"/>
  <c r="H150" i="7"/>
  <c r="I150" i="7"/>
  <c r="A151" i="7"/>
  <c r="B151" i="7"/>
  <c r="C151" i="7"/>
  <c r="D151" i="7"/>
  <c r="E151" i="7"/>
  <c r="F151" i="7"/>
  <c r="G151" i="7"/>
  <c r="H151" i="7"/>
  <c r="I151" i="7"/>
  <c r="A152" i="7"/>
  <c r="B152" i="7"/>
  <c r="C152" i="7"/>
  <c r="D152" i="7"/>
  <c r="E152" i="7"/>
  <c r="F152" i="7"/>
  <c r="G152" i="7"/>
  <c r="H152" i="7"/>
  <c r="I152" i="7"/>
  <c r="A153" i="7"/>
  <c r="B153" i="7"/>
  <c r="C153" i="7"/>
  <c r="D153" i="7"/>
  <c r="E153" i="7"/>
  <c r="F153" i="7"/>
  <c r="G153" i="7"/>
  <c r="H153" i="7"/>
  <c r="I153" i="7"/>
  <c r="A154" i="7"/>
  <c r="B154" i="7"/>
  <c r="C154" i="7"/>
  <c r="D154" i="7"/>
  <c r="E154" i="7"/>
  <c r="F154" i="7"/>
  <c r="G154" i="7"/>
  <c r="H154" i="7"/>
  <c r="I154" i="7"/>
  <c r="A155" i="7"/>
  <c r="B155" i="7"/>
  <c r="C155" i="7"/>
  <c r="D155" i="7"/>
  <c r="E155" i="7"/>
  <c r="F155" i="7"/>
  <c r="G155" i="7"/>
  <c r="H155" i="7"/>
  <c r="I155" i="7"/>
  <c r="A156" i="7"/>
  <c r="B156" i="7"/>
  <c r="C156" i="7"/>
  <c r="D156" i="7"/>
  <c r="E156" i="7"/>
  <c r="F156" i="7"/>
  <c r="G156" i="7"/>
  <c r="H156" i="7"/>
  <c r="I156" i="7"/>
  <c r="A157" i="7"/>
  <c r="B157" i="7"/>
  <c r="C157" i="7"/>
  <c r="D157" i="7"/>
  <c r="E157" i="7"/>
  <c r="F157" i="7"/>
  <c r="G157" i="7"/>
  <c r="H157" i="7"/>
  <c r="I157" i="7"/>
  <c r="A158" i="7"/>
  <c r="B158" i="7"/>
  <c r="C158" i="7"/>
  <c r="D158" i="7"/>
  <c r="E158" i="7"/>
  <c r="F158" i="7"/>
  <c r="G158" i="7"/>
  <c r="H158" i="7"/>
  <c r="I158" i="7"/>
  <c r="A159" i="7"/>
  <c r="B159" i="7"/>
  <c r="C159" i="7"/>
  <c r="D159" i="7"/>
  <c r="E159" i="7"/>
  <c r="F159" i="7"/>
  <c r="G159" i="7"/>
  <c r="H159" i="7"/>
  <c r="I159" i="7"/>
  <c r="A160" i="7"/>
  <c r="B160" i="7"/>
  <c r="C160" i="7"/>
  <c r="D160" i="7"/>
  <c r="E160" i="7"/>
  <c r="F160" i="7"/>
  <c r="G160" i="7"/>
  <c r="H160" i="7"/>
  <c r="I160" i="7"/>
  <c r="A161" i="7"/>
  <c r="B161" i="7"/>
  <c r="C161" i="7"/>
  <c r="D161" i="7"/>
  <c r="E161" i="7"/>
  <c r="F161" i="7"/>
  <c r="G161" i="7"/>
  <c r="H161" i="7"/>
  <c r="I161" i="7"/>
  <c r="A162" i="7"/>
  <c r="B162" i="7"/>
  <c r="C162" i="7"/>
  <c r="D162" i="7"/>
  <c r="E162" i="7"/>
  <c r="F162" i="7"/>
  <c r="G162" i="7"/>
  <c r="H162" i="7"/>
  <c r="I162" i="7"/>
  <c r="A163" i="7"/>
  <c r="B163" i="7"/>
  <c r="C163" i="7"/>
  <c r="D163" i="7"/>
  <c r="E163" i="7"/>
  <c r="F163" i="7"/>
  <c r="G163" i="7"/>
  <c r="H163" i="7"/>
  <c r="I163" i="7"/>
  <c r="A164" i="7"/>
  <c r="B164" i="7"/>
  <c r="C164" i="7"/>
  <c r="D164" i="7"/>
  <c r="E164" i="7"/>
  <c r="F164" i="7"/>
  <c r="G164" i="7"/>
  <c r="H164" i="7"/>
  <c r="I164" i="7"/>
  <c r="A165" i="7"/>
  <c r="B165" i="7"/>
  <c r="C165" i="7"/>
  <c r="D165" i="7"/>
  <c r="E165" i="7"/>
  <c r="F165" i="7"/>
  <c r="G165" i="7"/>
  <c r="H165" i="7"/>
  <c r="I165" i="7"/>
  <c r="A166" i="7"/>
  <c r="B166" i="7"/>
  <c r="C166" i="7"/>
  <c r="D166" i="7"/>
  <c r="E166" i="7"/>
  <c r="F166" i="7"/>
  <c r="G166" i="7"/>
  <c r="H166" i="7"/>
  <c r="I166" i="7"/>
  <c r="A167" i="7"/>
  <c r="B167" i="7"/>
  <c r="C167" i="7"/>
  <c r="D167" i="7"/>
  <c r="E167" i="7"/>
  <c r="F167" i="7"/>
  <c r="G167" i="7"/>
  <c r="H167" i="7"/>
  <c r="I167" i="7"/>
  <c r="A168" i="7"/>
  <c r="B168" i="7"/>
  <c r="C168" i="7"/>
  <c r="D168" i="7"/>
  <c r="E168" i="7"/>
  <c r="F168" i="7"/>
  <c r="G168" i="7"/>
  <c r="H168" i="7"/>
  <c r="I168" i="7"/>
  <c r="A169" i="7"/>
  <c r="B169" i="7"/>
  <c r="C169" i="7"/>
  <c r="D169" i="7"/>
  <c r="E169" i="7"/>
  <c r="F169" i="7"/>
  <c r="G169" i="7"/>
  <c r="H169" i="7"/>
  <c r="I169" i="7"/>
  <c r="A170" i="7"/>
  <c r="B170" i="7"/>
  <c r="C170" i="7"/>
  <c r="D170" i="7"/>
  <c r="E170" i="7"/>
  <c r="F170" i="7"/>
  <c r="G170" i="7"/>
  <c r="H170" i="7"/>
  <c r="I170" i="7"/>
  <c r="A171" i="7"/>
  <c r="B171" i="7"/>
  <c r="C171" i="7"/>
  <c r="D171" i="7"/>
  <c r="E171" i="7"/>
  <c r="F171" i="7"/>
  <c r="G171" i="7"/>
  <c r="H171" i="7"/>
  <c r="I171" i="7"/>
  <c r="A172" i="7"/>
  <c r="B172" i="7"/>
  <c r="C172" i="7"/>
  <c r="D172" i="7"/>
  <c r="E172" i="7"/>
  <c r="F172" i="7"/>
  <c r="G172" i="7"/>
  <c r="H172" i="7"/>
  <c r="I172" i="7"/>
  <c r="A173" i="7"/>
  <c r="B173" i="7"/>
  <c r="C173" i="7"/>
  <c r="D173" i="7"/>
  <c r="E173" i="7"/>
  <c r="F173" i="7"/>
  <c r="G173" i="7"/>
  <c r="H173" i="7"/>
  <c r="I173" i="7"/>
  <c r="A174" i="7"/>
  <c r="B174" i="7"/>
  <c r="C174" i="7"/>
  <c r="D174" i="7"/>
  <c r="E174" i="7"/>
  <c r="F174" i="7"/>
  <c r="G174" i="7"/>
  <c r="H174" i="7"/>
  <c r="I174" i="7"/>
  <c r="A175" i="7"/>
  <c r="B175" i="7"/>
  <c r="C175" i="7"/>
  <c r="D175" i="7"/>
  <c r="E175" i="7"/>
  <c r="F175" i="7"/>
  <c r="G175" i="7"/>
  <c r="H175" i="7"/>
  <c r="I175" i="7"/>
  <c r="A176" i="7"/>
  <c r="B176" i="7"/>
  <c r="C176" i="7"/>
  <c r="D176" i="7"/>
  <c r="E176" i="7"/>
  <c r="F176" i="7"/>
  <c r="G176" i="7"/>
  <c r="H176" i="7"/>
  <c r="I176" i="7"/>
  <c r="A177" i="7"/>
  <c r="B177" i="7"/>
  <c r="C177" i="7"/>
  <c r="D177" i="7"/>
  <c r="E177" i="7"/>
  <c r="F177" i="7"/>
  <c r="G177" i="7"/>
  <c r="H177" i="7"/>
  <c r="I177" i="7"/>
  <c r="A178" i="7"/>
  <c r="B178" i="7"/>
  <c r="C178" i="7"/>
  <c r="D178" i="7"/>
  <c r="E178" i="7"/>
  <c r="F178" i="7"/>
  <c r="G178" i="7"/>
  <c r="H178" i="7"/>
  <c r="I178" i="7"/>
  <c r="A179" i="7"/>
  <c r="B179" i="7"/>
  <c r="C179" i="7"/>
  <c r="D179" i="7"/>
  <c r="E179" i="7"/>
  <c r="F179" i="7"/>
  <c r="G179" i="7"/>
  <c r="H179" i="7"/>
  <c r="I179" i="7"/>
  <c r="A180" i="7"/>
  <c r="B180" i="7"/>
  <c r="C180" i="7"/>
  <c r="D180" i="7"/>
  <c r="E180" i="7"/>
  <c r="F180" i="7"/>
  <c r="G180" i="7"/>
  <c r="H180" i="7"/>
  <c r="I180" i="7"/>
  <c r="A181" i="7"/>
  <c r="B181" i="7"/>
  <c r="C181" i="7"/>
  <c r="D181" i="7"/>
  <c r="E181" i="7"/>
  <c r="F181" i="7"/>
  <c r="G181" i="7"/>
  <c r="H181" i="7"/>
  <c r="I181" i="7"/>
  <c r="A182" i="7"/>
  <c r="B182" i="7"/>
  <c r="C182" i="7"/>
  <c r="D182" i="7"/>
  <c r="E182" i="7"/>
  <c r="F182" i="7"/>
  <c r="G182" i="7"/>
  <c r="H182" i="7"/>
  <c r="I182" i="7"/>
  <c r="A183" i="7"/>
  <c r="B183" i="7"/>
  <c r="C183" i="7"/>
  <c r="D183" i="7"/>
  <c r="E183" i="7"/>
  <c r="F183" i="7"/>
  <c r="G183" i="7"/>
  <c r="H183" i="7"/>
  <c r="I183" i="7"/>
  <c r="A184" i="7"/>
  <c r="B184" i="7"/>
  <c r="C184" i="7"/>
  <c r="D184" i="7"/>
  <c r="E184" i="7"/>
  <c r="F184" i="7"/>
  <c r="G184" i="7"/>
  <c r="H184" i="7"/>
  <c r="I184" i="7"/>
  <c r="A185" i="7"/>
  <c r="B185" i="7"/>
  <c r="C185" i="7"/>
  <c r="D185" i="7"/>
  <c r="E185" i="7"/>
  <c r="F185" i="7"/>
  <c r="G185" i="7"/>
  <c r="H185" i="7"/>
  <c r="I185" i="7"/>
  <c r="A186" i="7"/>
  <c r="B186" i="7"/>
  <c r="C186" i="7"/>
  <c r="D186" i="7"/>
  <c r="E186" i="7"/>
  <c r="F186" i="7"/>
  <c r="G186" i="7"/>
  <c r="H186" i="7"/>
  <c r="I186" i="7"/>
  <c r="A187" i="7"/>
  <c r="B187" i="7"/>
  <c r="C187" i="7"/>
  <c r="D187" i="7"/>
  <c r="E187" i="7"/>
  <c r="F187" i="7"/>
  <c r="G187" i="7"/>
  <c r="H187" i="7"/>
  <c r="I187" i="7"/>
  <c r="A188" i="7"/>
  <c r="B188" i="7"/>
  <c r="C188" i="7"/>
  <c r="D188" i="7"/>
  <c r="E188" i="7"/>
  <c r="F188" i="7"/>
  <c r="G188" i="7"/>
  <c r="H188" i="7"/>
  <c r="I188" i="7"/>
  <c r="A189" i="7"/>
  <c r="B189" i="7"/>
  <c r="C189" i="7"/>
  <c r="D189" i="7"/>
  <c r="E189" i="7"/>
  <c r="F189" i="7"/>
  <c r="G189" i="7"/>
  <c r="H189" i="7"/>
  <c r="I189" i="7"/>
  <c r="A190" i="7"/>
  <c r="B190" i="7"/>
  <c r="C190" i="7"/>
  <c r="D190" i="7"/>
  <c r="E190" i="7"/>
  <c r="F190" i="7"/>
  <c r="G190" i="7"/>
  <c r="H190" i="7"/>
  <c r="I190" i="7"/>
  <c r="A191" i="7"/>
  <c r="B191" i="7"/>
  <c r="C191" i="7"/>
  <c r="D191" i="7"/>
  <c r="E191" i="7"/>
  <c r="F191" i="7"/>
  <c r="G191" i="7"/>
  <c r="H191" i="7"/>
  <c r="I191" i="7"/>
  <c r="A192" i="7"/>
  <c r="B192" i="7"/>
  <c r="C192" i="7"/>
  <c r="D192" i="7"/>
  <c r="E192" i="7"/>
  <c r="F192" i="7"/>
  <c r="G192" i="7"/>
  <c r="H192" i="7"/>
  <c r="I192" i="7"/>
  <c r="A193" i="7"/>
  <c r="B193" i="7"/>
  <c r="C193" i="7"/>
  <c r="D193" i="7"/>
  <c r="E193" i="7"/>
  <c r="F193" i="7"/>
  <c r="G193" i="7"/>
  <c r="H193" i="7"/>
  <c r="I193" i="7"/>
  <c r="A194" i="7"/>
  <c r="B194" i="7"/>
  <c r="C194" i="7"/>
  <c r="D194" i="7"/>
  <c r="E194" i="7"/>
  <c r="F194" i="7"/>
  <c r="G194" i="7"/>
  <c r="H194" i="7"/>
  <c r="I194" i="7"/>
  <c r="A195" i="7"/>
  <c r="B195" i="7"/>
  <c r="C195" i="7"/>
  <c r="D195" i="7"/>
  <c r="E195" i="7"/>
  <c r="F195" i="7"/>
  <c r="G195" i="7"/>
  <c r="H195" i="7"/>
  <c r="I195" i="7"/>
  <c r="A196" i="7"/>
  <c r="B196" i="7"/>
  <c r="C196" i="7"/>
  <c r="D196" i="7"/>
  <c r="E196" i="7"/>
  <c r="F196" i="7"/>
  <c r="G196" i="7"/>
  <c r="H196" i="7"/>
  <c r="I196" i="7"/>
  <c r="A197" i="7"/>
  <c r="B197" i="7"/>
  <c r="C197" i="7"/>
  <c r="D197" i="7"/>
  <c r="E197" i="7"/>
  <c r="F197" i="7"/>
  <c r="G197" i="7"/>
  <c r="H197" i="7"/>
  <c r="I197" i="7"/>
  <c r="A198" i="7"/>
  <c r="B198" i="7"/>
  <c r="C198" i="7"/>
  <c r="D198" i="7"/>
  <c r="E198" i="7"/>
  <c r="F198" i="7"/>
  <c r="G198" i="7"/>
  <c r="H198" i="7"/>
  <c r="I198" i="7"/>
  <c r="A199" i="7"/>
  <c r="B199" i="7"/>
  <c r="C199" i="7"/>
  <c r="D199" i="7"/>
  <c r="E199" i="7"/>
  <c r="F199" i="7"/>
  <c r="G199" i="7"/>
  <c r="H199" i="7"/>
  <c r="I199" i="7"/>
  <c r="A200" i="7"/>
  <c r="B200" i="7"/>
  <c r="C200" i="7"/>
  <c r="D200" i="7"/>
  <c r="E200" i="7"/>
  <c r="F200" i="7"/>
  <c r="G200" i="7"/>
  <c r="H200" i="7"/>
  <c r="I200" i="7"/>
  <c r="A201" i="7"/>
  <c r="B201" i="7"/>
  <c r="C201" i="7"/>
  <c r="D201" i="7"/>
  <c r="E201" i="7"/>
  <c r="F201" i="7"/>
  <c r="G201" i="7"/>
  <c r="H201" i="7"/>
  <c r="I201" i="7"/>
  <c r="A202" i="7"/>
  <c r="B202" i="7"/>
  <c r="C202" i="7"/>
  <c r="D202" i="7"/>
  <c r="E202" i="7"/>
  <c r="F202" i="7"/>
  <c r="G202" i="7"/>
  <c r="H202" i="7"/>
  <c r="I202" i="7"/>
  <c r="A203" i="7"/>
  <c r="B203" i="7"/>
  <c r="C203" i="7"/>
  <c r="D203" i="7"/>
  <c r="E203" i="7"/>
  <c r="F203" i="7"/>
  <c r="G203" i="7"/>
  <c r="H203" i="7"/>
  <c r="I203" i="7"/>
  <c r="A204" i="7"/>
  <c r="B204" i="7"/>
  <c r="C204" i="7"/>
  <c r="D204" i="7"/>
  <c r="E204" i="7"/>
  <c r="F204" i="7"/>
  <c r="G204" i="7"/>
  <c r="H204" i="7"/>
  <c r="I204" i="7"/>
  <c r="A205" i="7"/>
  <c r="B205" i="7"/>
  <c r="C205" i="7"/>
  <c r="D205" i="7"/>
  <c r="E205" i="7"/>
  <c r="F205" i="7"/>
  <c r="G205" i="7"/>
  <c r="H205" i="7"/>
  <c r="I205" i="7"/>
  <c r="A206" i="7"/>
  <c r="B206" i="7"/>
  <c r="C206" i="7"/>
  <c r="D206" i="7"/>
  <c r="E206" i="7"/>
  <c r="F206" i="7"/>
  <c r="G206" i="7"/>
  <c r="H206" i="7"/>
  <c r="I206" i="7"/>
  <c r="A207" i="7"/>
  <c r="B207" i="7"/>
  <c r="C207" i="7"/>
  <c r="D207" i="7"/>
  <c r="E207" i="7"/>
  <c r="F207" i="7"/>
  <c r="G207" i="7"/>
  <c r="H207" i="7"/>
  <c r="I207" i="7"/>
  <c r="A208" i="7"/>
  <c r="B208" i="7"/>
  <c r="C208" i="7"/>
  <c r="D208" i="7"/>
  <c r="E208" i="7"/>
  <c r="F208" i="7"/>
  <c r="G208" i="7"/>
  <c r="H208" i="7"/>
  <c r="I208" i="7"/>
  <c r="A209" i="7"/>
  <c r="B209" i="7"/>
  <c r="C209" i="7"/>
  <c r="D209" i="7"/>
  <c r="E209" i="7"/>
  <c r="F209" i="7"/>
  <c r="G209" i="7"/>
  <c r="H209" i="7"/>
  <c r="I209" i="7"/>
  <c r="A210" i="7"/>
  <c r="B210" i="7"/>
  <c r="C210" i="7"/>
  <c r="D210" i="7"/>
  <c r="E210" i="7"/>
  <c r="F210" i="7"/>
  <c r="G210" i="7"/>
  <c r="H210" i="7"/>
  <c r="I210" i="7"/>
  <c r="A211" i="7"/>
  <c r="B211" i="7"/>
  <c r="C211" i="7"/>
  <c r="D211" i="7"/>
  <c r="E211" i="7"/>
  <c r="F211" i="7"/>
  <c r="G211" i="7"/>
  <c r="H211" i="7"/>
  <c r="I211" i="7"/>
  <c r="A212" i="7"/>
  <c r="B212" i="7"/>
  <c r="C212" i="7"/>
  <c r="D212" i="7"/>
  <c r="E212" i="7"/>
  <c r="F212" i="7"/>
  <c r="G212" i="7"/>
  <c r="H212" i="7"/>
  <c r="I212" i="7"/>
  <c r="A213" i="7"/>
  <c r="B213" i="7"/>
  <c r="C213" i="7"/>
  <c r="D213" i="7"/>
  <c r="E213" i="7"/>
  <c r="F213" i="7"/>
  <c r="G213" i="7"/>
  <c r="H213" i="7"/>
  <c r="I213" i="7"/>
  <c r="A214" i="7"/>
  <c r="B214" i="7"/>
  <c r="C214" i="7"/>
  <c r="D214" i="7"/>
  <c r="E214" i="7"/>
  <c r="F214" i="7"/>
  <c r="G214" i="7"/>
  <c r="H214" i="7"/>
  <c r="I214" i="7"/>
  <c r="A215" i="7"/>
  <c r="B215" i="7"/>
  <c r="C215" i="7"/>
  <c r="D215" i="7"/>
  <c r="E215" i="7"/>
  <c r="F215" i="7"/>
  <c r="G215" i="7"/>
  <c r="H215" i="7"/>
  <c r="I215" i="7"/>
  <c r="A216" i="7"/>
  <c r="B216" i="7"/>
  <c r="C216" i="7"/>
  <c r="D216" i="7"/>
  <c r="E216" i="7"/>
  <c r="F216" i="7"/>
  <c r="G216" i="7"/>
  <c r="H216" i="7"/>
  <c r="I216" i="7"/>
  <c r="A217" i="7"/>
  <c r="B217" i="7"/>
  <c r="C217" i="7"/>
  <c r="D217" i="7"/>
  <c r="E217" i="7"/>
  <c r="F217" i="7"/>
  <c r="G217" i="7"/>
  <c r="H217" i="7"/>
  <c r="I217" i="7"/>
  <c r="A218" i="7"/>
  <c r="B218" i="7"/>
  <c r="C218" i="7"/>
  <c r="D218" i="7"/>
  <c r="E218" i="7"/>
  <c r="F218" i="7"/>
  <c r="G218" i="7"/>
  <c r="H218" i="7"/>
  <c r="I218" i="7"/>
  <c r="A219" i="7"/>
  <c r="B219" i="7"/>
  <c r="C219" i="7"/>
  <c r="D219" i="7"/>
  <c r="E219" i="7"/>
  <c r="F219" i="7"/>
  <c r="G219" i="7"/>
  <c r="H219" i="7"/>
  <c r="I219" i="7"/>
  <c r="A220" i="7"/>
  <c r="B220" i="7"/>
  <c r="C220" i="7"/>
  <c r="D220" i="7"/>
  <c r="E220" i="7"/>
  <c r="F220" i="7"/>
  <c r="G220" i="7"/>
  <c r="H220" i="7"/>
  <c r="I220" i="7"/>
  <c r="A221" i="7"/>
  <c r="B221" i="7"/>
  <c r="C221" i="7"/>
  <c r="D221" i="7"/>
  <c r="E221" i="7"/>
  <c r="F221" i="7"/>
  <c r="G221" i="7"/>
  <c r="H221" i="7"/>
  <c r="I221" i="7"/>
  <c r="A222" i="7"/>
  <c r="B222" i="7"/>
  <c r="C222" i="7"/>
  <c r="D222" i="7"/>
  <c r="E222" i="7"/>
  <c r="F222" i="7"/>
  <c r="G222" i="7"/>
  <c r="H222" i="7"/>
  <c r="I222" i="7"/>
  <c r="A223" i="7"/>
  <c r="B223" i="7"/>
  <c r="C223" i="7"/>
  <c r="D223" i="7"/>
  <c r="E223" i="7"/>
  <c r="F223" i="7"/>
  <c r="G223" i="7"/>
  <c r="H223" i="7"/>
  <c r="I223" i="7"/>
  <c r="A224" i="7"/>
  <c r="B224" i="7"/>
  <c r="C224" i="7"/>
  <c r="D224" i="7"/>
  <c r="E224" i="7"/>
  <c r="F224" i="7"/>
  <c r="G224" i="7"/>
  <c r="H224" i="7"/>
  <c r="I224" i="7"/>
  <c r="A225" i="7"/>
  <c r="B225" i="7"/>
  <c r="C225" i="7"/>
  <c r="D225" i="7"/>
  <c r="E225" i="7"/>
  <c r="F225" i="7"/>
  <c r="G225" i="7"/>
  <c r="H225" i="7"/>
  <c r="I225" i="7"/>
  <c r="A226" i="7"/>
  <c r="B226" i="7"/>
  <c r="C226" i="7"/>
  <c r="D226" i="7"/>
  <c r="E226" i="7"/>
  <c r="F226" i="7"/>
  <c r="G226" i="7"/>
  <c r="H226" i="7"/>
  <c r="I226" i="7"/>
  <c r="A227" i="7"/>
  <c r="B227" i="7"/>
  <c r="C227" i="7"/>
  <c r="D227" i="7"/>
  <c r="E227" i="7"/>
  <c r="F227" i="7"/>
  <c r="G227" i="7"/>
  <c r="H227" i="7"/>
  <c r="I227" i="7"/>
  <c r="A228" i="7"/>
  <c r="B228" i="7"/>
  <c r="C228" i="7"/>
  <c r="D228" i="7"/>
  <c r="E228" i="7"/>
  <c r="F228" i="7"/>
  <c r="G228" i="7"/>
  <c r="H228" i="7"/>
  <c r="I228" i="7"/>
  <c r="A229" i="7"/>
  <c r="B229" i="7"/>
  <c r="C229" i="7"/>
  <c r="D229" i="7"/>
  <c r="E229" i="7"/>
  <c r="F229" i="7"/>
  <c r="G229" i="7"/>
  <c r="H229" i="7"/>
  <c r="I229" i="7"/>
  <c r="A230" i="7"/>
  <c r="B230" i="7"/>
  <c r="C230" i="7"/>
  <c r="D230" i="7"/>
  <c r="E230" i="7"/>
  <c r="F230" i="7"/>
  <c r="G230" i="7"/>
  <c r="H230" i="7"/>
  <c r="I230" i="7"/>
  <c r="A231" i="7"/>
  <c r="B231" i="7"/>
  <c r="C231" i="7"/>
  <c r="D231" i="7"/>
  <c r="E231" i="7"/>
  <c r="F231" i="7"/>
  <c r="G231" i="7"/>
  <c r="H231" i="7"/>
  <c r="I231" i="7"/>
  <c r="A232" i="7"/>
  <c r="B232" i="7"/>
  <c r="C232" i="7"/>
  <c r="D232" i="7"/>
  <c r="E232" i="7"/>
  <c r="F232" i="7"/>
  <c r="G232" i="7"/>
  <c r="H232" i="7"/>
  <c r="I232" i="7"/>
  <c r="A233" i="7"/>
  <c r="B233" i="7"/>
  <c r="C233" i="7"/>
  <c r="D233" i="7"/>
  <c r="E233" i="7"/>
  <c r="F233" i="7"/>
  <c r="G233" i="7"/>
  <c r="H233" i="7"/>
  <c r="I233" i="7"/>
  <c r="A234" i="7"/>
  <c r="B234" i="7"/>
  <c r="C234" i="7"/>
  <c r="D234" i="7"/>
  <c r="E234" i="7"/>
  <c r="F234" i="7"/>
  <c r="G234" i="7"/>
  <c r="H234" i="7"/>
  <c r="I234" i="7"/>
  <c r="A235" i="7"/>
  <c r="B235" i="7"/>
  <c r="C235" i="7"/>
  <c r="D235" i="7"/>
  <c r="E235" i="7"/>
  <c r="F235" i="7"/>
  <c r="G235" i="7"/>
  <c r="H235" i="7"/>
  <c r="I235" i="7"/>
  <c r="A236" i="7"/>
  <c r="B236" i="7"/>
  <c r="C236" i="7"/>
  <c r="D236" i="7"/>
  <c r="E236" i="7"/>
  <c r="F236" i="7"/>
  <c r="G236" i="7"/>
  <c r="H236" i="7"/>
  <c r="I236" i="7"/>
  <c r="A237" i="7"/>
  <c r="B237" i="7"/>
  <c r="C237" i="7"/>
  <c r="D237" i="7"/>
  <c r="E237" i="7"/>
  <c r="F237" i="7"/>
  <c r="G237" i="7"/>
  <c r="H237" i="7"/>
  <c r="I237" i="7"/>
  <c r="A238" i="7"/>
  <c r="B238" i="7"/>
  <c r="C238" i="7"/>
  <c r="D238" i="7"/>
  <c r="E238" i="7"/>
  <c r="F238" i="7"/>
  <c r="G238" i="7"/>
  <c r="H238" i="7"/>
  <c r="I238" i="7"/>
  <c r="A239" i="7"/>
  <c r="B239" i="7"/>
  <c r="C239" i="7"/>
  <c r="D239" i="7"/>
  <c r="E239" i="7"/>
  <c r="F239" i="7"/>
  <c r="G239" i="7"/>
  <c r="H239" i="7"/>
  <c r="I239" i="7"/>
  <c r="A240" i="7"/>
  <c r="B240" i="7"/>
  <c r="C240" i="7"/>
  <c r="D240" i="7"/>
  <c r="E240" i="7"/>
  <c r="F240" i="7"/>
  <c r="G240" i="7"/>
  <c r="H240" i="7"/>
  <c r="I240" i="7"/>
  <c r="A241" i="7"/>
  <c r="B241" i="7"/>
  <c r="C241" i="7"/>
  <c r="D241" i="7"/>
  <c r="E241" i="7"/>
  <c r="F241" i="7"/>
  <c r="G241" i="7"/>
  <c r="H241" i="7"/>
  <c r="I241" i="7"/>
  <c r="A242" i="7"/>
  <c r="B242" i="7"/>
  <c r="C242" i="7"/>
  <c r="D242" i="7"/>
  <c r="E242" i="7"/>
  <c r="F242" i="7"/>
  <c r="G242" i="7"/>
  <c r="H242" i="7"/>
  <c r="I242" i="7"/>
  <c r="A243" i="7"/>
  <c r="B243" i="7"/>
  <c r="C243" i="7"/>
  <c r="D243" i="7"/>
  <c r="E243" i="7"/>
  <c r="F243" i="7"/>
  <c r="G243" i="7"/>
  <c r="H243" i="7"/>
  <c r="I243" i="7"/>
  <c r="A244" i="7"/>
  <c r="B244" i="7"/>
  <c r="C244" i="7"/>
  <c r="D244" i="7"/>
  <c r="E244" i="7"/>
  <c r="F244" i="7"/>
  <c r="G244" i="7"/>
  <c r="H244" i="7"/>
  <c r="I244" i="7"/>
  <c r="A245" i="7"/>
  <c r="B245" i="7"/>
  <c r="C245" i="7"/>
  <c r="D245" i="7"/>
  <c r="E245" i="7"/>
  <c r="F245" i="7"/>
  <c r="G245" i="7"/>
  <c r="H245" i="7"/>
  <c r="I245" i="7"/>
  <c r="A246" i="7"/>
  <c r="B246" i="7"/>
  <c r="C246" i="7"/>
  <c r="D246" i="7"/>
  <c r="E246" i="7"/>
  <c r="F246" i="7"/>
  <c r="G246" i="7"/>
  <c r="H246" i="7"/>
  <c r="I246" i="7"/>
  <c r="A247" i="7"/>
  <c r="B247" i="7"/>
  <c r="C247" i="7"/>
  <c r="D247" i="7"/>
  <c r="E247" i="7"/>
  <c r="F247" i="7"/>
  <c r="G247" i="7"/>
  <c r="H247" i="7"/>
  <c r="I247" i="7"/>
  <c r="A248" i="7"/>
  <c r="B248" i="7"/>
  <c r="C248" i="7"/>
  <c r="D248" i="7"/>
  <c r="E248" i="7"/>
  <c r="F248" i="7"/>
  <c r="G248" i="7"/>
  <c r="H248" i="7"/>
  <c r="I248" i="7"/>
  <c r="A249" i="7"/>
  <c r="B249" i="7"/>
  <c r="C249" i="7"/>
  <c r="D249" i="7"/>
  <c r="E249" i="7"/>
  <c r="F249" i="7"/>
  <c r="G249" i="7"/>
  <c r="H249" i="7"/>
  <c r="I249" i="7"/>
  <c r="A250" i="7"/>
  <c r="B250" i="7"/>
  <c r="C250" i="7"/>
  <c r="D250" i="7"/>
  <c r="E250" i="7"/>
  <c r="F250" i="7"/>
  <c r="G250" i="7"/>
  <c r="H250" i="7"/>
  <c r="I250" i="7"/>
  <c r="A251" i="7"/>
  <c r="B251" i="7"/>
  <c r="C251" i="7"/>
  <c r="D251" i="7"/>
  <c r="E251" i="7"/>
  <c r="F251" i="7"/>
  <c r="G251" i="7"/>
  <c r="H251" i="7"/>
  <c r="I251" i="7"/>
  <c r="A252" i="7"/>
  <c r="B252" i="7"/>
  <c r="C252" i="7"/>
  <c r="D252" i="7"/>
  <c r="E252" i="7"/>
  <c r="F252" i="7"/>
  <c r="G252" i="7"/>
  <c r="H252" i="7"/>
  <c r="I252" i="7"/>
  <c r="A253" i="7"/>
  <c r="B253" i="7"/>
  <c r="C253" i="7"/>
  <c r="D253" i="7"/>
  <c r="E253" i="7"/>
  <c r="F253" i="7"/>
  <c r="G253" i="7"/>
  <c r="H253" i="7"/>
  <c r="I253" i="7"/>
  <c r="A254" i="7"/>
  <c r="B254" i="7"/>
  <c r="C254" i="7"/>
  <c r="D254" i="7"/>
  <c r="E254" i="7"/>
  <c r="F254" i="7"/>
  <c r="G254" i="7"/>
  <c r="H254" i="7"/>
  <c r="I254" i="7"/>
  <c r="A255" i="7"/>
  <c r="B255" i="7"/>
  <c r="C255" i="7"/>
  <c r="D255" i="7"/>
  <c r="E255" i="7"/>
  <c r="F255" i="7"/>
  <c r="G255" i="7"/>
  <c r="H255" i="7"/>
  <c r="I255" i="7"/>
  <c r="A256" i="7"/>
  <c r="B256" i="7"/>
  <c r="C256" i="7"/>
  <c r="D256" i="7"/>
  <c r="E256" i="7"/>
  <c r="F256" i="7"/>
  <c r="G256" i="7"/>
  <c r="H256" i="7"/>
  <c r="I256" i="7"/>
  <c r="A257" i="7"/>
  <c r="B257" i="7"/>
  <c r="C257" i="7"/>
  <c r="D257" i="7"/>
  <c r="E257" i="7"/>
  <c r="F257" i="7"/>
  <c r="G257" i="7"/>
  <c r="H257" i="7"/>
  <c r="I257" i="7"/>
  <c r="A258" i="7"/>
  <c r="B258" i="7"/>
  <c r="C258" i="7"/>
  <c r="D258" i="7"/>
  <c r="E258" i="7"/>
  <c r="F258" i="7"/>
  <c r="G258" i="7"/>
  <c r="H258" i="7"/>
  <c r="I258" i="7"/>
  <c r="A259" i="7"/>
  <c r="B259" i="7"/>
  <c r="C259" i="7"/>
  <c r="D259" i="7"/>
  <c r="E259" i="7"/>
  <c r="F259" i="7"/>
  <c r="G259" i="7"/>
  <c r="H259" i="7"/>
  <c r="I259" i="7"/>
  <c r="A260" i="7"/>
  <c r="B260" i="7"/>
  <c r="C260" i="7"/>
  <c r="D260" i="7"/>
  <c r="E260" i="7"/>
  <c r="F260" i="7"/>
  <c r="G260" i="7"/>
  <c r="H260" i="7"/>
  <c r="I260" i="7"/>
  <c r="A261" i="7"/>
  <c r="B261" i="7"/>
  <c r="C261" i="7"/>
  <c r="D261" i="7"/>
  <c r="E261" i="7"/>
  <c r="F261" i="7"/>
  <c r="G261" i="7"/>
  <c r="H261" i="7"/>
  <c r="I261" i="7"/>
  <c r="A262" i="7"/>
  <c r="B262" i="7"/>
  <c r="C262" i="7"/>
  <c r="D262" i="7"/>
  <c r="E262" i="7"/>
  <c r="F262" i="7"/>
  <c r="G262" i="7"/>
  <c r="H262" i="7"/>
  <c r="I262" i="7"/>
  <c r="A263" i="7"/>
  <c r="B263" i="7"/>
  <c r="C263" i="7"/>
  <c r="D263" i="7"/>
  <c r="E263" i="7"/>
  <c r="F263" i="7"/>
  <c r="G263" i="7"/>
  <c r="H263" i="7"/>
  <c r="I263" i="7"/>
  <c r="A264" i="7"/>
  <c r="B264" i="7"/>
  <c r="C264" i="7"/>
  <c r="D264" i="7"/>
  <c r="E264" i="7"/>
  <c r="F264" i="7"/>
  <c r="G264" i="7"/>
  <c r="H264" i="7"/>
  <c r="I264" i="7"/>
  <c r="A265" i="7"/>
  <c r="B265" i="7"/>
  <c r="C265" i="7"/>
  <c r="D265" i="7"/>
  <c r="E265" i="7"/>
  <c r="F265" i="7"/>
  <c r="G265" i="7"/>
  <c r="H265" i="7"/>
  <c r="I265" i="7"/>
  <c r="A266" i="7"/>
  <c r="B266" i="7"/>
  <c r="C266" i="7"/>
  <c r="D266" i="7"/>
  <c r="E266" i="7"/>
  <c r="F266" i="7"/>
  <c r="G266" i="7"/>
  <c r="H266" i="7"/>
  <c r="I266" i="7"/>
  <c r="A267" i="7"/>
  <c r="B267" i="7"/>
  <c r="C267" i="7"/>
  <c r="D267" i="7"/>
  <c r="E267" i="7"/>
  <c r="F267" i="7"/>
  <c r="G267" i="7"/>
  <c r="H267" i="7"/>
  <c r="I267" i="7"/>
  <c r="A268" i="7"/>
  <c r="B268" i="7"/>
  <c r="C268" i="7"/>
  <c r="D268" i="7"/>
  <c r="E268" i="7"/>
  <c r="F268" i="7"/>
  <c r="G268" i="7"/>
  <c r="H268" i="7"/>
  <c r="I268" i="7"/>
  <c r="A269" i="7"/>
  <c r="B269" i="7"/>
  <c r="C269" i="7"/>
  <c r="D269" i="7"/>
  <c r="E269" i="7"/>
  <c r="F269" i="7"/>
  <c r="G269" i="7"/>
  <c r="H269" i="7"/>
  <c r="I269" i="7"/>
  <c r="A270" i="7"/>
  <c r="B270" i="7"/>
  <c r="C270" i="7"/>
  <c r="D270" i="7"/>
  <c r="E270" i="7"/>
  <c r="F270" i="7"/>
  <c r="G270" i="7"/>
  <c r="H270" i="7"/>
  <c r="I270" i="7"/>
  <c r="A271" i="7"/>
  <c r="B271" i="7"/>
  <c r="C271" i="7"/>
  <c r="D271" i="7"/>
  <c r="E271" i="7"/>
  <c r="F271" i="7"/>
  <c r="G271" i="7"/>
  <c r="H271" i="7"/>
  <c r="I271" i="7"/>
  <c r="A272" i="7"/>
  <c r="B272" i="7"/>
  <c r="C272" i="7"/>
  <c r="D272" i="7"/>
  <c r="E272" i="7"/>
  <c r="F272" i="7"/>
  <c r="G272" i="7"/>
  <c r="H272" i="7"/>
  <c r="I272" i="7"/>
  <c r="A273" i="7"/>
  <c r="B273" i="7"/>
  <c r="C273" i="7"/>
  <c r="D273" i="7"/>
  <c r="E273" i="7"/>
  <c r="F273" i="7"/>
  <c r="G273" i="7"/>
  <c r="H273" i="7"/>
  <c r="I273" i="7"/>
  <c r="A274" i="7"/>
  <c r="B274" i="7"/>
  <c r="C274" i="7"/>
  <c r="D274" i="7"/>
  <c r="E274" i="7"/>
  <c r="F274" i="7"/>
  <c r="G274" i="7"/>
  <c r="H274" i="7"/>
  <c r="I274" i="7"/>
  <c r="A275" i="7"/>
  <c r="B275" i="7"/>
  <c r="C275" i="7"/>
  <c r="D275" i="7"/>
  <c r="E275" i="7"/>
  <c r="F275" i="7"/>
  <c r="G275" i="7"/>
  <c r="H275" i="7"/>
  <c r="I275" i="7"/>
  <c r="A276" i="7"/>
  <c r="B276" i="7"/>
  <c r="C276" i="7"/>
  <c r="D276" i="7"/>
  <c r="E276" i="7"/>
  <c r="F276" i="7"/>
  <c r="G276" i="7"/>
  <c r="H276" i="7"/>
  <c r="I276" i="7"/>
  <c r="A277" i="7"/>
  <c r="B277" i="7"/>
  <c r="C277" i="7"/>
  <c r="D277" i="7"/>
  <c r="E277" i="7"/>
  <c r="F277" i="7"/>
  <c r="G277" i="7"/>
  <c r="H277" i="7"/>
  <c r="I277" i="7"/>
  <c r="A278" i="7"/>
  <c r="B278" i="7"/>
  <c r="C278" i="7"/>
  <c r="D278" i="7"/>
  <c r="E278" i="7"/>
  <c r="F278" i="7"/>
  <c r="G278" i="7"/>
  <c r="H278" i="7"/>
  <c r="I278" i="7"/>
  <c r="A279" i="7"/>
  <c r="B279" i="7"/>
  <c r="C279" i="7"/>
  <c r="D279" i="7"/>
  <c r="E279" i="7"/>
  <c r="F279" i="7"/>
  <c r="G279" i="7"/>
  <c r="H279" i="7"/>
  <c r="I279" i="7"/>
  <c r="A280" i="7"/>
  <c r="B280" i="7"/>
  <c r="C280" i="7"/>
  <c r="D280" i="7"/>
  <c r="E280" i="7"/>
  <c r="F280" i="7"/>
  <c r="G280" i="7"/>
  <c r="H280" i="7"/>
  <c r="I280" i="7"/>
  <c r="A281" i="7"/>
  <c r="B281" i="7"/>
  <c r="C281" i="7"/>
  <c r="D281" i="7"/>
  <c r="E281" i="7"/>
  <c r="F281" i="7"/>
  <c r="G281" i="7"/>
  <c r="H281" i="7"/>
  <c r="I281" i="7"/>
  <c r="A282" i="7"/>
  <c r="B282" i="7"/>
  <c r="C282" i="7"/>
  <c r="D282" i="7"/>
  <c r="E282" i="7"/>
  <c r="F282" i="7"/>
  <c r="G282" i="7"/>
  <c r="H282" i="7"/>
  <c r="I282" i="7"/>
  <c r="A283" i="7"/>
  <c r="B283" i="7"/>
  <c r="C283" i="7"/>
  <c r="D283" i="7"/>
  <c r="E283" i="7"/>
  <c r="F283" i="7"/>
  <c r="G283" i="7"/>
  <c r="H283" i="7"/>
  <c r="I283" i="7"/>
  <c r="A284" i="7"/>
  <c r="B284" i="7"/>
  <c r="C284" i="7"/>
  <c r="D284" i="7"/>
  <c r="E284" i="7"/>
  <c r="F284" i="7"/>
  <c r="G284" i="7"/>
  <c r="H284" i="7"/>
  <c r="I284" i="7"/>
  <c r="A285" i="7"/>
  <c r="B285" i="7"/>
  <c r="C285" i="7"/>
  <c r="D285" i="7"/>
  <c r="E285" i="7"/>
  <c r="F285" i="7"/>
  <c r="G285" i="7"/>
  <c r="H285" i="7"/>
  <c r="I285" i="7"/>
  <c r="A286" i="7"/>
  <c r="B286" i="7"/>
  <c r="C286" i="7"/>
  <c r="D286" i="7"/>
  <c r="E286" i="7"/>
  <c r="F286" i="7"/>
  <c r="G286" i="7"/>
  <c r="H286" i="7"/>
  <c r="I286" i="7"/>
  <c r="A287" i="7"/>
  <c r="B287" i="7"/>
  <c r="C287" i="7"/>
  <c r="D287" i="7"/>
  <c r="E287" i="7"/>
  <c r="F287" i="7"/>
  <c r="G287" i="7"/>
  <c r="H287" i="7"/>
  <c r="I287" i="7"/>
  <c r="A288" i="7"/>
  <c r="B288" i="7"/>
  <c r="C288" i="7"/>
  <c r="D288" i="7"/>
  <c r="E288" i="7"/>
  <c r="F288" i="7"/>
  <c r="G288" i="7"/>
  <c r="H288" i="7"/>
  <c r="I288" i="7"/>
  <c r="A289" i="7"/>
  <c r="B289" i="7"/>
  <c r="C289" i="7"/>
  <c r="D289" i="7"/>
  <c r="E289" i="7"/>
  <c r="F289" i="7"/>
  <c r="G289" i="7"/>
  <c r="H289" i="7"/>
  <c r="I289" i="7"/>
  <c r="A290" i="7"/>
  <c r="B290" i="7"/>
  <c r="C290" i="7"/>
  <c r="D290" i="7"/>
  <c r="E290" i="7"/>
  <c r="F290" i="7"/>
  <c r="G290" i="7"/>
  <c r="H290" i="7"/>
  <c r="I290" i="7"/>
  <c r="A291" i="7"/>
  <c r="B291" i="7"/>
  <c r="C291" i="7"/>
  <c r="D291" i="7"/>
  <c r="E291" i="7"/>
  <c r="F291" i="7"/>
  <c r="G291" i="7"/>
  <c r="H291" i="7"/>
  <c r="I291" i="7"/>
  <c r="A292" i="7"/>
  <c r="B292" i="7"/>
  <c r="C292" i="7"/>
  <c r="D292" i="7"/>
  <c r="E292" i="7"/>
  <c r="F292" i="7"/>
  <c r="G292" i="7"/>
  <c r="H292" i="7"/>
  <c r="I292" i="7"/>
  <c r="A293" i="7"/>
  <c r="B293" i="7"/>
  <c r="C293" i="7"/>
  <c r="D293" i="7"/>
  <c r="E293" i="7"/>
  <c r="F293" i="7"/>
  <c r="G293" i="7"/>
  <c r="H293" i="7"/>
  <c r="I293" i="7"/>
  <c r="A294" i="7"/>
  <c r="B294" i="7"/>
  <c r="C294" i="7"/>
  <c r="D294" i="7"/>
  <c r="E294" i="7"/>
  <c r="F294" i="7"/>
  <c r="G294" i="7"/>
  <c r="H294" i="7"/>
  <c r="I294" i="7"/>
  <c r="A295" i="7"/>
  <c r="B295" i="7"/>
  <c r="C295" i="7"/>
  <c r="D295" i="7"/>
  <c r="E295" i="7"/>
  <c r="F295" i="7"/>
  <c r="G295" i="7"/>
  <c r="H295" i="7"/>
  <c r="I295" i="7"/>
  <c r="A296" i="7"/>
  <c r="B296" i="7"/>
  <c r="C296" i="7"/>
  <c r="D296" i="7"/>
  <c r="E296" i="7"/>
  <c r="F296" i="7"/>
  <c r="G296" i="7"/>
  <c r="H296" i="7"/>
  <c r="I296" i="7"/>
  <c r="A297" i="7"/>
  <c r="B297" i="7"/>
  <c r="C297" i="7"/>
  <c r="D297" i="7"/>
  <c r="E297" i="7"/>
  <c r="F297" i="7"/>
  <c r="G297" i="7"/>
  <c r="H297" i="7"/>
  <c r="I297" i="7"/>
  <c r="A298" i="7"/>
  <c r="B298" i="7"/>
  <c r="C298" i="7"/>
  <c r="D298" i="7"/>
  <c r="E298" i="7"/>
  <c r="F298" i="7"/>
  <c r="G298" i="7"/>
  <c r="H298" i="7"/>
  <c r="I298" i="7"/>
  <c r="A299" i="7"/>
  <c r="B299" i="7"/>
  <c r="C299" i="7"/>
  <c r="D299" i="7"/>
  <c r="E299" i="7"/>
  <c r="F299" i="7"/>
  <c r="G299" i="7"/>
  <c r="H299" i="7"/>
  <c r="I299" i="7"/>
  <c r="A300" i="7"/>
  <c r="B300" i="7"/>
  <c r="C300" i="7"/>
  <c r="D300" i="7"/>
  <c r="E300" i="7"/>
  <c r="F300" i="7"/>
  <c r="G300" i="7"/>
  <c r="H300" i="7"/>
  <c r="I300" i="7"/>
  <c r="A301" i="7"/>
  <c r="B301" i="7"/>
  <c r="C301" i="7"/>
  <c r="D301" i="7"/>
  <c r="E301" i="7"/>
  <c r="F301" i="7"/>
  <c r="G301" i="7"/>
  <c r="H301" i="7"/>
  <c r="I301" i="7"/>
  <c r="A302" i="7"/>
  <c r="B302" i="7"/>
  <c r="C302" i="7"/>
  <c r="D302" i="7"/>
  <c r="E302" i="7"/>
  <c r="F302" i="7"/>
  <c r="G302" i="7"/>
  <c r="H302" i="7"/>
  <c r="I302" i="7"/>
  <c r="A303" i="7"/>
  <c r="B303" i="7"/>
  <c r="C303" i="7"/>
  <c r="D303" i="7"/>
  <c r="E303" i="7"/>
  <c r="F303" i="7"/>
  <c r="G303" i="7"/>
  <c r="H303" i="7"/>
  <c r="I303" i="7"/>
  <c r="A304" i="7"/>
  <c r="B304" i="7"/>
  <c r="C304" i="7"/>
  <c r="D304" i="7"/>
  <c r="E304" i="7"/>
  <c r="F304" i="7"/>
  <c r="G304" i="7"/>
  <c r="H304" i="7"/>
  <c r="I304" i="7"/>
  <c r="A305" i="7"/>
  <c r="B305" i="7"/>
  <c r="C305" i="7"/>
  <c r="D305" i="7"/>
  <c r="E305" i="7"/>
  <c r="F305" i="7"/>
  <c r="G305" i="7"/>
  <c r="H305" i="7"/>
  <c r="I305" i="7"/>
  <c r="A306" i="7"/>
  <c r="B306" i="7"/>
  <c r="C306" i="7"/>
  <c r="D306" i="7"/>
  <c r="E306" i="7"/>
  <c r="F306" i="7"/>
  <c r="G306" i="7"/>
  <c r="H306" i="7"/>
  <c r="I306" i="7"/>
  <c r="A307" i="7"/>
  <c r="B307" i="7"/>
  <c r="C307" i="7"/>
  <c r="D307" i="7"/>
  <c r="E307" i="7"/>
  <c r="F307" i="7"/>
  <c r="G307" i="7"/>
  <c r="H307" i="7"/>
  <c r="I307" i="7"/>
  <c r="A308" i="7"/>
  <c r="B308" i="7"/>
  <c r="C308" i="7"/>
  <c r="D308" i="7"/>
  <c r="E308" i="7"/>
  <c r="F308" i="7"/>
  <c r="G308" i="7"/>
  <c r="H308" i="7"/>
  <c r="I308" i="7"/>
  <c r="A309" i="7"/>
  <c r="B309" i="7"/>
  <c r="C309" i="7"/>
  <c r="D309" i="7"/>
  <c r="E309" i="7"/>
  <c r="F309" i="7"/>
  <c r="G309" i="7"/>
  <c r="H309" i="7"/>
  <c r="I309" i="7"/>
  <c r="A310" i="7"/>
  <c r="B310" i="7"/>
  <c r="C310" i="7"/>
  <c r="D310" i="7"/>
  <c r="E310" i="7"/>
  <c r="F310" i="7"/>
  <c r="G310" i="7"/>
  <c r="H310" i="7"/>
  <c r="I310" i="7"/>
  <c r="A311" i="7"/>
  <c r="B311" i="7"/>
  <c r="C311" i="7"/>
  <c r="D311" i="7"/>
  <c r="E311" i="7"/>
  <c r="F311" i="7"/>
  <c r="G311" i="7"/>
  <c r="H311" i="7"/>
  <c r="I311" i="7"/>
  <c r="A312" i="7"/>
  <c r="B312" i="7"/>
  <c r="C312" i="7"/>
  <c r="D312" i="7"/>
  <c r="E312" i="7"/>
  <c r="F312" i="7"/>
  <c r="G312" i="7"/>
  <c r="H312" i="7"/>
  <c r="I312" i="7"/>
  <c r="A313" i="7"/>
  <c r="B313" i="7"/>
  <c r="C313" i="7"/>
  <c r="D313" i="7"/>
  <c r="E313" i="7"/>
  <c r="F313" i="7"/>
  <c r="G313" i="7"/>
  <c r="H313" i="7"/>
  <c r="I313" i="7"/>
  <c r="A314" i="7"/>
  <c r="B314" i="7"/>
  <c r="C314" i="7"/>
  <c r="D314" i="7"/>
  <c r="E314" i="7"/>
  <c r="F314" i="7"/>
  <c r="G314" i="7"/>
  <c r="H314" i="7"/>
  <c r="I314" i="7"/>
  <c r="A315" i="7"/>
  <c r="B315" i="7"/>
  <c r="C315" i="7"/>
  <c r="D315" i="7"/>
  <c r="E315" i="7"/>
  <c r="F315" i="7"/>
  <c r="G315" i="7"/>
  <c r="H315" i="7"/>
  <c r="I315" i="7"/>
  <c r="A316" i="7"/>
  <c r="B316" i="7"/>
  <c r="C316" i="7"/>
  <c r="D316" i="7"/>
  <c r="E316" i="7"/>
  <c r="F316" i="7"/>
  <c r="G316" i="7"/>
  <c r="H316" i="7"/>
  <c r="I316" i="7"/>
  <c r="A317" i="7"/>
  <c r="B317" i="7"/>
  <c r="C317" i="7"/>
  <c r="D317" i="7"/>
  <c r="E317" i="7"/>
  <c r="F317" i="7"/>
  <c r="G317" i="7"/>
  <c r="H317" i="7"/>
  <c r="I317" i="7"/>
  <c r="A318" i="7"/>
  <c r="B318" i="7"/>
  <c r="C318" i="7"/>
  <c r="D318" i="7"/>
  <c r="E318" i="7"/>
  <c r="F318" i="7"/>
  <c r="G318" i="7"/>
  <c r="H318" i="7"/>
  <c r="I318" i="7"/>
  <c r="A319" i="7"/>
  <c r="B319" i="7"/>
  <c r="C319" i="7"/>
  <c r="D319" i="7"/>
  <c r="E319" i="7"/>
  <c r="F319" i="7"/>
  <c r="G319" i="7"/>
  <c r="H319" i="7"/>
  <c r="I319" i="7"/>
  <c r="A320" i="7"/>
  <c r="B320" i="7"/>
  <c r="C320" i="7"/>
  <c r="D320" i="7"/>
  <c r="E320" i="7"/>
  <c r="F320" i="7"/>
  <c r="G320" i="7"/>
  <c r="H320" i="7"/>
  <c r="I320" i="7"/>
  <c r="A321" i="7"/>
  <c r="B321" i="7"/>
  <c r="C321" i="7"/>
  <c r="D321" i="7"/>
  <c r="E321" i="7"/>
  <c r="F321" i="7"/>
  <c r="G321" i="7"/>
  <c r="H321" i="7"/>
  <c r="I321" i="7"/>
  <c r="A322" i="7"/>
  <c r="B322" i="7"/>
  <c r="C322" i="7"/>
  <c r="D322" i="7"/>
  <c r="E322" i="7"/>
  <c r="F322" i="7"/>
  <c r="G322" i="7"/>
  <c r="H322" i="7"/>
  <c r="I322" i="7"/>
  <c r="A323" i="7"/>
  <c r="B323" i="7"/>
  <c r="C323" i="7"/>
  <c r="D323" i="7"/>
  <c r="E323" i="7"/>
  <c r="F323" i="7"/>
  <c r="G323" i="7"/>
  <c r="H323" i="7"/>
  <c r="I323" i="7"/>
  <c r="A324" i="7"/>
  <c r="B324" i="7"/>
  <c r="C324" i="7"/>
  <c r="D324" i="7"/>
  <c r="E324" i="7"/>
  <c r="F324" i="7"/>
  <c r="G324" i="7"/>
  <c r="H324" i="7"/>
  <c r="I324" i="7"/>
  <c r="A325" i="7"/>
  <c r="B325" i="7"/>
  <c r="C325" i="7"/>
  <c r="D325" i="7"/>
  <c r="E325" i="7"/>
  <c r="F325" i="7"/>
  <c r="G325" i="7"/>
  <c r="H325" i="7"/>
  <c r="I325" i="7"/>
  <c r="A326" i="7"/>
  <c r="B326" i="7"/>
  <c r="C326" i="7"/>
  <c r="D326" i="7"/>
  <c r="E326" i="7"/>
  <c r="F326" i="7"/>
  <c r="G326" i="7"/>
  <c r="H326" i="7"/>
  <c r="I326" i="7"/>
  <c r="A327" i="7"/>
  <c r="B327" i="7"/>
  <c r="C327" i="7"/>
  <c r="D327" i="7"/>
  <c r="E327" i="7"/>
  <c r="F327" i="7"/>
  <c r="G327" i="7"/>
  <c r="H327" i="7"/>
  <c r="I327" i="7"/>
  <c r="A328" i="7"/>
  <c r="B328" i="7"/>
  <c r="C328" i="7"/>
  <c r="D328" i="7"/>
  <c r="E328" i="7"/>
  <c r="F328" i="7"/>
  <c r="G328" i="7"/>
  <c r="H328" i="7"/>
  <c r="I328" i="7"/>
  <c r="A329" i="7"/>
  <c r="B329" i="7"/>
  <c r="C329" i="7"/>
  <c r="D329" i="7"/>
  <c r="E329" i="7"/>
  <c r="F329" i="7"/>
  <c r="G329" i="7"/>
  <c r="H329" i="7"/>
  <c r="I329" i="7"/>
  <c r="A330" i="7"/>
  <c r="B330" i="7"/>
  <c r="C330" i="7"/>
  <c r="D330" i="7"/>
  <c r="E330" i="7"/>
  <c r="F330" i="7"/>
  <c r="G330" i="7"/>
  <c r="H330" i="7"/>
  <c r="I330" i="7"/>
  <c r="A331" i="7"/>
  <c r="B331" i="7"/>
  <c r="C331" i="7"/>
  <c r="D331" i="7"/>
  <c r="E331" i="7"/>
  <c r="F331" i="7"/>
  <c r="G331" i="7"/>
  <c r="H331" i="7"/>
  <c r="I331" i="7"/>
  <c r="A332" i="7"/>
  <c r="B332" i="7"/>
  <c r="C332" i="7"/>
  <c r="D332" i="7"/>
  <c r="E332" i="7"/>
  <c r="F332" i="7"/>
  <c r="G332" i="7"/>
  <c r="H332" i="7"/>
  <c r="I332" i="7"/>
  <c r="A333" i="7"/>
  <c r="B333" i="7"/>
  <c r="C333" i="7"/>
  <c r="D333" i="7"/>
  <c r="E333" i="7"/>
  <c r="F333" i="7"/>
  <c r="G333" i="7"/>
  <c r="H333" i="7"/>
  <c r="I333" i="7"/>
  <c r="A334" i="7"/>
  <c r="B334" i="7"/>
  <c r="C334" i="7"/>
  <c r="D334" i="7"/>
  <c r="E334" i="7"/>
  <c r="F334" i="7"/>
  <c r="G334" i="7"/>
  <c r="H334" i="7"/>
  <c r="I334" i="7"/>
  <c r="A335" i="7"/>
  <c r="B335" i="7"/>
  <c r="C335" i="7"/>
  <c r="D335" i="7"/>
  <c r="E335" i="7"/>
  <c r="F335" i="7"/>
  <c r="G335" i="7"/>
  <c r="H335" i="7"/>
  <c r="I335" i="7"/>
  <c r="A336" i="7"/>
  <c r="B336" i="7"/>
  <c r="C336" i="7"/>
  <c r="D336" i="7"/>
  <c r="E336" i="7"/>
  <c r="F336" i="7"/>
  <c r="G336" i="7"/>
  <c r="H336" i="7"/>
  <c r="I336" i="7"/>
  <c r="A337" i="7"/>
  <c r="B337" i="7"/>
  <c r="C337" i="7"/>
  <c r="D337" i="7"/>
  <c r="E337" i="7"/>
  <c r="F337" i="7"/>
  <c r="G337" i="7"/>
  <c r="H337" i="7"/>
  <c r="I337" i="7"/>
  <c r="A338" i="7"/>
  <c r="B338" i="7"/>
  <c r="C338" i="7"/>
  <c r="D338" i="7"/>
  <c r="E338" i="7"/>
  <c r="F338" i="7"/>
  <c r="G338" i="7"/>
  <c r="H338" i="7"/>
  <c r="I338" i="7"/>
  <c r="A339" i="7"/>
  <c r="B339" i="7"/>
  <c r="C339" i="7"/>
  <c r="D339" i="7"/>
  <c r="E339" i="7"/>
  <c r="F339" i="7"/>
  <c r="G339" i="7"/>
  <c r="H339" i="7"/>
  <c r="I339" i="7"/>
  <c r="A340" i="7"/>
  <c r="B340" i="7"/>
  <c r="C340" i="7"/>
  <c r="D340" i="7"/>
  <c r="E340" i="7"/>
  <c r="F340" i="7"/>
  <c r="G340" i="7"/>
  <c r="H340" i="7"/>
  <c r="I340" i="7"/>
  <c r="A341" i="7"/>
  <c r="B341" i="7"/>
  <c r="C341" i="7"/>
  <c r="D341" i="7"/>
  <c r="E341" i="7"/>
  <c r="F341" i="7"/>
  <c r="G341" i="7"/>
  <c r="H341" i="7"/>
  <c r="I341" i="7"/>
  <c r="A342" i="7"/>
  <c r="B342" i="7"/>
  <c r="C342" i="7"/>
  <c r="D342" i="7"/>
  <c r="E342" i="7"/>
  <c r="F342" i="7"/>
  <c r="G342" i="7"/>
  <c r="H342" i="7"/>
  <c r="I342" i="7"/>
  <c r="A343" i="7"/>
  <c r="B343" i="7"/>
  <c r="C343" i="7"/>
  <c r="D343" i="7"/>
  <c r="E343" i="7"/>
  <c r="F343" i="7"/>
  <c r="G343" i="7"/>
  <c r="H343" i="7"/>
  <c r="I343" i="7"/>
  <c r="A344" i="7"/>
  <c r="B344" i="7"/>
  <c r="C344" i="7"/>
  <c r="D344" i="7"/>
  <c r="E344" i="7"/>
  <c r="F344" i="7"/>
  <c r="G344" i="7"/>
  <c r="H344" i="7"/>
  <c r="I344" i="7"/>
  <c r="A345" i="7"/>
  <c r="B345" i="7"/>
  <c r="C345" i="7"/>
  <c r="D345" i="7"/>
  <c r="E345" i="7"/>
  <c r="F345" i="7"/>
  <c r="G345" i="7"/>
  <c r="H345" i="7"/>
  <c r="I345" i="7"/>
  <c r="A346" i="7"/>
  <c r="B346" i="7"/>
  <c r="C346" i="7"/>
  <c r="D346" i="7"/>
  <c r="E346" i="7"/>
  <c r="F346" i="7"/>
  <c r="G346" i="7"/>
  <c r="H346" i="7"/>
  <c r="I346" i="7"/>
  <c r="A347" i="7"/>
  <c r="B347" i="7"/>
  <c r="C347" i="7"/>
  <c r="D347" i="7"/>
  <c r="E347" i="7"/>
  <c r="F347" i="7"/>
  <c r="G347" i="7"/>
  <c r="H347" i="7"/>
  <c r="I347" i="7"/>
  <c r="A348" i="7"/>
  <c r="B348" i="7"/>
  <c r="C348" i="7"/>
  <c r="D348" i="7"/>
  <c r="E348" i="7"/>
  <c r="F348" i="7"/>
  <c r="G348" i="7"/>
  <c r="H348" i="7"/>
  <c r="I348" i="7"/>
  <c r="A349" i="7"/>
  <c r="B349" i="7"/>
  <c r="C349" i="7"/>
  <c r="D349" i="7"/>
  <c r="E349" i="7"/>
  <c r="F349" i="7"/>
  <c r="G349" i="7"/>
  <c r="H349" i="7"/>
  <c r="I349" i="7"/>
  <c r="A350" i="7"/>
  <c r="B350" i="7"/>
  <c r="C350" i="7"/>
  <c r="D350" i="7"/>
  <c r="E350" i="7"/>
  <c r="F350" i="7"/>
  <c r="G350" i="7"/>
  <c r="H350" i="7"/>
  <c r="I350" i="7"/>
  <c r="A351" i="7"/>
  <c r="B351" i="7"/>
  <c r="C351" i="7"/>
  <c r="D351" i="7"/>
  <c r="E351" i="7"/>
  <c r="F351" i="7"/>
  <c r="G351" i="7"/>
  <c r="H351" i="7"/>
  <c r="I351" i="7"/>
  <c r="A352" i="7"/>
  <c r="B352" i="7"/>
  <c r="C352" i="7"/>
  <c r="D352" i="7"/>
  <c r="E352" i="7"/>
  <c r="F352" i="7"/>
  <c r="G352" i="7"/>
  <c r="H352" i="7"/>
  <c r="I352" i="7"/>
  <c r="A353" i="7"/>
  <c r="B353" i="7"/>
  <c r="C353" i="7"/>
  <c r="D353" i="7"/>
  <c r="E353" i="7"/>
  <c r="F353" i="7"/>
  <c r="G353" i="7"/>
  <c r="H353" i="7"/>
  <c r="I353" i="7"/>
  <c r="A354" i="7"/>
  <c r="B354" i="7"/>
  <c r="C354" i="7"/>
  <c r="D354" i="7"/>
  <c r="E354" i="7"/>
  <c r="F354" i="7"/>
  <c r="G354" i="7"/>
  <c r="H354" i="7"/>
  <c r="I354" i="7"/>
  <c r="A355" i="7"/>
  <c r="B355" i="7"/>
  <c r="C355" i="7"/>
  <c r="D355" i="7"/>
  <c r="E355" i="7"/>
  <c r="F355" i="7"/>
  <c r="G355" i="7"/>
  <c r="H355" i="7"/>
  <c r="I355" i="7"/>
  <c r="A356" i="7"/>
  <c r="B356" i="7"/>
  <c r="C356" i="7"/>
  <c r="D356" i="7"/>
  <c r="E356" i="7"/>
  <c r="F356" i="7"/>
  <c r="G356" i="7"/>
  <c r="H356" i="7"/>
  <c r="I356" i="7"/>
  <c r="A357" i="7"/>
  <c r="B357" i="7"/>
  <c r="C357" i="7"/>
  <c r="D357" i="7"/>
  <c r="E357" i="7"/>
  <c r="F357" i="7"/>
  <c r="G357" i="7"/>
  <c r="H357" i="7"/>
  <c r="I357" i="7"/>
  <c r="A358" i="7"/>
  <c r="B358" i="7"/>
  <c r="C358" i="7"/>
  <c r="D358" i="7"/>
  <c r="E358" i="7"/>
  <c r="F358" i="7"/>
  <c r="G358" i="7"/>
  <c r="H358" i="7"/>
  <c r="I358" i="7"/>
  <c r="A359" i="7"/>
  <c r="B359" i="7"/>
  <c r="C359" i="7"/>
  <c r="D359" i="7"/>
  <c r="E359" i="7"/>
  <c r="F359" i="7"/>
  <c r="G359" i="7"/>
  <c r="H359" i="7"/>
  <c r="I359" i="7"/>
  <c r="A360" i="7"/>
  <c r="B360" i="7"/>
  <c r="C360" i="7"/>
  <c r="D360" i="7"/>
  <c r="E360" i="7"/>
  <c r="F360" i="7"/>
  <c r="G360" i="7"/>
  <c r="H360" i="7"/>
  <c r="I360" i="7"/>
  <c r="A361" i="7"/>
  <c r="B361" i="7"/>
  <c r="C361" i="7"/>
  <c r="D361" i="7"/>
  <c r="E361" i="7"/>
  <c r="F361" i="7"/>
  <c r="G361" i="7"/>
  <c r="H361" i="7"/>
  <c r="I361" i="7"/>
  <c r="A362" i="7"/>
  <c r="B362" i="7"/>
  <c r="C362" i="7"/>
  <c r="D362" i="7"/>
  <c r="E362" i="7"/>
  <c r="F362" i="7"/>
  <c r="G362" i="7"/>
  <c r="H362" i="7"/>
  <c r="I362" i="7"/>
  <c r="A363" i="7"/>
  <c r="B363" i="7"/>
  <c r="C363" i="7"/>
  <c r="D363" i="7"/>
  <c r="E363" i="7"/>
  <c r="F363" i="7"/>
  <c r="G363" i="7"/>
  <c r="H363" i="7"/>
  <c r="I363" i="7"/>
  <c r="A364" i="7"/>
  <c r="B364" i="7"/>
  <c r="C364" i="7"/>
  <c r="D364" i="7"/>
  <c r="E364" i="7"/>
  <c r="F364" i="7"/>
  <c r="G364" i="7"/>
  <c r="H364" i="7"/>
  <c r="I364" i="7"/>
  <c r="A365" i="7"/>
  <c r="B365" i="7"/>
  <c r="C365" i="7"/>
  <c r="D365" i="7"/>
  <c r="E365" i="7"/>
  <c r="F365" i="7"/>
  <c r="G365" i="7"/>
  <c r="H365" i="7"/>
  <c r="I365" i="7"/>
  <c r="A366" i="7"/>
  <c r="B366" i="7"/>
  <c r="C366" i="7"/>
  <c r="D366" i="7"/>
  <c r="E366" i="7"/>
  <c r="F366" i="7"/>
  <c r="G366" i="7"/>
  <c r="H366" i="7"/>
  <c r="I366" i="7"/>
  <c r="A367" i="7"/>
  <c r="B367" i="7"/>
  <c r="C367" i="7"/>
  <c r="D367" i="7"/>
  <c r="E367" i="7"/>
  <c r="F367" i="7"/>
  <c r="G367" i="7"/>
  <c r="H367" i="7"/>
  <c r="I367" i="7"/>
  <c r="A368" i="7"/>
  <c r="B368" i="7"/>
  <c r="C368" i="7"/>
  <c r="D368" i="7"/>
  <c r="E368" i="7"/>
  <c r="F368" i="7"/>
  <c r="G368" i="7"/>
  <c r="H368" i="7"/>
  <c r="I368" i="7"/>
  <c r="A369" i="7"/>
  <c r="B369" i="7"/>
  <c r="C369" i="7"/>
  <c r="D369" i="7"/>
  <c r="E369" i="7"/>
  <c r="F369" i="7"/>
  <c r="G369" i="7"/>
  <c r="H369" i="7"/>
  <c r="I369" i="7"/>
  <c r="A370" i="7"/>
  <c r="B370" i="7"/>
  <c r="C370" i="7"/>
  <c r="D370" i="7"/>
  <c r="E370" i="7"/>
  <c r="F370" i="7"/>
  <c r="G370" i="7"/>
  <c r="H370" i="7"/>
  <c r="I370" i="7"/>
  <c r="A371" i="7"/>
  <c r="B371" i="7"/>
  <c r="C371" i="7"/>
  <c r="D371" i="7"/>
  <c r="E371" i="7"/>
  <c r="F371" i="7"/>
  <c r="G371" i="7"/>
  <c r="H371" i="7"/>
  <c r="I371" i="7"/>
  <c r="A372" i="7"/>
  <c r="B372" i="7"/>
  <c r="C372" i="7"/>
  <c r="D372" i="7"/>
  <c r="E372" i="7"/>
  <c r="F372" i="7"/>
  <c r="G372" i="7"/>
  <c r="H372" i="7"/>
  <c r="I372" i="7"/>
  <c r="A373" i="7"/>
  <c r="B373" i="7"/>
  <c r="C373" i="7"/>
  <c r="D373" i="7"/>
  <c r="E373" i="7"/>
  <c r="F373" i="7"/>
  <c r="G373" i="7"/>
  <c r="H373" i="7"/>
  <c r="I373" i="7"/>
  <c r="A374" i="7"/>
  <c r="B374" i="7"/>
  <c r="C374" i="7"/>
  <c r="D374" i="7"/>
  <c r="E374" i="7"/>
  <c r="F374" i="7"/>
  <c r="G374" i="7"/>
  <c r="H374" i="7"/>
  <c r="I374" i="7"/>
  <c r="A375" i="7"/>
  <c r="B375" i="7"/>
  <c r="C375" i="7"/>
  <c r="D375" i="7"/>
  <c r="E375" i="7"/>
  <c r="F375" i="7"/>
  <c r="G375" i="7"/>
  <c r="H375" i="7"/>
  <c r="I375" i="7"/>
  <c r="A376" i="7"/>
  <c r="B376" i="7"/>
  <c r="C376" i="7"/>
  <c r="D376" i="7"/>
  <c r="E376" i="7"/>
  <c r="F376" i="7"/>
  <c r="G376" i="7"/>
  <c r="H376" i="7"/>
  <c r="I376" i="7"/>
  <c r="A377" i="7"/>
  <c r="B377" i="7"/>
  <c r="C377" i="7"/>
  <c r="D377" i="7"/>
  <c r="E377" i="7"/>
  <c r="F377" i="7"/>
  <c r="G377" i="7"/>
  <c r="H377" i="7"/>
  <c r="I377" i="7"/>
  <c r="A378" i="7"/>
  <c r="B378" i="7"/>
  <c r="C378" i="7"/>
  <c r="D378" i="7"/>
  <c r="E378" i="7"/>
  <c r="F378" i="7"/>
  <c r="G378" i="7"/>
  <c r="H378" i="7"/>
  <c r="I378" i="7"/>
  <c r="A379" i="7"/>
  <c r="B379" i="7"/>
  <c r="C379" i="7"/>
  <c r="D379" i="7"/>
  <c r="E379" i="7"/>
  <c r="F379" i="7"/>
  <c r="G379" i="7"/>
  <c r="H379" i="7"/>
  <c r="I379" i="7"/>
  <c r="A380" i="7"/>
  <c r="B380" i="7"/>
  <c r="C380" i="7"/>
  <c r="D380" i="7"/>
  <c r="E380" i="7"/>
  <c r="F380" i="7"/>
  <c r="G380" i="7"/>
  <c r="H380" i="7"/>
  <c r="I380" i="7"/>
  <c r="A381" i="7"/>
  <c r="B381" i="7"/>
  <c r="C381" i="7"/>
  <c r="D381" i="7"/>
  <c r="E381" i="7"/>
  <c r="F381" i="7"/>
  <c r="G381" i="7"/>
  <c r="H381" i="7"/>
  <c r="I381" i="7"/>
  <c r="A382" i="7"/>
  <c r="B382" i="7"/>
  <c r="C382" i="7"/>
  <c r="D382" i="7"/>
  <c r="E382" i="7"/>
  <c r="F382" i="7"/>
  <c r="G382" i="7"/>
  <c r="H382" i="7"/>
  <c r="I382" i="7"/>
  <c r="A383" i="7"/>
  <c r="B383" i="7"/>
  <c r="C383" i="7"/>
  <c r="D383" i="7"/>
  <c r="E383" i="7"/>
  <c r="F383" i="7"/>
  <c r="G383" i="7"/>
  <c r="H383" i="7"/>
  <c r="I383" i="7"/>
  <c r="A384" i="7"/>
  <c r="B384" i="7"/>
  <c r="C384" i="7"/>
  <c r="D384" i="7"/>
  <c r="E384" i="7"/>
  <c r="F384" i="7"/>
  <c r="G384" i="7"/>
  <c r="H384" i="7"/>
  <c r="I384" i="7"/>
  <c r="A385" i="7"/>
  <c r="B385" i="7"/>
  <c r="C385" i="7"/>
  <c r="D385" i="7"/>
  <c r="E385" i="7"/>
  <c r="F385" i="7"/>
  <c r="G385" i="7"/>
  <c r="H385" i="7"/>
  <c r="I385" i="7"/>
  <c r="A386" i="7"/>
  <c r="B386" i="7"/>
  <c r="C386" i="7"/>
  <c r="D386" i="7"/>
  <c r="E386" i="7"/>
  <c r="F386" i="7"/>
  <c r="G386" i="7"/>
  <c r="H386" i="7"/>
  <c r="I386" i="7"/>
  <c r="A387" i="7"/>
  <c r="B387" i="7"/>
  <c r="C387" i="7"/>
  <c r="D387" i="7"/>
  <c r="E387" i="7"/>
  <c r="F387" i="7"/>
  <c r="G387" i="7"/>
  <c r="H387" i="7"/>
  <c r="I387" i="7"/>
  <c r="A388" i="7"/>
  <c r="B388" i="7"/>
  <c r="C388" i="7"/>
  <c r="D388" i="7"/>
  <c r="E388" i="7"/>
  <c r="F388" i="7"/>
  <c r="G388" i="7"/>
  <c r="H388" i="7"/>
  <c r="I388" i="7"/>
  <c r="A389" i="7"/>
  <c r="B389" i="7"/>
  <c r="C389" i="7"/>
  <c r="D389" i="7"/>
  <c r="E389" i="7"/>
  <c r="F389" i="7"/>
  <c r="G389" i="7"/>
  <c r="H389" i="7"/>
  <c r="I389" i="7"/>
  <c r="A390" i="7"/>
  <c r="B390" i="7"/>
  <c r="C390" i="7"/>
  <c r="D390" i="7"/>
  <c r="E390" i="7"/>
  <c r="F390" i="7"/>
  <c r="G390" i="7"/>
  <c r="H390" i="7"/>
  <c r="I390" i="7"/>
  <c r="A391" i="7"/>
  <c r="B391" i="7"/>
  <c r="C391" i="7"/>
  <c r="D391" i="7"/>
  <c r="E391" i="7"/>
  <c r="F391" i="7"/>
  <c r="G391" i="7"/>
  <c r="H391" i="7"/>
  <c r="I391" i="7"/>
  <c r="A392" i="7"/>
  <c r="B392" i="7"/>
  <c r="C392" i="7"/>
  <c r="D392" i="7"/>
  <c r="E392" i="7"/>
  <c r="F392" i="7"/>
  <c r="G392" i="7"/>
  <c r="H392" i="7"/>
  <c r="I392" i="7"/>
  <c r="A393" i="7"/>
  <c r="B393" i="7"/>
  <c r="C393" i="7"/>
  <c r="D393" i="7"/>
  <c r="E393" i="7"/>
  <c r="F393" i="7"/>
  <c r="G393" i="7"/>
  <c r="H393" i="7"/>
  <c r="I393" i="7"/>
  <c r="A394" i="7"/>
  <c r="B394" i="7"/>
  <c r="C394" i="7"/>
  <c r="D394" i="7"/>
  <c r="E394" i="7"/>
  <c r="F394" i="7"/>
  <c r="G394" i="7"/>
  <c r="H394" i="7"/>
  <c r="I394" i="7"/>
  <c r="A395" i="7"/>
  <c r="B395" i="7"/>
  <c r="C395" i="7"/>
  <c r="D395" i="7"/>
  <c r="E395" i="7"/>
  <c r="F395" i="7"/>
  <c r="G395" i="7"/>
  <c r="H395" i="7"/>
  <c r="I395" i="7"/>
  <c r="A396" i="7"/>
  <c r="B396" i="7"/>
  <c r="C396" i="7"/>
  <c r="D396" i="7"/>
  <c r="E396" i="7"/>
  <c r="F396" i="7"/>
  <c r="G396" i="7"/>
  <c r="H396" i="7"/>
  <c r="I396" i="7"/>
  <c r="A397" i="7"/>
  <c r="B397" i="7"/>
  <c r="C397" i="7"/>
  <c r="D397" i="7"/>
  <c r="E397" i="7"/>
  <c r="F397" i="7"/>
  <c r="G397" i="7"/>
  <c r="H397" i="7"/>
  <c r="I397" i="7"/>
  <c r="A398" i="7"/>
  <c r="B398" i="7"/>
  <c r="C398" i="7"/>
  <c r="D398" i="7"/>
  <c r="E398" i="7"/>
  <c r="F398" i="7"/>
  <c r="G398" i="7"/>
  <c r="H398" i="7"/>
  <c r="I398" i="7"/>
  <c r="A399" i="7"/>
  <c r="B399" i="7"/>
  <c r="C399" i="7"/>
  <c r="D399" i="7"/>
  <c r="E399" i="7"/>
  <c r="F399" i="7"/>
  <c r="G399" i="7"/>
  <c r="H399" i="7"/>
  <c r="I399" i="7"/>
  <c r="A400" i="7"/>
  <c r="B400" i="7"/>
  <c r="C400" i="7"/>
  <c r="D400" i="7"/>
  <c r="E400" i="7"/>
  <c r="F400" i="7"/>
  <c r="G400" i="7"/>
  <c r="H400" i="7"/>
  <c r="I400" i="7"/>
  <c r="A401" i="7"/>
  <c r="B401" i="7"/>
  <c r="C401" i="7"/>
  <c r="D401" i="7"/>
  <c r="E401" i="7"/>
  <c r="F401" i="7"/>
  <c r="G401" i="7"/>
  <c r="H401" i="7"/>
  <c r="I401" i="7"/>
  <c r="A402" i="7"/>
  <c r="B402" i="7"/>
  <c r="C402" i="7"/>
  <c r="D402" i="7"/>
  <c r="E402" i="7"/>
  <c r="F402" i="7"/>
  <c r="G402" i="7"/>
  <c r="H402" i="7"/>
  <c r="I402" i="7"/>
  <c r="A403" i="7"/>
  <c r="B403" i="7"/>
  <c r="C403" i="7"/>
  <c r="D403" i="7"/>
  <c r="E403" i="7"/>
  <c r="F403" i="7"/>
  <c r="G403" i="7"/>
  <c r="H403" i="7"/>
  <c r="I403" i="7"/>
  <c r="A404" i="7"/>
  <c r="B404" i="7"/>
  <c r="C404" i="7"/>
  <c r="D404" i="7"/>
  <c r="E404" i="7"/>
  <c r="F404" i="7"/>
  <c r="G404" i="7"/>
  <c r="H404" i="7"/>
  <c r="I404" i="7"/>
  <c r="A405" i="7"/>
  <c r="B405" i="7"/>
  <c r="C405" i="7"/>
  <c r="D405" i="7"/>
  <c r="E405" i="7"/>
  <c r="F405" i="7"/>
  <c r="G405" i="7"/>
  <c r="H405" i="7"/>
  <c r="I405" i="7"/>
  <c r="A406" i="7"/>
  <c r="B406" i="7"/>
  <c r="C406" i="7"/>
  <c r="D406" i="7"/>
  <c r="E406" i="7"/>
  <c r="F406" i="7"/>
  <c r="G406" i="7"/>
  <c r="H406" i="7"/>
  <c r="I406" i="7"/>
  <c r="A407" i="7"/>
  <c r="B407" i="7"/>
  <c r="C407" i="7"/>
  <c r="D407" i="7"/>
  <c r="E407" i="7"/>
  <c r="F407" i="7"/>
  <c r="G407" i="7"/>
  <c r="H407" i="7"/>
  <c r="I407" i="7"/>
  <c r="A408" i="7"/>
  <c r="B408" i="7"/>
  <c r="C408" i="7"/>
  <c r="D408" i="7"/>
  <c r="E408" i="7"/>
  <c r="F408" i="7"/>
  <c r="G408" i="7"/>
  <c r="H408" i="7"/>
  <c r="I408" i="7"/>
  <c r="A409" i="7"/>
  <c r="B409" i="7"/>
  <c r="C409" i="7"/>
  <c r="D409" i="7"/>
  <c r="E409" i="7"/>
  <c r="F409" i="7"/>
  <c r="G409" i="7"/>
  <c r="H409" i="7"/>
  <c r="I409" i="7"/>
  <c r="A410" i="7"/>
  <c r="B410" i="7"/>
  <c r="C410" i="7"/>
  <c r="D410" i="7"/>
  <c r="E410" i="7"/>
  <c r="F410" i="7"/>
  <c r="G410" i="7"/>
  <c r="H410" i="7"/>
  <c r="I410" i="7"/>
  <c r="A411" i="7"/>
  <c r="B411" i="7"/>
  <c r="C411" i="7"/>
  <c r="D411" i="7"/>
  <c r="E411" i="7"/>
  <c r="F411" i="7"/>
  <c r="G411" i="7"/>
  <c r="H411" i="7"/>
  <c r="I411" i="7"/>
  <c r="A412" i="7"/>
  <c r="B412" i="7"/>
  <c r="C412" i="7"/>
  <c r="D412" i="7"/>
  <c r="E412" i="7"/>
  <c r="F412" i="7"/>
  <c r="G412" i="7"/>
  <c r="H412" i="7"/>
  <c r="I412" i="7"/>
  <c r="A413" i="7"/>
  <c r="B413" i="7"/>
  <c r="C413" i="7"/>
  <c r="D413" i="7"/>
  <c r="E413" i="7"/>
  <c r="F413" i="7"/>
  <c r="G413" i="7"/>
  <c r="H413" i="7"/>
  <c r="I413" i="7"/>
  <c r="A414" i="7"/>
  <c r="B414" i="7"/>
  <c r="C414" i="7"/>
  <c r="D414" i="7"/>
  <c r="E414" i="7"/>
  <c r="F414" i="7"/>
  <c r="G414" i="7"/>
  <c r="H414" i="7"/>
  <c r="I414" i="7"/>
  <c r="A415" i="7"/>
  <c r="B415" i="7"/>
  <c r="C415" i="7"/>
  <c r="D415" i="7"/>
  <c r="E415" i="7"/>
  <c r="F415" i="7"/>
  <c r="G415" i="7"/>
  <c r="H415" i="7"/>
  <c r="I415" i="7"/>
  <c r="A416" i="7"/>
  <c r="B416" i="7"/>
  <c r="C416" i="7"/>
  <c r="D416" i="7"/>
  <c r="E416" i="7"/>
  <c r="F416" i="7"/>
  <c r="G416" i="7"/>
  <c r="H416" i="7"/>
  <c r="I416" i="7"/>
  <c r="A417" i="7"/>
  <c r="B417" i="7"/>
  <c r="C417" i="7"/>
  <c r="D417" i="7"/>
  <c r="E417" i="7"/>
  <c r="F417" i="7"/>
  <c r="G417" i="7"/>
  <c r="H417" i="7"/>
  <c r="I417" i="7"/>
  <c r="A418" i="7"/>
  <c r="B418" i="7"/>
  <c r="C418" i="7"/>
  <c r="D418" i="7"/>
  <c r="E418" i="7"/>
  <c r="F418" i="7"/>
  <c r="G418" i="7"/>
  <c r="H418" i="7"/>
  <c r="I418" i="7"/>
  <c r="A419" i="7"/>
  <c r="B419" i="7"/>
  <c r="C419" i="7"/>
  <c r="D419" i="7"/>
  <c r="E419" i="7"/>
  <c r="F419" i="7"/>
  <c r="G419" i="7"/>
  <c r="H419" i="7"/>
  <c r="I419" i="7"/>
  <c r="A420" i="7"/>
  <c r="B420" i="7"/>
  <c r="C420" i="7"/>
  <c r="D420" i="7"/>
  <c r="E420" i="7"/>
  <c r="F420" i="7"/>
  <c r="G420" i="7"/>
  <c r="H420" i="7"/>
  <c r="I420" i="7"/>
  <c r="A421" i="7"/>
  <c r="B421" i="7"/>
  <c r="C421" i="7"/>
  <c r="D421" i="7"/>
  <c r="E421" i="7"/>
  <c r="F421" i="7"/>
  <c r="G421" i="7"/>
  <c r="H421" i="7"/>
  <c r="I421" i="7"/>
  <c r="A422" i="7"/>
  <c r="B422" i="7"/>
  <c r="C422" i="7"/>
  <c r="D422" i="7"/>
  <c r="E422" i="7"/>
  <c r="F422" i="7"/>
  <c r="G422" i="7"/>
  <c r="H422" i="7"/>
  <c r="I422" i="7"/>
  <c r="A423" i="7"/>
  <c r="B423" i="7"/>
  <c r="C423" i="7"/>
  <c r="D423" i="7"/>
  <c r="E423" i="7"/>
  <c r="F423" i="7"/>
  <c r="G423" i="7"/>
  <c r="H423" i="7"/>
  <c r="I423" i="7"/>
  <c r="A424" i="7"/>
  <c r="B424" i="7"/>
  <c r="C424" i="7"/>
  <c r="D424" i="7"/>
  <c r="E424" i="7"/>
  <c r="F424" i="7"/>
  <c r="G424" i="7"/>
  <c r="H424" i="7"/>
  <c r="I424" i="7"/>
  <c r="A425" i="7"/>
  <c r="B425" i="7"/>
  <c r="C425" i="7"/>
  <c r="D425" i="7"/>
  <c r="E425" i="7"/>
  <c r="F425" i="7"/>
  <c r="G425" i="7"/>
  <c r="H425" i="7"/>
  <c r="I425" i="7"/>
  <c r="A426" i="7"/>
  <c r="B426" i="7"/>
  <c r="C426" i="7"/>
  <c r="D426" i="7"/>
  <c r="E426" i="7"/>
  <c r="F426" i="7"/>
  <c r="G426" i="7"/>
  <c r="H426" i="7"/>
  <c r="I426" i="7"/>
  <c r="A427" i="7"/>
  <c r="B427" i="7"/>
  <c r="C427" i="7"/>
  <c r="D427" i="7"/>
  <c r="E427" i="7"/>
  <c r="F427" i="7"/>
  <c r="G427" i="7"/>
  <c r="H427" i="7"/>
  <c r="I427" i="7"/>
  <c r="A428" i="7"/>
  <c r="B428" i="7"/>
  <c r="C428" i="7"/>
  <c r="D428" i="7"/>
  <c r="E428" i="7"/>
  <c r="F428" i="7"/>
  <c r="G428" i="7"/>
  <c r="H428" i="7"/>
  <c r="I428" i="7"/>
  <c r="A429" i="7"/>
  <c r="B429" i="7"/>
  <c r="C429" i="7"/>
  <c r="D429" i="7"/>
  <c r="E429" i="7"/>
  <c r="F429" i="7"/>
  <c r="G429" i="7"/>
  <c r="H429" i="7"/>
  <c r="I429" i="7"/>
  <c r="A430" i="7"/>
  <c r="B430" i="7"/>
  <c r="C430" i="7"/>
  <c r="D430" i="7"/>
  <c r="E430" i="7"/>
  <c r="F430" i="7"/>
  <c r="G430" i="7"/>
  <c r="H430" i="7"/>
  <c r="I430" i="7"/>
  <c r="A431" i="7"/>
  <c r="B431" i="7"/>
  <c r="C431" i="7"/>
  <c r="D431" i="7"/>
  <c r="E431" i="7"/>
  <c r="F431" i="7"/>
  <c r="G431" i="7"/>
  <c r="H431" i="7"/>
  <c r="I431" i="7"/>
  <c r="A432" i="7"/>
  <c r="B432" i="7"/>
  <c r="C432" i="7"/>
  <c r="D432" i="7"/>
  <c r="E432" i="7"/>
  <c r="F432" i="7"/>
  <c r="G432" i="7"/>
  <c r="H432" i="7"/>
  <c r="I432" i="7"/>
  <c r="A433" i="7"/>
  <c r="B433" i="7"/>
  <c r="C433" i="7"/>
  <c r="D433" i="7"/>
  <c r="E433" i="7"/>
  <c r="F433" i="7"/>
  <c r="G433" i="7"/>
  <c r="H433" i="7"/>
  <c r="I433" i="7"/>
  <c r="A434" i="7"/>
  <c r="B434" i="7"/>
  <c r="C434" i="7"/>
  <c r="D434" i="7"/>
  <c r="E434" i="7"/>
  <c r="F434" i="7"/>
  <c r="G434" i="7"/>
  <c r="H434" i="7"/>
  <c r="I434" i="7"/>
  <c r="A435" i="7"/>
  <c r="B435" i="7"/>
  <c r="C435" i="7"/>
  <c r="D435" i="7"/>
  <c r="E435" i="7"/>
  <c r="F435" i="7"/>
  <c r="G435" i="7"/>
  <c r="H435" i="7"/>
  <c r="I435" i="7"/>
  <c r="A436" i="7"/>
  <c r="B436" i="7"/>
  <c r="C436" i="7"/>
  <c r="D436" i="7"/>
  <c r="E436" i="7"/>
  <c r="F436" i="7"/>
  <c r="G436" i="7"/>
  <c r="H436" i="7"/>
  <c r="I436" i="7"/>
  <c r="A437" i="7"/>
  <c r="B437" i="7"/>
  <c r="C437" i="7"/>
  <c r="D437" i="7"/>
  <c r="E437" i="7"/>
  <c r="F437" i="7"/>
  <c r="G437" i="7"/>
  <c r="H437" i="7"/>
  <c r="I437" i="7"/>
  <c r="A438" i="7"/>
  <c r="B438" i="7"/>
  <c r="C438" i="7"/>
  <c r="D438" i="7"/>
  <c r="E438" i="7"/>
  <c r="F438" i="7"/>
  <c r="G438" i="7"/>
  <c r="H438" i="7"/>
  <c r="I438" i="7"/>
  <c r="A439" i="7"/>
  <c r="B439" i="7"/>
  <c r="C439" i="7"/>
  <c r="D439" i="7"/>
  <c r="E439" i="7"/>
  <c r="F439" i="7"/>
  <c r="G439" i="7"/>
  <c r="H439" i="7"/>
  <c r="I439" i="7"/>
  <c r="A440" i="7"/>
  <c r="B440" i="7"/>
  <c r="C440" i="7"/>
  <c r="D440" i="7"/>
  <c r="E440" i="7"/>
  <c r="F440" i="7"/>
  <c r="G440" i="7"/>
  <c r="H440" i="7"/>
  <c r="I440" i="7"/>
  <c r="A441" i="7"/>
  <c r="B441" i="7"/>
  <c r="C441" i="7"/>
  <c r="D441" i="7"/>
  <c r="E441" i="7"/>
  <c r="F441" i="7"/>
  <c r="G441" i="7"/>
  <c r="H441" i="7"/>
  <c r="I441" i="7"/>
  <c r="A442" i="7"/>
  <c r="B442" i="7"/>
  <c r="C442" i="7"/>
  <c r="D442" i="7"/>
  <c r="E442" i="7"/>
  <c r="F442" i="7"/>
  <c r="G442" i="7"/>
  <c r="H442" i="7"/>
  <c r="I442" i="7"/>
  <c r="A443" i="7"/>
  <c r="B443" i="7"/>
  <c r="C443" i="7"/>
  <c r="D443" i="7"/>
  <c r="E443" i="7"/>
  <c r="F443" i="7"/>
  <c r="G443" i="7"/>
  <c r="H443" i="7"/>
  <c r="I443" i="7"/>
  <c r="A444" i="7"/>
  <c r="B444" i="7"/>
  <c r="C444" i="7"/>
  <c r="D444" i="7"/>
  <c r="E444" i="7"/>
  <c r="F444" i="7"/>
  <c r="G444" i="7"/>
  <c r="H444" i="7"/>
  <c r="I444" i="7"/>
  <c r="A445" i="7"/>
  <c r="B445" i="7"/>
  <c r="C445" i="7"/>
  <c r="D445" i="7"/>
  <c r="E445" i="7"/>
  <c r="F445" i="7"/>
  <c r="G445" i="7"/>
  <c r="H445" i="7"/>
  <c r="I445" i="7"/>
  <c r="A446" i="7"/>
  <c r="B446" i="7"/>
  <c r="C446" i="7"/>
  <c r="D446" i="7"/>
  <c r="E446" i="7"/>
  <c r="F446" i="7"/>
  <c r="G446" i="7"/>
  <c r="H446" i="7"/>
  <c r="I446" i="7"/>
  <c r="A447" i="7"/>
  <c r="B447" i="7"/>
  <c r="C447" i="7"/>
  <c r="D447" i="7"/>
  <c r="E447" i="7"/>
  <c r="F447" i="7"/>
  <c r="G447" i="7"/>
  <c r="H447" i="7"/>
  <c r="I447" i="7"/>
  <c r="A448" i="7"/>
  <c r="B448" i="7"/>
  <c r="C448" i="7"/>
  <c r="D448" i="7"/>
  <c r="E448" i="7"/>
  <c r="F448" i="7"/>
  <c r="G448" i="7"/>
  <c r="H448" i="7"/>
  <c r="I448" i="7"/>
  <c r="A449" i="7"/>
  <c r="B449" i="7"/>
  <c r="C449" i="7"/>
  <c r="D449" i="7"/>
  <c r="E449" i="7"/>
  <c r="F449" i="7"/>
  <c r="G449" i="7"/>
  <c r="H449" i="7"/>
  <c r="I449" i="7"/>
  <c r="A450" i="7"/>
  <c r="B450" i="7"/>
  <c r="C450" i="7"/>
  <c r="D450" i="7"/>
  <c r="E450" i="7"/>
  <c r="F450" i="7"/>
  <c r="G450" i="7"/>
  <c r="H450" i="7"/>
  <c r="I450" i="7"/>
  <c r="A451" i="7"/>
  <c r="B451" i="7"/>
  <c r="C451" i="7"/>
  <c r="D451" i="7"/>
  <c r="E451" i="7"/>
  <c r="F451" i="7"/>
  <c r="G451" i="7"/>
  <c r="H451" i="7"/>
  <c r="I451" i="7"/>
  <c r="A452" i="7"/>
  <c r="B452" i="7"/>
  <c r="C452" i="7"/>
  <c r="D452" i="7"/>
  <c r="E452" i="7"/>
  <c r="F452" i="7"/>
  <c r="G452" i="7"/>
  <c r="H452" i="7"/>
  <c r="I452" i="7"/>
  <c r="A453" i="7"/>
  <c r="B453" i="7"/>
  <c r="C453" i="7"/>
  <c r="D453" i="7"/>
  <c r="E453" i="7"/>
  <c r="F453" i="7"/>
  <c r="G453" i="7"/>
  <c r="H453" i="7"/>
  <c r="I453" i="7"/>
  <c r="A454" i="7"/>
  <c r="B454" i="7"/>
  <c r="C454" i="7"/>
  <c r="D454" i="7"/>
  <c r="E454" i="7"/>
  <c r="F454" i="7"/>
  <c r="G454" i="7"/>
  <c r="H454" i="7"/>
  <c r="I454" i="7"/>
  <c r="A455" i="7"/>
  <c r="B455" i="7"/>
  <c r="C455" i="7"/>
  <c r="D455" i="7"/>
  <c r="E455" i="7"/>
  <c r="F455" i="7"/>
  <c r="G455" i="7"/>
  <c r="H455" i="7"/>
  <c r="I455" i="7"/>
  <c r="A456" i="7"/>
  <c r="B456" i="7"/>
  <c r="C456" i="7"/>
  <c r="D456" i="7"/>
  <c r="E456" i="7"/>
  <c r="F456" i="7"/>
  <c r="G456" i="7"/>
  <c r="H456" i="7"/>
  <c r="I456" i="7"/>
  <c r="A457" i="7"/>
  <c r="B457" i="7"/>
  <c r="C457" i="7"/>
  <c r="D457" i="7"/>
  <c r="E457" i="7"/>
  <c r="F457" i="7"/>
  <c r="G457" i="7"/>
  <c r="H457" i="7"/>
  <c r="I457" i="7"/>
  <c r="A458" i="7"/>
  <c r="B458" i="7"/>
  <c r="C458" i="7"/>
  <c r="D458" i="7"/>
  <c r="E458" i="7"/>
  <c r="F458" i="7"/>
  <c r="G458" i="7"/>
  <c r="H458" i="7"/>
  <c r="I458" i="7"/>
  <c r="A459" i="7"/>
  <c r="B459" i="7"/>
  <c r="C459" i="7"/>
  <c r="D459" i="7"/>
  <c r="E459" i="7"/>
  <c r="F459" i="7"/>
  <c r="G459" i="7"/>
  <c r="H459" i="7"/>
  <c r="I459" i="7"/>
  <c r="A460" i="7"/>
  <c r="B460" i="7"/>
  <c r="C460" i="7"/>
  <c r="D460" i="7"/>
  <c r="E460" i="7"/>
  <c r="F460" i="7"/>
  <c r="G460" i="7"/>
  <c r="H460" i="7"/>
  <c r="I460" i="7"/>
  <c r="A461" i="7"/>
  <c r="B461" i="7"/>
  <c r="C461" i="7"/>
  <c r="D461" i="7"/>
  <c r="E461" i="7"/>
  <c r="F461" i="7"/>
  <c r="G461" i="7"/>
  <c r="H461" i="7"/>
  <c r="I461" i="7"/>
  <c r="A462" i="7"/>
  <c r="B462" i="7"/>
  <c r="C462" i="7"/>
  <c r="D462" i="7"/>
  <c r="E462" i="7"/>
  <c r="F462" i="7"/>
  <c r="G462" i="7"/>
  <c r="H462" i="7"/>
  <c r="I462" i="7"/>
  <c r="A463" i="7"/>
  <c r="B463" i="7"/>
  <c r="C463" i="7"/>
  <c r="D463" i="7"/>
  <c r="E463" i="7"/>
  <c r="F463" i="7"/>
  <c r="G463" i="7"/>
  <c r="H463" i="7"/>
  <c r="I463" i="7"/>
  <c r="A464" i="7"/>
  <c r="B464" i="7"/>
  <c r="C464" i="7"/>
  <c r="D464" i="7"/>
  <c r="E464" i="7"/>
  <c r="F464" i="7"/>
  <c r="G464" i="7"/>
  <c r="H464" i="7"/>
  <c r="I464" i="7"/>
  <c r="A465" i="7"/>
  <c r="B465" i="7"/>
  <c r="C465" i="7"/>
  <c r="D465" i="7"/>
  <c r="E465" i="7"/>
  <c r="F465" i="7"/>
  <c r="G465" i="7"/>
  <c r="H465" i="7"/>
  <c r="I465" i="7"/>
  <c r="A466" i="7"/>
  <c r="B466" i="7"/>
  <c r="C466" i="7"/>
  <c r="D466" i="7"/>
  <c r="E466" i="7"/>
  <c r="F466" i="7"/>
  <c r="G466" i="7"/>
  <c r="H466" i="7"/>
  <c r="I466" i="7"/>
  <c r="A467" i="7"/>
  <c r="B467" i="7"/>
  <c r="C467" i="7"/>
  <c r="D467" i="7"/>
  <c r="E467" i="7"/>
  <c r="F467" i="7"/>
  <c r="G467" i="7"/>
  <c r="H467" i="7"/>
  <c r="I467" i="7"/>
  <c r="A468" i="7"/>
  <c r="B468" i="7"/>
  <c r="C468" i="7"/>
  <c r="D468" i="7"/>
  <c r="E468" i="7"/>
  <c r="F468" i="7"/>
  <c r="G468" i="7"/>
  <c r="H468" i="7"/>
  <c r="I468" i="7"/>
  <c r="A469" i="7"/>
  <c r="B469" i="7"/>
  <c r="C469" i="7"/>
  <c r="D469" i="7"/>
  <c r="E469" i="7"/>
  <c r="F469" i="7"/>
  <c r="G469" i="7"/>
  <c r="H469" i="7"/>
  <c r="I469" i="7"/>
  <c r="A470" i="7"/>
  <c r="B470" i="7"/>
  <c r="C470" i="7"/>
  <c r="D470" i="7"/>
  <c r="E470" i="7"/>
  <c r="F470" i="7"/>
  <c r="G470" i="7"/>
  <c r="H470" i="7"/>
  <c r="I470" i="7"/>
  <c r="A471" i="7"/>
  <c r="B471" i="7"/>
  <c r="C471" i="7"/>
  <c r="D471" i="7"/>
  <c r="E471" i="7"/>
  <c r="F471" i="7"/>
  <c r="G471" i="7"/>
  <c r="H471" i="7"/>
  <c r="I471" i="7"/>
  <c r="A472" i="7"/>
  <c r="B472" i="7"/>
  <c r="C472" i="7"/>
  <c r="D472" i="7"/>
  <c r="E472" i="7"/>
  <c r="F472" i="7"/>
  <c r="G472" i="7"/>
  <c r="H472" i="7"/>
  <c r="I472" i="7"/>
  <c r="A473" i="7"/>
  <c r="B473" i="7"/>
  <c r="C473" i="7"/>
  <c r="D473" i="7"/>
  <c r="E473" i="7"/>
  <c r="F473" i="7"/>
  <c r="G473" i="7"/>
  <c r="H473" i="7"/>
  <c r="I473" i="7"/>
  <c r="A474" i="7"/>
  <c r="B474" i="7"/>
  <c r="C474" i="7"/>
  <c r="D474" i="7"/>
  <c r="E474" i="7"/>
  <c r="F474" i="7"/>
  <c r="G474" i="7"/>
  <c r="H474" i="7"/>
  <c r="I474" i="7"/>
  <c r="A475" i="7"/>
  <c r="B475" i="7"/>
  <c r="C475" i="7"/>
  <c r="D475" i="7"/>
  <c r="E475" i="7"/>
  <c r="F475" i="7"/>
  <c r="G475" i="7"/>
  <c r="H475" i="7"/>
  <c r="I475" i="7"/>
  <c r="A476" i="7"/>
  <c r="B476" i="7"/>
  <c r="C476" i="7"/>
  <c r="D476" i="7"/>
  <c r="E476" i="7"/>
  <c r="F476" i="7"/>
  <c r="G476" i="7"/>
  <c r="H476" i="7"/>
  <c r="I476" i="7"/>
  <c r="A477" i="7"/>
  <c r="B477" i="7"/>
  <c r="C477" i="7"/>
  <c r="D477" i="7"/>
  <c r="E477" i="7"/>
  <c r="F477" i="7"/>
  <c r="G477" i="7"/>
  <c r="H477" i="7"/>
  <c r="I477" i="7"/>
  <c r="A478" i="7"/>
  <c r="B478" i="7"/>
  <c r="C478" i="7"/>
  <c r="D478" i="7"/>
  <c r="E478" i="7"/>
  <c r="F478" i="7"/>
  <c r="G478" i="7"/>
  <c r="H478" i="7"/>
  <c r="I478" i="7"/>
  <c r="A479" i="7"/>
  <c r="B479" i="7"/>
  <c r="C479" i="7"/>
  <c r="D479" i="7"/>
  <c r="E479" i="7"/>
  <c r="F479" i="7"/>
  <c r="G479" i="7"/>
  <c r="H479" i="7"/>
  <c r="I479" i="7"/>
  <c r="A480" i="7"/>
  <c r="B480" i="7"/>
  <c r="C480" i="7"/>
  <c r="D480" i="7"/>
  <c r="E480" i="7"/>
  <c r="F480" i="7"/>
  <c r="G480" i="7"/>
  <c r="H480" i="7"/>
  <c r="I480" i="7"/>
  <c r="A481" i="7"/>
  <c r="B481" i="7"/>
  <c r="C481" i="7"/>
  <c r="D481" i="7"/>
  <c r="E481" i="7"/>
  <c r="F481" i="7"/>
  <c r="G481" i="7"/>
  <c r="H481" i="7"/>
  <c r="I481" i="7"/>
  <c r="A482" i="7"/>
  <c r="B482" i="7"/>
  <c r="C482" i="7"/>
  <c r="D482" i="7"/>
  <c r="E482" i="7"/>
  <c r="F482" i="7"/>
  <c r="G482" i="7"/>
  <c r="H482" i="7"/>
  <c r="I482" i="7"/>
  <c r="A483" i="7"/>
  <c r="B483" i="7"/>
  <c r="C483" i="7"/>
  <c r="D483" i="7"/>
  <c r="E483" i="7"/>
  <c r="F483" i="7"/>
  <c r="G483" i="7"/>
  <c r="H483" i="7"/>
  <c r="I483" i="7"/>
  <c r="A484" i="7"/>
  <c r="B484" i="7"/>
  <c r="C484" i="7"/>
  <c r="D484" i="7"/>
  <c r="E484" i="7"/>
  <c r="F484" i="7"/>
  <c r="G484" i="7"/>
  <c r="H484" i="7"/>
  <c r="I484" i="7"/>
  <c r="A485" i="7"/>
  <c r="B485" i="7"/>
  <c r="C485" i="7"/>
  <c r="D485" i="7"/>
  <c r="E485" i="7"/>
  <c r="F485" i="7"/>
  <c r="G485" i="7"/>
  <c r="H485" i="7"/>
  <c r="I485" i="7"/>
  <c r="A486" i="7"/>
  <c r="B486" i="7"/>
  <c r="C486" i="7"/>
  <c r="D486" i="7"/>
  <c r="E486" i="7"/>
  <c r="F486" i="7"/>
  <c r="G486" i="7"/>
  <c r="H486" i="7"/>
  <c r="I486" i="7"/>
  <c r="A487" i="7"/>
  <c r="B487" i="7"/>
  <c r="C487" i="7"/>
  <c r="D487" i="7"/>
  <c r="E487" i="7"/>
  <c r="F487" i="7"/>
  <c r="G487" i="7"/>
  <c r="H487" i="7"/>
  <c r="I487" i="7"/>
  <c r="A488" i="7"/>
  <c r="B488" i="7"/>
  <c r="C488" i="7"/>
  <c r="D488" i="7"/>
  <c r="E488" i="7"/>
  <c r="F488" i="7"/>
  <c r="G488" i="7"/>
  <c r="H488" i="7"/>
  <c r="I488" i="7"/>
  <c r="A489" i="7"/>
  <c r="B489" i="7"/>
  <c r="C489" i="7"/>
  <c r="D489" i="7"/>
  <c r="E489" i="7"/>
  <c r="F489" i="7"/>
  <c r="G489" i="7"/>
  <c r="H489" i="7"/>
  <c r="I489" i="7"/>
  <c r="A490" i="7"/>
  <c r="B490" i="7"/>
  <c r="C490" i="7"/>
  <c r="D490" i="7"/>
  <c r="E490" i="7"/>
  <c r="F490" i="7"/>
  <c r="G490" i="7"/>
  <c r="H490" i="7"/>
  <c r="I490" i="7"/>
  <c r="A491" i="7"/>
  <c r="B491" i="7"/>
  <c r="C491" i="7"/>
  <c r="D491" i="7"/>
  <c r="E491" i="7"/>
  <c r="F491" i="7"/>
  <c r="G491" i="7"/>
  <c r="H491" i="7"/>
  <c r="I491" i="7"/>
  <c r="A492" i="7"/>
  <c r="B492" i="7"/>
  <c r="C492" i="7"/>
  <c r="D492" i="7"/>
  <c r="E492" i="7"/>
  <c r="F492" i="7"/>
  <c r="G492" i="7"/>
  <c r="H492" i="7"/>
  <c r="I492" i="7"/>
  <c r="A493" i="7"/>
  <c r="B493" i="7"/>
  <c r="C493" i="7"/>
  <c r="D493" i="7"/>
  <c r="E493" i="7"/>
  <c r="F493" i="7"/>
  <c r="G493" i="7"/>
  <c r="H493" i="7"/>
  <c r="I493" i="7"/>
  <c r="A494" i="7"/>
  <c r="B494" i="7"/>
  <c r="C494" i="7"/>
  <c r="D494" i="7"/>
  <c r="E494" i="7"/>
  <c r="F494" i="7"/>
  <c r="G494" i="7"/>
  <c r="H494" i="7"/>
  <c r="I494" i="7"/>
  <c r="A495" i="7"/>
  <c r="B495" i="7"/>
  <c r="C495" i="7"/>
  <c r="D495" i="7"/>
  <c r="E495" i="7"/>
  <c r="F495" i="7"/>
  <c r="G495" i="7"/>
  <c r="H495" i="7"/>
  <c r="I495" i="7"/>
  <c r="A496" i="7"/>
  <c r="B496" i="7"/>
  <c r="C496" i="7"/>
  <c r="D496" i="7"/>
  <c r="E496" i="7"/>
  <c r="F496" i="7"/>
  <c r="G496" i="7"/>
  <c r="H496" i="7"/>
  <c r="I496" i="7"/>
  <c r="A497" i="7"/>
  <c r="B497" i="7"/>
  <c r="C497" i="7"/>
  <c r="D497" i="7"/>
  <c r="E497" i="7"/>
  <c r="F497" i="7"/>
  <c r="G497" i="7"/>
  <c r="H497" i="7"/>
  <c r="I497" i="7"/>
  <c r="A498" i="7"/>
  <c r="B498" i="7"/>
  <c r="C498" i="7"/>
  <c r="D498" i="7"/>
  <c r="E498" i="7"/>
  <c r="F498" i="7"/>
  <c r="G498" i="7"/>
  <c r="H498" i="7"/>
  <c r="I498" i="7"/>
  <c r="A499" i="7"/>
  <c r="B499" i="7"/>
  <c r="C499" i="7"/>
  <c r="D499" i="7"/>
  <c r="E499" i="7"/>
  <c r="F499" i="7"/>
  <c r="G499" i="7"/>
  <c r="H499" i="7"/>
  <c r="I499" i="7"/>
  <c r="A500" i="7"/>
  <c r="B500" i="7"/>
  <c r="C500" i="7"/>
  <c r="D500" i="7"/>
  <c r="E500" i="7"/>
  <c r="F500" i="7"/>
  <c r="G500" i="7"/>
  <c r="H500" i="7"/>
  <c r="I500" i="7"/>
  <c r="A501" i="7"/>
  <c r="B501" i="7"/>
  <c r="C501" i="7"/>
  <c r="D501" i="7"/>
  <c r="E501" i="7"/>
  <c r="F501" i="7"/>
  <c r="G501" i="7"/>
  <c r="H501" i="7"/>
  <c r="I501" i="7"/>
  <c r="A502" i="7"/>
  <c r="B502" i="7"/>
  <c r="C502" i="7"/>
  <c r="D502" i="7"/>
  <c r="E502" i="7"/>
  <c r="F502" i="7"/>
  <c r="G502" i="7"/>
  <c r="H502" i="7"/>
  <c r="I502" i="7"/>
  <c r="A503" i="7"/>
  <c r="B503" i="7"/>
  <c r="C503" i="7"/>
  <c r="D503" i="7"/>
  <c r="E503" i="7"/>
  <c r="F503" i="7"/>
  <c r="G503" i="7"/>
  <c r="H503" i="7"/>
  <c r="I503" i="7"/>
  <c r="A504" i="7"/>
  <c r="B504" i="7"/>
  <c r="C504" i="7"/>
  <c r="D504" i="7"/>
  <c r="E504" i="7"/>
  <c r="F504" i="7"/>
  <c r="G504" i="7"/>
  <c r="H504" i="7"/>
  <c r="I504" i="7"/>
  <c r="A505" i="7"/>
  <c r="B505" i="7"/>
  <c r="C505" i="7"/>
  <c r="D505" i="7"/>
  <c r="E505" i="7"/>
  <c r="F505" i="7"/>
  <c r="G505" i="7"/>
  <c r="H505" i="7"/>
  <c r="I505" i="7"/>
  <c r="A506" i="7"/>
  <c r="B506" i="7"/>
  <c r="C506" i="7"/>
  <c r="D506" i="7"/>
  <c r="E506" i="7"/>
  <c r="F506" i="7"/>
  <c r="G506" i="7"/>
  <c r="H506" i="7"/>
  <c r="I506" i="7"/>
  <c r="A507" i="7"/>
  <c r="B507" i="7"/>
  <c r="C507" i="7"/>
  <c r="D507" i="7"/>
  <c r="E507" i="7"/>
  <c r="F507" i="7"/>
  <c r="G507" i="7"/>
  <c r="H507" i="7"/>
  <c r="I507" i="7"/>
  <c r="A508" i="7"/>
  <c r="B508" i="7"/>
  <c r="C508" i="7"/>
  <c r="D508" i="7"/>
  <c r="E508" i="7"/>
  <c r="F508" i="7"/>
  <c r="G508" i="7"/>
  <c r="H508" i="7"/>
  <c r="I508" i="7"/>
  <c r="A509" i="7"/>
  <c r="B509" i="7"/>
  <c r="C509" i="7"/>
  <c r="D509" i="7"/>
  <c r="E509" i="7"/>
  <c r="F509" i="7"/>
  <c r="G509" i="7"/>
  <c r="H509" i="7"/>
  <c r="I509" i="7"/>
  <c r="A510" i="7"/>
  <c r="B510" i="7"/>
  <c r="C510" i="7"/>
  <c r="D510" i="7"/>
  <c r="E510" i="7"/>
  <c r="F510" i="7"/>
  <c r="G510" i="7"/>
  <c r="H510" i="7"/>
  <c r="I510" i="7"/>
  <c r="A511" i="7"/>
  <c r="B511" i="7"/>
  <c r="C511" i="7"/>
  <c r="D511" i="7"/>
  <c r="E511" i="7"/>
  <c r="F511" i="7"/>
  <c r="G511" i="7"/>
  <c r="H511" i="7"/>
  <c r="I511" i="7"/>
  <c r="A512" i="7"/>
  <c r="B512" i="7"/>
  <c r="C512" i="7"/>
  <c r="D512" i="7"/>
  <c r="E512" i="7"/>
  <c r="F512" i="7"/>
  <c r="G512" i="7"/>
  <c r="H512" i="7"/>
  <c r="I512" i="7"/>
  <c r="A513" i="7"/>
  <c r="B513" i="7"/>
  <c r="C513" i="7"/>
  <c r="D513" i="7"/>
  <c r="E513" i="7"/>
  <c r="F513" i="7"/>
  <c r="G513" i="7"/>
  <c r="H513" i="7"/>
  <c r="I513" i="7"/>
  <c r="A514" i="7"/>
  <c r="B514" i="7"/>
  <c r="C514" i="7"/>
  <c r="D514" i="7"/>
  <c r="E514" i="7"/>
  <c r="F514" i="7"/>
  <c r="G514" i="7"/>
  <c r="H514" i="7"/>
  <c r="I514" i="7"/>
  <c r="A515" i="7"/>
  <c r="B515" i="7"/>
  <c r="C515" i="7"/>
  <c r="D515" i="7"/>
  <c r="E515" i="7"/>
  <c r="F515" i="7"/>
  <c r="G515" i="7"/>
  <c r="H515" i="7"/>
  <c r="I515" i="7"/>
  <c r="A516" i="7"/>
  <c r="B516" i="7"/>
  <c r="C516" i="7"/>
  <c r="D516" i="7"/>
  <c r="E516" i="7"/>
  <c r="F516" i="7"/>
  <c r="G516" i="7"/>
  <c r="H516" i="7"/>
  <c r="I516" i="7"/>
  <c r="A517" i="7"/>
  <c r="B517" i="7"/>
  <c r="C517" i="7"/>
  <c r="D517" i="7"/>
  <c r="E517" i="7"/>
  <c r="F517" i="7"/>
  <c r="G517" i="7"/>
  <c r="H517" i="7"/>
  <c r="I517" i="7"/>
  <c r="A518" i="7"/>
  <c r="B518" i="7"/>
  <c r="C518" i="7"/>
  <c r="D518" i="7"/>
  <c r="E518" i="7"/>
  <c r="F518" i="7"/>
  <c r="G518" i="7"/>
  <c r="H518" i="7"/>
  <c r="I518" i="7"/>
  <c r="A519" i="7"/>
  <c r="B519" i="7"/>
  <c r="C519" i="7"/>
  <c r="D519" i="7"/>
  <c r="E519" i="7"/>
  <c r="F519" i="7"/>
  <c r="G519" i="7"/>
  <c r="H519" i="7"/>
  <c r="I519" i="7"/>
  <c r="A520" i="7"/>
  <c r="B520" i="7"/>
  <c r="C520" i="7"/>
  <c r="D520" i="7"/>
  <c r="E520" i="7"/>
  <c r="F520" i="7"/>
  <c r="G520" i="7"/>
  <c r="H520" i="7"/>
  <c r="I520" i="7"/>
  <c r="A521" i="7"/>
  <c r="B521" i="7"/>
  <c r="C521" i="7"/>
  <c r="D521" i="7"/>
  <c r="E521" i="7"/>
  <c r="F521" i="7"/>
  <c r="G521" i="7"/>
  <c r="H521" i="7"/>
  <c r="I521" i="7"/>
  <c r="A522" i="7"/>
  <c r="B522" i="7"/>
  <c r="C522" i="7"/>
  <c r="D522" i="7"/>
  <c r="E522" i="7"/>
  <c r="F522" i="7"/>
  <c r="G522" i="7"/>
  <c r="H522" i="7"/>
  <c r="I522" i="7"/>
  <c r="A523" i="7"/>
  <c r="B523" i="7"/>
  <c r="C523" i="7"/>
  <c r="D523" i="7"/>
  <c r="E523" i="7"/>
  <c r="F523" i="7"/>
  <c r="G523" i="7"/>
  <c r="H523" i="7"/>
  <c r="I523" i="7"/>
  <c r="A524" i="7"/>
  <c r="B524" i="7"/>
  <c r="C524" i="7"/>
  <c r="D524" i="7"/>
  <c r="E524" i="7"/>
  <c r="F524" i="7"/>
  <c r="G524" i="7"/>
  <c r="H524" i="7"/>
  <c r="I524" i="7"/>
  <c r="A525" i="7"/>
  <c r="B525" i="7"/>
  <c r="C525" i="7"/>
  <c r="D525" i="7"/>
  <c r="E525" i="7"/>
  <c r="F525" i="7"/>
  <c r="G525" i="7"/>
  <c r="H525" i="7"/>
  <c r="I525" i="7"/>
  <c r="A526" i="7"/>
  <c r="B526" i="7"/>
  <c r="C526" i="7"/>
  <c r="D526" i="7"/>
  <c r="E526" i="7"/>
  <c r="F526" i="7"/>
  <c r="G526" i="7"/>
  <c r="H526" i="7"/>
  <c r="I526" i="7"/>
  <c r="A527" i="7"/>
  <c r="B527" i="7"/>
  <c r="C527" i="7"/>
  <c r="D527" i="7"/>
  <c r="E527" i="7"/>
  <c r="F527" i="7"/>
  <c r="G527" i="7"/>
  <c r="H527" i="7"/>
  <c r="I527" i="7"/>
  <c r="A528" i="7"/>
  <c r="B528" i="7"/>
  <c r="C528" i="7"/>
  <c r="D528" i="7"/>
  <c r="E528" i="7"/>
  <c r="F528" i="7"/>
  <c r="G528" i="7"/>
  <c r="H528" i="7"/>
  <c r="I528" i="7"/>
  <c r="A529" i="7"/>
  <c r="B529" i="7"/>
  <c r="C529" i="7"/>
  <c r="D529" i="7"/>
  <c r="E529" i="7"/>
  <c r="F529" i="7"/>
  <c r="G529" i="7"/>
  <c r="H529" i="7"/>
  <c r="I529" i="7"/>
  <c r="A530" i="7"/>
  <c r="B530" i="7"/>
  <c r="C530" i="7"/>
  <c r="D530" i="7"/>
  <c r="E530" i="7"/>
  <c r="F530" i="7"/>
  <c r="G530" i="7"/>
  <c r="H530" i="7"/>
  <c r="I530" i="7"/>
  <c r="A531" i="7"/>
  <c r="B531" i="7"/>
  <c r="C531" i="7"/>
  <c r="D531" i="7"/>
  <c r="E531" i="7"/>
  <c r="F531" i="7"/>
  <c r="G531" i="7"/>
  <c r="H531" i="7"/>
  <c r="I531" i="7"/>
  <c r="A532" i="7"/>
  <c r="B532" i="7"/>
  <c r="C532" i="7"/>
  <c r="D532" i="7"/>
  <c r="E532" i="7"/>
  <c r="F532" i="7"/>
  <c r="G532" i="7"/>
  <c r="H532" i="7"/>
  <c r="I532" i="7"/>
  <c r="A533" i="7"/>
  <c r="B533" i="7"/>
  <c r="C533" i="7"/>
  <c r="D533" i="7"/>
  <c r="E533" i="7"/>
  <c r="F533" i="7"/>
  <c r="G533" i="7"/>
  <c r="H533" i="7"/>
  <c r="I533" i="7"/>
  <c r="A534" i="7"/>
  <c r="B534" i="7"/>
  <c r="C534" i="7"/>
  <c r="D534" i="7"/>
  <c r="E534" i="7"/>
  <c r="F534" i="7"/>
  <c r="G534" i="7"/>
  <c r="H534" i="7"/>
  <c r="I534" i="7"/>
  <c r="A535" i="7"/>
  <c r="B535" i="7"/>
  <c r="C535" i="7"/>
  <c r="D535" i="7"/>
  <c r="E535" i="7"/>
  <c r="F535" i="7"/>
  <c r="G535" i="7"/>
  <c r="H535" i="7"/>
  <c r="I535" i="7"/>
  <c r="A536" i="7"/>
  <c r="B536" i="7"/>
  <c r="C536" i="7"/>
  <c r="D536" i="7"/>
  <c r="E536" i="7"/>
  <c r="F536" i="7"/>
  <c r="G536" i="7"/>
  <c r="H536" i="7"/>
  <c r="I536" i="7"/>
  <c r="A537" i="7"/>
  <c r="B537" i="7"/>
  <c r="C537" i="7"/>
  <c r="D537" i="7"/>
  <c r="E537" i="7"/>
  <c r="F537" i="7"/>
  <c r="G537" i="7"/>
  <c r="H537" i="7"/>
  <c r="I537" i="7"/>
  <c r="A538" i="7"/>
  <c r="B538" i="7"/>
  <c r="C538" i="7"/>
  <c r="D538" i="7"/>
  <c r="E538" i="7"/>
  <c r="F538" i="7"/>
  <c r="G538" i="7"/>
  <c r="H538" i="7"/>
  <c r="I538" i="7"/>
  <c r="A539" i="7"/>
  <c r="B539" i="7"/>
  <c r="C539" i="7"/>
  <c r="D539" i="7"/>
  <c r="E539" i="7"/>
  <c r="F539" i="7"/>
  <c r="G539" i="7"/>
  <c r="H539" i="7"/>
  <c r="I539" i="7"/>
  <c r="A540" i="7"/>
  <c r="B540" i="7"/>
  <c r="C540" i="7"/>
  <c r="D540" i="7"/>
  <c r="E540" i="7"/>
  <c r="F540" i="7"/>
  <c r="G540" i="7"/>
  <c r="H540" i="7"/>
  <c r="I540" i="7"/>
  <c r="A541" i="7"/>
  <c r="B541" i="7"/>
  <c r="C541" i="7"/>
  <c r="D541" i="7"/>
  <c r="E541" i="7"/>
  <c r="F541" i="7"/>
  <c r="G541" i="7"/>
  <c r="H541" i="7"/>
  <c r="I541" i="7"/>
  <c r="A542" i="7"/>
  <c r="B542" i="7"/>
  <c r="C542" i="7"/>
  <c r="D542" i="7"/>
  <c r="E542" i="7"/>
  <c r="F542" i="7"/>
  <c r="G542" i="7"/>
  <c r="H542" i="7"/>
  <c r="I542" i="7"/>
  <c r="A543" i="7"/>
  <c r="B543" i="7"/>
  <c r="C543" i="7"/>
  <c r="D543" i="7"/>
  <c r="E543" i="7"/>
  <c r="F543" i="7"/>
  <c r="G543" i="7"/>
  <c r="H543" i="7"/>
  <c r="I543" i="7"/>
  <c r="A544" i="7"/>
  <c r="B544" i="7"/>
  <c r="C544" i="7"/>
  <c r="D544" i="7"/>
  <c r="E544" i="7"/>
  <c r="F544" i="7"/>
  <c r="G544" i="7"/>
  <c r="H544" i="7"/>
  <c r="I544" i="7"/>
  <c r="A545" i="7"/>
  <c r="B545" i="7"/>
  <c r="C545" i="7"/>
  <c r="D545" i="7"/>
  <c r="E545" i="7"/>
  <c r="F545" i="7"/>
  <c r="G545" i="7"/>
  <c r="H545" i="7"/>
  <c r="I545" i="7"/>
  <c r="A546" i="7"/>
  <c r="B546" i="7"/>
  <c r="C546" i="7"/>
  <c r="D546" i="7"/>
  <c r="E546" i="7"/>
  <c r="F546" i="7"/>
  <c r="G546" i="7"/>
  <c r="H546" i="7"/>
  <c r="I546" i="7"/>
  <c r="A547" i="7"/>
  <c r="B547" i="7"/>
  <c r="C547" i="7"/>
  <c r="D547" i="7"/>
  <c r="E547" i="7"/>
  <c r="F547" i="7"/>
  <c r="G547" i="7"/>
  <c r="H547" i="7"/>
  <c r="I547" i="7"/>
  <c r="A548" i="7"/>
  <c r="B548" i="7"/>
  <c r="C548" i="7"/>
  <c r="D548" i="7"/>
  <c r="E548" i="7"/>
  <c r="F548" i="7"/>
  <c r="G548" i="7"/>
  <c r="H548" i="7"/>
  <c r="I548" i="7"/>
  <c r="A549" i="7"/>
  <c r="B549" i="7"/>
  <c r="C549" i="7"/>
  <c r="D549" i="7"/>
  <c r="E549" i="7"/>
  <c r="F549" i="7"/>
  <c r="G549" i="7"/>
  <c r="H549" i="7"/>
  <c r="I549" i="7"/>
  <c r="A550" i="7"/>
  <c r="B550" i="7"/>
  <c r="C550" i="7"/>
  <c r="D550" i="7"/>
  <c r="E550" i="7"/>
  <c r="F550" i="7"/>
  <c r="G550" i="7"/>
  <c r="H550" i="7"/>
  <c r="I550" i="7"/>
  <c r="A551" i="7"/>
  <c r="B551" i="7"/>
  <c r="C551" i="7"/>
  <c r="D551" i="7"/>
  <c r="E551" i="7"/>
  <c r="F551" i="7"/>
  <c r="G551" i="7"/>
  <c r="H551" i="7"/>
  <c r="I551" i="7"/>
  <c r="A552" i="7"/>
  <c r="B552" i="7"/>
  <c r="C552" i="7"/>
  <c r="D552" i="7"/>
  <c r="E552" i="7"/>
  <c r="F552" i="7"/>
  <c r="G552" i="7"/>
  <c r="H552" i="7"/>
  <c r="I552" i="7"/>
  <c r="A553" i="7"/>
  <c r="B553" i="7"/>
  <c r="C553" i="7"/>
  <c r="D553" i="7"/>
  <c r="E553" i="7"/>
  <c r="F553" i="7"/>
  <c r="G553" i="7"/>
  <c r="H553" i="7"/>
  <c r="I553" i="7"/>
  <c r="A554" i="7"/>
  <c r="B554" i="7"/>
  <c r="C554" i="7"/>
  <c r="D554" i="7"/>
  <c r="E554" i="7"/>
  <c r="F554" i="7"/>
  <c r="G554" i="7"/>
  <c r="H554" i="7"/>
  <c r="I554" i="7"/>
  <c r="A555" i="7"/>
  <c r="B555" i="7"/>
  <c r="C555" i="7"/>
  <c r="D555" i="7"/>
  <c r="E555" i="7"/>
  <c r="F555" i="7"/>
  <c r="G555" i="7"/>
  <c r="H555" i="7"/>
  <c r="I555" i="7"/>
  <c r="A556" i="7"/>
  <c r="B556" i="7"/>
  <c r="C556" i="7"/>
  <c r="D556" i="7"/>
  <c r="E556" i="7"/>
  <c r="F556" i="7"/>
  <c r="G556" i="7"/>
  <c r="H556" i="7"/>
  <c r="I556" i="7"/>
  <c r="A557" i="7"/>
  <c r="B557" i="7"/>
  <c r="C557" i="7"/>
  <c r="D557" i="7"/>
  <c r="E557" i="7"/>
  <c r="F557" i="7"/>
  <c r="G557" i="7"/>
  <c r="H557" i="7"/>
  <c r="I557" i="7"/>
  <c r="A558" i="7"/>
  <c r="B558" i="7"/>
  <c r="C558" i="7"/>
  <c r="D558" i="7"/>
  <c r="E558" i="7"/>
  <c r="F558" i="7"/>
  <c r="G558" i="7"/>
  <c r="H558" i="7"/>
  <c r="I558" i="7"/>
  <c r="A559" i="7"/>
  <c r="B559" i="7"/>
  <c r="C559" i="7"/>
  <c r="D559" i="7"/>
  <c r="E559" i="7"/>
  <c r="F559" i="7"/>
  <c r="G559" i="7"/>
  <c r="H559" i="7"/>
  <c r="I559" i="7"/>
  <c r="A560" i="7"/>
  <c r="B560" i="7"/>
  <c r="C560" i="7"/>
  <c r="D560" i="7"/>
  <c r="E560" i="7"/>
  <c r="F560" i="7"/>
  <c r="G560" i="7"/>
  <c r="H560" i="7"/>
  <c r="I560" i="7"/>
  <c r="A561" i="7"/>
  <c r="B561" i="7"/>
  <c r="C561" i="7"/>
  <c r="D561" i="7"/>
  <c r="E561" i="7"/>
  <c r="F561" i="7"/>
  <c r="G561" i="7"/>
  <c r="H561" i="7"/>
  <c r="I561" i="7"/>
  <c r="A562" i="7"/>
  <c r="B562" i="7"/>
  <c r="C562" i="7"/>
  <c r="D562" i="7"/>
  <c r="E562" i="7"/>
  <c r="F562" i="7"/>
  <c r="G562" i="7"/>
  <c r="H562" i="7"/>
  <c r="I562" i="7"/>
  <c r="A563" i="7"/>
  <c r="B563" i="7"/>
  <c r="C563" i="7"/>
  <c r="D563" i="7"/>
  <c r="E563" i="7"/>
  <c r="F563" i="7"/>
  <c r="G563" i="7"/>
  <c r="H563" i="7"/>
  <c r="I563" i="7"/>
  <c r="A564" i="7"/>
  <c r="B564" i="7"/>
  <c r="C564" i="7"/>
  <c r="D564" i="7"/>
  <c r="E564" i="7"/>
  <c r="F564" i="7"/>
  <c r="G564" i="7"/>
  <c r="H564" i="7"/>
  <c r="I564" i="7"/>
  <c r="A565" i="7"/>
  <c r="B565" i="7"/>
  <c r="C565" i="7"/>
  <c r="D565" i="7"/>
  <c r="E565" i="7"/>
  <c r="F565" i="7"/>
  <c r="G565" i="7"/>
  <c r="H565" i="7"/>
  <c r="I565" i="7"/>
  <c r="A566" i="7"/>
  <c r="B566" i="7"/>
  <c r="C566" i="7"/>
  <c r="D566" i="7"/>
  <c r="E566" i="7"/>
  <c r="F566" i="7"/>
  <c r="G566" i="7"/>
  <c r="H566" i="7"/>
  <c r="I566" i="7"/>
  <c r="A567" i="7"/>
  <c r="B567" i="7"/>
  <c r="C567" i="7"/>
  <c r="D567" i="7"/>
  <c r="E567" i="7"/>
  <c r="F567" i="7"/>
  <c r="G567" i="7"/>
  <c r="H567" i="7"/>
  <c r="I567" i="7"/>
  <c r="A568" i="7"/>
  <c r="B568" i="7"/>
  <c r="C568" i="7"/>
  <c r="D568" i="7"/>
  <c r="E568" i="7"/>
  <c r="F568" i="7"/>
  <c r="G568" i="7"/>
  <c r="H568" i="7"/>
  <c r="I568" i="7"/>
  <c r="A569" i="7"/>
  <c r="B569" i="7"/>
  <c r="C569" i="7"/>
  <c r="D569" i="7"/>
  <c r="E569" i="7"/>
  <c r="F569" i="7"/>
  <c r="G569" i="7"/>
  <c r="H569" i="7"/>
  <c r="I569" i="7"/>
  <c r="A570" i="7"/>
  <c r="B570" i="7"/>
  <c r="C570" i="7"/>
  <c r="D570" i="7"/>
  <c r="E570" i="7"/>
  <c r="F570" i="7"/>
  <c r="G570" i="7"/>
  <c r="H570" i="7"/>
  <c r="I570" i="7"/>
  <c r="A571" i="7"/>
  <c r="B571" i="7"/>
  <c r="C571" i="7"/>
  <c r="D571" i="7"/>
  <c r="E571" i="7"/>
  <c r="F571" i="7"/>
  <c r="G571" i="7"/>
  <c r="H571" i="7"/>
  <c r="I571" i="7"/>
  <c r="A572" i="7"/>
  <c r="B572" i="7"/>
  <c r="C572" i="7"/>
  <c r="D572" i="7"/>
  <c r="E572" i="7"/>
  <c r="F572" i="7"/>
  <c r="G572" i="7"/>
  <c r="H572" i="7"/>
  <c r="I572" i="7"/>
  <c r="A573" i="7"/>
  <c r="B573" i="7"/>
  <c r="C573" i="7"/>
  <c r="D573" i="7"/>
  <c r="E573" i="7"/>
  <c r="F573" i="7"/>
  <c r="G573" i="7"/>
  <c r="H573" i="7"/>
  <c r="I573" i="7"/>
  <c r="A574" i="7"/>
  <c r="B574" i="7"/>
  <c r="C574" i="7"/>
  <c r="D574" i="7"/>
  <c r="E574" i="7"/>
  <c r="F574" i="7"/>
  <c r="G574" i="7"/>
  <c r="H574" i="7"/>
  <c r="I574" i="7"/>
  <c r="A575" i="7"/>
  <c r="B575" i="7"/>
  <c r="C575" i="7"/>
  <c r="D575" i="7"/>
  <c r="E575" i="7"/>
  <c r="F575" i="7"/>
  <c r="G575" i="7"/>
  <c r="H575" i="7"/>
  <c r="I575" i="7"/>
  <c r="A576" i="7"/>
  <c r="B576" i="7"/>
  <c r="C576" i="7"/>
  <c r="D576" i="7"/>
  <c r="E576" i="7"/>
  <c r="F576" i="7"/>
  <c r="G576" i="7"/>
  <c r="H576" i="7"/>
  <c r="I576" i="7"/>
  <c r="A577" i="7"/>
  <c r="B577" i="7"/>
  <c r="C577" i="7"/>
  <c r="D577" i="7"/>
  <c r="E577" i="7"/>
  <c r="F577" i="7"/>
  <c r="G577" i="7"/>
  <c r="H577" i="7"/>
  <c r="I577" i="7"/>
  <c r="A578" i="7"/>
  <c r="B578" i="7"/>
  <c r="C578" i="7"/>
  <c r="D578" i="7"/>
  <c r="E578" i="7"/>
  <c r="F578" i="7"/>
  <c r="G578" i="7"/>
  <c r="H578" i="7"/>
  <c r="I578" i="7"/>
  <c r="A579" i="7"/>
  <c r="B579" i="7"/>
  <c r="C579" i="7"/>
  <c r="D579" i="7"/>
  <c r="E579" i="7"/>
  <c r="F579" i="7"/>
  <c r="G579" i="7"/>
  <c r="H579" i="7"/>
  <c r="I579" i="7"/>
  <c r="A580" i="7"/>
  <c r="B580" i="7"/>
  <c r="C580" i="7"/>
  <c r="D580" i="7"/>
  <c r="E580" i="7"/>
  <c r="F580" i="7"/>
  <c r="G580" i="7"/>
  <c r="H580" i="7"/>
  <c r="I580" i="7"/>
  <c r="A581" i="7"/>
  <c r="B581" i="7"/>
  <c r="C581" i="7"/>
  <c r="D581" i="7"/>
  <c r="E581" i="7"/>
  <c r="F581" i="7"/>
  <c r="G581" i="7"/>
  <c r="H581" i="7"/>
  <c r="I581" i="7"/>
  <c r="A582" i="7"/>
  <c r="B582" i="7"/>
  <c r="C582" i="7"/>
  <c r="D582" i="7"/>
  <c r="E582" i="7"/>
  <c r="F582" i="7"/>
  <c r="G582" i="7"/>
  <c r="H582" i="7"/>
  <c r="I582" i="7"/>
  <c r="A583" i="7"/>
  <c r="B583" i="7"/>
  <c r="C583" i="7"/>
  <c r="D583" i="7"/>
  <c r="E583" i="7"/>
  <c r="F583" i="7"/>
  <c r="G583" i="7"/>
  <c r="H583" i="7"/>
  <c r="I583" i="7"/>
  <c r="A584" i="7"/>
  <c r="B584" i="7"/>
  <c r="C584" i="7"/>
  <c r="D584" i="7"/>
  <c r="E584" i="7"/>
  <c r="F584" i="7"/>
  <c r="G584" i="7"/>
  <c r="H584" i="7"/>
  <c r="I584" i="7"/>
  <c r="A585" i="7"/>
  <c r="B585" i="7"/>
  <c r="C585" i="7"/>
  <c r="D585" i="7"/>
  <c r="E585" i="7"/>
  <c r="F585" i="7"/>
  <c r="G585" i="7"/>
  <c r="H585" i="7"/>
  <c r="I585" i="7"/>
  <c r="A586" i="7"/>
  <c r="B586" i="7"/>
  <c r="C586" i="7"/>
  <c r="D586" i="7"/>
  <c r="E586" i="7"/>
  <c r="F586" i="7"/>
  <c r="G586" i="7"/>
  <c r="H586" i="7"/>
  <c r="I586" i="7"/>
  <c r="A587" i="7"/>
  <c r="B587" i="7"/>
  <c r="C587" i="7"/>
  <c r="D587" i="7"/>
  <c r="E587" i="7"/>
  <c r="F587" i="7"/>
  <c r="G587" i="7"/>
  <c r="H587" i="7"/>
  <c r="I587" i="7"/>
  <c r="A588" i="7"/>
  <c r="B588" i="7"/>
  <c r="C588" i="7"/>
  <c r="D588" i="7"/>
  <c r="E588" i="7"/>
  <c r="F588" i="7"/>
  <c r="G588" i="7"/>
  <c r="H588" i="7"/>
  <c r="I588" i="7"/>
  <c r="A589" i="7"/>
  <c r="B589" i="7"/>
  <c r="C589" i="7"/>
  <c r="D589" i="7"/>
  <c r="E589" i="7"/>
  <c r="F589" i="7"/>
  <c r="G589" i="7"/>
  <c r="H589" i="7"/>
  <c r="I589" i="7"/>
  <c r="A590" i="7"/>
  <c r="B590" i="7"/>
  <c r="C590" i="7"/>
  <c r="D590" i="7"/>
  <c r="E590" i="7"/>
  <c r="F590" i="7"/>
  <c r="G590" i="7"/>
  <c r="H590" i="7"/>
  <c r="I590" i="7"/>
  <c r="A591" i="7"/>
  <c r="B591" i="7"/>
  <c r="C591" i="7"/>
  <c r="D591" i="7"/>
  <c r="E591" i="7"/>
  <c r="F591" i="7"/>
  <c r="G591" i="7"/>
  <c r="H591" i="7"/>
  <c r="I591" i="7"/>
  <c r="A592" i="7"/>
  <c r="B592" i="7"/>
  <c r="C592" i="7"/>
  <c r="D592" i="7"/>
  <c r="E592" i="7"/>
  <c r="F592" i="7"/>
  <c r="G592" i="7"/>
  <c r="H592" i="7"/>
  <c r="I592" i="7"/>
  <c r="A593" i="7"/>
  <c r="B593" i="7"/>
  <c r="C593" i="7"/>
  <c r="D593" i="7"/>
  <c r="E593" i="7"/>
  <c r="F593" i="7"/>
  <c r="G593" i="7"/>
  <c r="H593" i="7"/>
  <c r="I593" i="7"/>
  <c r="A594" i="7"/>
  <c r="B594" i="7"/>
  <c r="C594" i="7"/>
  <c r="D594" i="7"/>
  <c r="E594" i="7"/>
  <c r="F594" i="7"/>
  <c r="G594" i="7"/>
  <c r="H594" i="7"/>
  <c r="I594" i="7"/>
  <c r="A595" i="7"/>
  <c r="B595" i="7"/>
  <c r="C595" i="7"/>
  <c r="D595" i="7"/>
  <c r="E595" i="7"/>
  <c r="F595" i="7"/>
  <c r="G595" i="7"/>
  <c r="H595" i="7"/>
  <c r="I595" i="7"/>
  <c r="A596" i="7"/>
  <c r="B596" i="7"/>
  <c r="C596" i="7"/>
  <c r="D596" i="7"/>
  <c r="E596" i="7"/>
  <c r="F596" i="7"/>
  <c r="G596" i="7"/>
  <c r="H596" i="7"/>
  <c r="I596" i="7"/>
  <c r="A597" i="7"/>
  <c r="B597" i="7"/>
  <c r="C597" i="7"/>
  <c r="D597" i="7"/>
  <c r="E597" i="7"/>
  <c r="F597" i="7"/>
  <c r="G597" i="7"/>
  <c r="H597" i="7"/>
  <c r="I597" i="7"/>
  <c r="A598" i="7"/>
  <c r="B598" i="7"/>
  <c r="C598" i="7"/>
  <c r="D598" i="7"/>
  <c r="E598" i="7"/>
  <c r="F598" i="7"/>
  <c r="G598" i="7"/>
  <c r="H598" i="7"/>
  <c r="I598" i="7"/>
  <c r="A599" i="7"/>
  <c r="B599" i="7"/>
  <c r="C599" i="7"/>
  <c r="D599" i="7"/>
  <c r="E599" i="7"/>
  <c r="F599" i="7"/>
  <c r="G599" i="7"/>
  <c r="H599" i="7"/>
  <c r="I599" i="7"/>
  <c r="A600" i="7"/>
  <c r="B600" i="7"/>
  <c r="C600" i="7"/>
  <c r="D600" i="7"/>
  <c r="E600" i="7"/>
  <c r="F600" i="7"/>
  <c r="G600" i="7"/>
  <c r="H600" i="7"/>
  <c r="I600" i="7"/>
  <c r="A601" i="7"/>
  <c r="B601" i="7"/>
  <c r="C601" i="7"/>
  <c r="D601" i="7"/>
  <c r="E601" i="7"/>
  <c r="F601" i="7"/>
  <c r="G601" i="7"/>
  <c r="H601" i="7"/>
  <c r="I601" i="7"/>
  <c r="A602" i="7"/>
  <c r="B602" i="7"/>
  <c r="C602" i="7"/>
  <c r="D602" i="7"/>
  <c r="E602" i="7"/>
  <c r="F602" i="7"/>
  <c r="G602" i="7"/>
  <c r="H602" i="7"/>
  <c r="I602" i="7"/>
  <c r="A603" i="7"/>
  <c r="B603" i="7"/>
  <c r="C603" i="7"/>
  <c r="D603" i="7"/>
  <c r="E603" i="7"/>
  <c r="F603" i="7"/>
  <c r="G603" i="7"/>
  <c r="H603" i="7"/>
  <c r="I603" i="7"/>
  <c r="A604" i="7"/>
  <c r="B604" i="7"/>
  <c r="C604" i="7"/>
  <c r="D604" i="7"/>
  <c r="E604" i="7"/>
  <c r="F604" i="7"/>
  <c r="G604" i="7"/>
  <c r="H604" i="7"/>
  <c r="I604" i="7"/>
  <c r="A605" i="7"/>
  <c r="B605" i="7"/>
  <c r="C605" i="7"/>
  <c r="D605" i="7"/>
  <c r="E605" i="7"/>
  <c r="F605" i="7"/>
  <c r="G605" i="7"/>
  <c r="H605" i="7"/>
  <c r="I605" i="7"/>
  <c r="A606" i="7"/>
  <c r="B606" i="7"/>
  <c r="C606" i="7"/>
  <c r="D606" i="7"/>
  <c r="E606" i="7"/>
  <c r="F606" i="7"/>
  <c r="G606" i="7"/>
  <c r="H606" i="7"/>
  <c r="I606" i="7"/>
  <c r="A607" i="7"/>
  <c r="B607" i="7"/>
  <c r="C607" i="7"/>
  <c r="D607" i="7"/>
  <c r="E607" i="7"/>
  <c r="F607" i="7"/>
  <c r="G607" i="7"/>
  <c r="H607" i="7"/>
  <c r="I607" i="7"/>
  <c r="A608" i="7"/>
  <c r="B608" i="7"/>
  <c r="C608" i="7"/>
  <c r="D608" i="7"/>
  <c r="E608" i="7"/>
  <c r="F608" i="7"/>
  <c r="G608" i="7"/>
  <c r="H608" i="7"/>
  <c r="I608" i="7"/>
  <c r="A609" i="7"/>
  <c r="B609" i="7"/>
  <c r="C609" i="7"/>
  <c r="D609" i="7"/>
  <c r="E609" i="7"/>
  <c r="F609" i="7"/>
  <c r="G609" i="7"/>
  <c r="H609" i="7"/>
  <c r="I609" i="7"/>
  <c r="A610" i="7"/>
  <c r="B610" i="7"/>
  <c r="C610" i="7"/>
  <c r="D610" i="7"/>
  <c r="E610" i="7"/>
  <c r="F610" i="7"/>
  <c r="G610" i="7"/>
  <c r="H610" i="7"/>
  <c r="I610" i="7"/>
  <c r="A611" i="7"/>
  <c r="B611" i="7"/>
  <c r="C611" i="7"/>
  <c r="D611" i="7"/>
  <c r="E611" i="7"/>
  <c r="F611" i="7"/>
  <c r="G611" i="7"/>
  <c r="H611" i="7"/>
  <c r="I611" i="7"/>
  <c r="A612" i="7"/>
  <c r="B612" i="7"/>
  <c r="C612" i="7"/>
  <c r="D612" i="7"/>
  <c r="E612" i="7"/>
  <c r="F612" i="7"/>
  <c r="G612" i="7"/>
  <c r="H612" i="7"/>
  <c r="I612" i="7"/>
  <c r="A613" i="7"/>
  <c r="B613" i="7"/>
  <c r="C613" i="7"/>
  <c r="D613" i="7"/>
  <c r="E613" i="7"/>
  <c r="F613" i="7"/>
  <c r="G613" i="7"/>
  <c r="H613" i="7"/>
  <c r="I613" i="7"/>
  <c r="A614" i="7"/>
  <c r="B614" i="7"/>
  <c r="C614" i="7"/>
  <c r="D614" i="7"/>
  <c r="E614" i="7"/>
  <c r="F614" i="7"/>
  <c r="G614" i="7"/>
  <c r="H614" i="7"/>
  <c r="I614" i="7"/>
  <c r="A615" i="7"/>
  <c r="B615" i="7"/>
  <c r="C615" i="7"/>
  <c r="D615" i="7"/>
  <c r="E615" i="7"/>
  <c r="F615" i="7"/>
  <c r="G615" i="7"/>
  <c r="H615" i="7"/>
  <c r="I615" i="7"/>
  <c r="A616" i="7"/>
  <c r="B616" i="7"/>
  <c r="C616" i="7"/>
  <c r="D616" i="7"/>
  <c r="E616" i="7"/>
  <c r="F616" i="7"/>
  <c r="G616" i="7"/>
  <c r="H616" i="7"/>
  <c r="I616" i="7"/>
  <c r="A617" i="7"/>
  <c r="B617" i="7"/>
  <c r="C617" i="7"/>
  <c r="D617" i="7"/>
  <c r="E617" i="7"/>
  <c r="F617" i="7"/>
  <c r="G617" i="7"/>
  <c r="H617" i="7"/>
  <c r="I617" i="7"/>
  <c r="A618" i="7"/>
  <c r="B618" i="7"/>
  <c r="C618" i="7"/>
  <c r="D618" i="7"/>
  <c r="E618" i="7"/>
  <c r="F618" i="7"/>
  <c r="G618" i="7"/>
  <c r="H618" i="7"/>
  <c r="I618" i="7"/>
  <c r="A619" i="7"/>
  <c r="B619" i="7"/>
  <c r="C619" i="7"/>
  <c r="D619" i="7"/>
  <c r="E619" i="7"/>
  <c r="F619" i="7"/>
  <c r="G619" i="7"/>
  <c r="H619" i="7"/>
  <c r="I619" i="7"/>
  <c r="A620" i="7"/>
  <c r="B620" i="7"/>
  <c r="C620" i="7"/>
  <c r="D620" i="7"/>
  <c r="E620" i="7"/>
  <c r="F620" i="7"/>
  <c r="G620" i="7"/>
  <c r="H620" i="7"/>
  <c r="I620" i="7"/>
  <c r="A621" i="7"/>
  <c r="B621" i="7"/>
  <c r="C621" i="7"/>
  <c r="D621" i="7"/>
  <c r="E621" i="7"/>
  <c r="F621" i="7"/>
  <c r="G621" i="7"/>
  <c r="H621" i="7"/>
  <c r="I621" i="7"/>
  <c r="A622" i="7"/>
  <c r="B622" i="7"/>
  <c r="C622" i="7"/>
  <c r="D622" i="7"/>
  <c r="E622" i="7"/>
  <c r="F622" i="7"/>
  <c r="G622" i="7"/>
  <c r="H622" i="7"/>
  <c r="I622" i="7"/>
  <c r="A623" i="7"/>
  <c r="B623" i="7"/>
  <c r="C623" i="7"/>
  <c r="D623" i="7"/>
  <c r="E623" i="7"/>
  <c r="F623" i="7"/>
  <c r="G623" i="7"/>
  <c r="H623" i="7"/>
  <c r="I623" i="7"/>
  <c r="A624" i="7"/>
  <c r="B624" i="7"/>
  <c r="C624" i="7"/>
  <c r="D624" i="7"/>
  <c r="E624" i="7"/>
  <c r="F624" i="7"/>
  <c r="G624" i="7"/>
  <c r="H624" i="7"/>
  <c r="I624" i="7"/>
  <c r="A625" i="7"/>
  <c r="B625" i="7"/>
  <c r="C625" i="7"/>
  <c r="D625" i="7"/>
  <c r="E625" i="7"/>
  <c r="F625" i="7"/>
  <c r="G625" i="7"/>
  <c r="H625" i="7"/>
  <c r="I625" i="7"/>
  <c r="A626" i="7"/>
  <c r="B626" i="7"/>
  <c r="C626" i="7"/>
  <c r="D626" i="7"/>
  <c r="E626" i="7"/>
  <c r="F626" i="7"/>
  <c r="G626" i="7"/>
  <c r="H626" i="7"/>
  <c r="I626" i="7"/>
  <c r="A627" i="7"/>
  <c r="B627" i="7"/>
  <c r="C627" i="7"/>
  <c r="D627" i="7"/>
  <c r="E627" i="7"/>
  <c r="F627" i="7"/>
  <c r="G627" i="7"/>
  <c r="H627" i="7"/>
  <c r="I627" i="7"/>
  <c r="A628" i="7"/>
  <c r="B628" i="7"/>
  <c r="C628" i="7"/>
  <c r="D628" i="7"/>
  <c r="E628" i="7"/>
  <c r="F628" i="7"/>
  <c r="G628" i="7"/>
  <c r="H628" i="7"/>
  <c r="I628" i="7"/>
  <c r="A629" i="7"/>
  <c r="B629" i="7"/>
  <c r="C629" i="7"/>
  <c r="D629" i="7"/>
  <c r="E629" i="7"/>
  <c r="F629" i="7"/>
  <c r="G629" i="7"/>
  <c r="H629" i="7"/>
  <c r="I629" i="7"/>
  <c r="A630" i="7"/>
  <c r="B630" i="7"/>
  <c r="C630" i="7"/>
  <c r="D630" i="7"/>
  <c r="E630" i="7"/>
  <c r="F630" i="7"/>
  <c r="G630" i="7"/>
  <c r="H630" i="7"/>
  <c r="I630" i="7"/>
  <c r="A631" i="7"/>
  <c r="B631" i="7"/>
  <c r="C631" i="7"/>
  <c r="D631" i="7"/>
  <c r="E631" i="7"/>
  <c r="F631" i="7"/>
  <c r="G631" i="7"/>
  <c r="H631" i="7"/>
  <c r="I631" i="7"/>
  <c r="A632" i="7"/>
  <c r="B632" i="7"/>
  <c r="C632" i="7"/>
  <c r="D632" i="7"/>
  <c r="E632" i="7"/>
  <c r="F632" i="7"/>
  <c r="G632" i="7"/>
  <c r="H632" i="7"/>
  <c r="I632" i="7"/>
  <c r="A633" i="7"/>
  <c r="B633" i="7"/>
  <c r="C633" i="7"/>
  <c r="D633" i="7"/>
  <c r="E633" i="7"/>
  <c r="F633" i="7"/>
  <c r="G633" i="7"/>
  <c r="H633" i="7"/>
  <c r="I633" i="7"/>
  <c r="A634" i="7"/>
  <c r="B634" i="7"/>
  <c r="C634" i="7"/>
  <c r="D634" i="7"/>
  <c r="E634" i="7"/>
  <c r="F634" i="7"/>
  <c r="G634" i="7"/>
  <c r="H634" i="7"/>
  <c r="I634" i="7"/>
  <c r="A635" i="7"/>
  <c r="B635" i="7"/>
  <c r="C635" i="7"/>
  <c r="D635" i="7"/>
  <c r="E635" i="7"/>
  <c r="F635" i="7"/>
  <c r="G635" i="7"/>
  <c r="H635" i="7"/>
  <c r="I635" i="7"/>
  <c r="A636" i="7"/>
  <c r="B636" i="7"/>
  <c r="C636" i="7"/>
  <c r="D636" i="7"/>
  <c r="E636" i="7"/>
  <c r="F636" i="7"/>
  <c r="G636" i="7"/>
  <c r="H636" i="7"/>
  <c r="I636" i="7"/>
  <c r="A637" i="7"/>
  <c r="B637" i="7"/>
  <c r="C637" i="7"/>
  <c r="D637" i="7"/>
  <c r="E637" i="7"/>
  <c r="F637" i="7"/>
  <c r="G637" i="7"/>
  <c r="H637" i="7"/>
  <c r="I637" i="7"/>
  <c r="A638" i="7"/>
  <c r="B638" i="7"/>
  <c r="C638" i="7"/>
  <c r="D638" i="7"/>
  <c r="E638" i="7"/>
  <c r="F638" i="7"/>
  <c r="G638" i="7"/>
  <c r="H638" i="7"/>
  <c r="I638" i="7"/>
  <c r="A639" i="7"/>
  <c r="B639" i="7"/>
  <c r="C639" i="7"/>
  <c r="D639" i="7"/>
  <c r="E639" i="7"/>
  <c r="F639" i="7"/>
  <c r="G639" i="7"/>
  <c r="H639" i="7"/>
  <c r="I639" i="7"/>
  <c r="A640" i="7"/>
  <c r="B640" i="7"/>
  <c r="C640" i="7"/>
  <c r="D640" i="7"/>
  <c r="E640" i="7"/>
  <c r="F640" i="7"/>
  <c r="G640" i="7"/>
  <c r="H640" i="7"/>
  <c r="I640" i="7"/>
  <c r="A641" i="7"/>
  <c r="B641" i="7"/>
  <c r="C641" i="7"/>
  <c r="D641" i="7"/>
  <c r="E641" i="7"/>
  <c r="F641" i="7"/>
  <c r="G641" i="7"/>
  <c r="H641" i="7"/>
  <c r="I641" i="7"/>
  <c r="A642" i="7"/>
  <c r="B642" i="7"/>
  <c r="C642" i="7"/>
  <c r="D642" i="7"/>
  <c r="E642" i="7"/>
  <c r="F642" i="7"/>
  <c r="G642" i="7"/>
  <c r="H642" i="7"/>
  <c r="I642" i="7"/>
  <c r="A643" i="7"/>
  <c r="B643" i="7"/>
  <c r="C643" i="7"/>
  <c r="D643" i="7"/>
  <c r="E643" i="7"/>
  <c r="F643" i="7"/>
  <c r="G643" i="7"/>
  <c r="H643" i="7"/>
  <c r="I643" i="7"/>
  <c r="A644" i="7"/>
  <c r="B644" i="7"/>
  <c r="C644" i="7"/>
  <c r="D644" i="7"/>
  <c r="E644" i="7"/>
  <c r="F644" i="7"/>
  <c r="G644" i="7"/>
  <c r="H644" i="7"/>
  <c r="I644" i="7"/>
  <c r="A645" i="7"/>
  <c r="B645" i="7"/>
  <c r="C645" i="7"/>
  <c r="D645" i="7"/>
  <c r="E645" i="7"/>
  <c r="F645" i="7"/>
  <c r="G645" i="7"/>
  <c r="H645" i="7"/>
  <c r="I645" i="7"/>
  <c r="A646" i="7"/>
  <c r="B646" i="7"/>
  <c r="C646" i="7"/>
  <c r="D646" i="7"/>
  <c r="E646" i="7"/>
  <c r="F646" i="7"/>
  <c r="G646" i="7"/>
  <c r="H646" i="7"/>
  <c r="I646" i="7"/>
  <c r="A647" i="7"/>
  <c r="B647" i="7"/>
  <c r="C647" i="7"/>
  <c r="D647" i="7"/>
  <c r="E647" i="7"/>
  <c r="F647" i="7"/>
  <c r="G647" i="7"/>
  <c r="H647" i="7"/>
  <c r="I647" i="7"/>
  <c r="A648" i="7"/>
  <c r="B648" i="7"/>
  <c r="C648" i="7"/>
  <c r="D648" i="7"/>
  <c r="E648" i="7"/>
  <c r="F648" i="7"/>
  <c r="G648" i="7"/>
  <c r="H648" i="7"/>
  <c r="I648" i="7"/>
  <c r="A649" i="7"/>
  <c r="B649" i="7"/>
  <c r="C649" i="7"/>
  <c r="D649" i="7"/>
  <c r="E649" i="7"/>
  <c r="F649" i="7"/>
  <c r="G649" i="7"/>
  <c r="H649" i="7"/>
  <c r="I649" i="7"/>
  <c r="A650" i="7"/>
  <c r="B650" i="7"/>
  <c r="C650" i="7"/>
  <c r="D650" i="7"/>
  <c r="E650" i="7"/>
  <c r="F650" i="7"/>
  <c r="G650" i="7"/>
  <c r="H650" i="7"/>
  <c r="I650" i="7"/>
  <c r="A651" i="7"/>
  <c r="B651" i="7"/>
  <c r="C651" i="7"/>
  <c r="D651" i="7"/>
  <c r="E651" i="7"/>
  <c r="F651" i="7"/>
  <c r="G651" i="7"/>
  <c r="H651" i="7"/>
  <c r="I651" i="7"/>
  <c r="A652" i="7"/>
  <c r="B652" i="7"/>
  <c r="C652" i="7"/>
  <c r="D652" i="7"/>
  <c r="E652" i="7"/>
  <c r="F652" i="7"/>
  <c r="G652" i="7"/>
  <c r="H652" i="7"/>
  <c r="I652" i="7"/>
  <c r="A653" i="7"/>
  <c r="B653" i="7"/>
  <c r="C653" i="7"/>
  <c r="D653" i="7"/>
  <c r="E653" i="7"/>
  <c r="F653" i="7"/>
  <c r="G653" i="7"/>
  <c r="H653" i="7"/>
  <c r="I653" i="7"/>
  <c r="A654" i="7"/>
  <c r="B654" i="7"/>
  <c r="C654" i="7"/>
  <c r="D654" i="7"/>
  <c r="E654" i="7"/>
  <c r="F654" i="7"/>
  <c r="G654" i="7"/>
  <c r="H654" i="7"/>
  <c r="I654" i="7"/>
  <c r="A655" i="7"/>
  <c r="B655" i="7"/>
  <c r="C655" i="7"/>
  <c r="D655" i="7"/>
  <c r="E655" i="7"/>
  <c r="F655" i="7"/>
  <c r="G655" i="7"/>
  <c r="H655" i="7"/>
  <c r="I655" i="7"/>
  <c r="A656" i="7"/>
  <c r="B656" i="7"/>
  <c r="C656" i="7"/>
  <c r="D656" i="7"/>
  <c r="E656" i="7"/>
  <c r="F656" i="7"/>
  <c r="G656" i="7"/>
  <c r="H656" i="7"/>
  <c r="I656" i="7"/>
  <c r="A657" i="7"/>
  <c r="B657" i="7"/>
  <c r="C657" i="7"/>
  <c r="D657" i="7"/>
  <c r="E657" i="7"/>
  <c r="F657" i="7"/>
  <c r="G657" i="7"/>
  <c r="H657" i="7"/>
  <c r="I657" i="7"/>
  <c r="A658" i="7"/>
  <c r="B658" i="7"/>
  <c r="C658" i="7"/>
  <c r="D658" i="7"/>
  <c r="E658" i="7"/>
  <c r="F658" i="7"/>
  <c r="G658" i="7"/>
  <c r="H658" i="7"/>
  <c r="I658" i="7"/>
  <c r="A659" i="7"/>
  <c r="B659" i="7"/>
  <c r="C659" i="7"/>
  <c r="D659" i="7"/>
  <c r="E659" i="7"/>
  <c r="F659" i="7"/>
  <c r="G659" i="7"/>
  <c r="H659" i="7"/>
  <c r="I659" i="7"/>
  <c r="A660" i="7"/>
  <c r="B660" i="7"/>
  <c r="C660" i="7"/>
  <c r="D660" i="7"/>
  <c r="E660" i="7"/>
  <c r="F660" i="7"/>
  <c r="G660" i="7"/>
  <c r="H660" i="7"/>
  <c r="I660" i="7"/>
  <c r="A661" i="7"/>
  <c r="B661" i="7"/>
  <c r="C661" i="7"/>
  <c r="D661" i="7"/>
  <c r="E661" i="7"/>
  <c r="F661" i="7"/>
  <c r="G661" i="7"/>
  <c r="H661" i="7"/>
  <c r="I661" i="7"/>
  <c r="A662" i="7"/>
  <c r="B662" i="7"/>
  <c r="C662" i="7"/>
  <c r="D662" i="7"/>
  <c r="E662" i="7"/>
  <c r="F662" i="7"/>
  <c r="G662" i="7"/>
  <c r="H662" i="7"/>
  <c r="I662" i="7"/>
  <c r="A663" i="7"/>
  <c r="B663" i="7"/>
  <c r="C663" i="7"/>
  <c r="D663" i="7"/>
  <c r="E663" i="7"/>
  <c r="F663" i="7"/>
  <c r="G663" i="7"/>
  <c r="H663" i="7"/>
  <c r="I663" i="7"/>
  <c r="A664" i="7"/>
  <c r="B664" i="7"/>
  <c r="C664" i="7"/>
  <c r="D664" i="7"/>
  <c r="E664" i="7"/>
  <c r="F664" i="7"/>
  <c r="G664" i="7"/>
  <c r="H664" i="7"/>
  <c r="I664" i="7"/>
  <c r="A665" i="7"/>
  <c r="B665" i="7"/>
  <c r="C665" i="7"/>
  <c r="D665" i="7"/>
  <c r="E665" i="7"/>
  <c r="F665" i="7"/>
  <c r="G665" i="7"/>
  <c r="H665" i="7"/>
  <c r="I665" i="7"/>
  <c r="A666" i="7"/>
  <c r="B666" i="7"/>
  <c r="C666" i="7"/>
  <c r="D666" i="7"/>
  <c r="E666" i="7"/>
  <c r="F666" i="7"/>
  <c r="G666" i="7"/>
  <c r="H666" i="7"/>
  <c r="I666" i="7"/>
  <c r="A667" i="7"/>
  <c r="B667" i="7"/>
  <c r="C667" i="7"/>
  <c r="D667" i="7"/>
  <c r="E667" i="7"/>
  <c r="F667" i="7"/>
  <c r="G667" i="7"/>
  <c r="H667" i="7"/>
  <c r="I667" i="7"/>
  <c r="A668" i="7"/>
  <c r="B668" i="7"/>
  <c r="C668" i="7"/>
  <c r="D668" i="7"/>
  <c r="E668" i="7"/>
  <c r="F668" i="7"/>
  <c r="G668" i="7"/>
  <c r="H668" i="7"/>
  <c r="I668" i="7"/>
  <c r="A669" i="7"/>
  <c r="B669" i="7"/>
  <c r="C669" i="7"/>
  <c r="D669" i="7"/>
  <c r="E669" i="7"/>
  <c r="F669" i="7"/>
  <c r="G669" i="7"/>
  <c r="H669" i="7"/>
  <c r="I669" i="7"/>
  <c r="A670" i="7"/>
  <c r="B670" i="7"/>
  <c r="C670" i="7"/>
  <c r="D670" i="7"/>
  <c r="E670" i="7"/>
  <c r="F670" i="7"/>
  <c r="G670" i="7"/>
  <c r="H670" i="7"/>
  <c r="I670" i="7"/>
  <c r="A671" i="7"/>
  <c r="B671" i="7"/>
  <c r="C671" i="7"/>
  <c r="D671" i="7"/>
  <c r="E671" i="7"/>
  <c r="F671" i="7"/>
  <c r="G671" i="7"/>
  <c r="H671" i="7"/>
  <c r="I671" i="7"/>
  <c r="A672" i="7"/>
  <c r="B672" i="7"/>
  <c r="C672" i="7"/>
  <c r="D672" i="7"/>
  <c r="E672" i="7"/>
  <c r="F672" i="7"/>
  <c r="G672" i="7"/>
  <c r="H672" i="7"/>
  <c r="I672" i="7"/>
  <c r="A673" i="7"/>
  <c r="B673" i="7"/>
  <c r="C673" i="7"/>
  <c r="D673" i="7"/>
  <c r="E673" i="7"/>
  <c r="F673" i="7"/>
  <c r="G673" i="7"/>
  <c r="H673" i="7"/>
  <c r="I673" i="7"/>
  <c r="A674" i="7"/>
  <c r="B674" i="7"/>
  <c r="C674" i="7"/>
  <c r="D674" i="7"/>
  <c r="E674" i="7"/>
  <c r="F674" i="7"/>
  <c r="G674" i="7"/>
  <c r="H674" i="7"/>
  <c r="I674" i="7"/>
  <c r="A675" i="7"/>
  <c r="B675" i="7"/>
  <c r="C675" i="7"/>
  <c r="D675" i="7"/>
  <c r="E675" i="7"/>
  <c r="F675" i="7"/>
  <c r="G675" i="7"/>
  <c r="H675" i="7"/>
  <c r="I675" i="7"/>
  <c r="A676" i="7"/>
  <c r="B676" i="7"/>
  <c r="C676" i="7"/>
  <c r="D676" i="7"/>
  <c r="E676" i="7"/>
  <c r="F676" i="7"/>
  <c r="G676" i="7"/>
  <c r="H676" i="7"/>
  <c r="I676" i="7"/>
  <c r="A677" i="7"/>
  <c r="B677" i="7"/>
  <c r="C677" i="7"/>
  <c r="D677" i="7"/>
  <c r="E677" i="7"/>
  <c r="F677" i="7"/>
  <c r="G677" i="7"/>
  <c r="H677" i="7"/>
  <c r="I677" i="7"/>
  <c r="A678" i="7"/>
  <c r="B678" i="7"/>
  <c r="C678" i="7"/>
  <c r="D678" i="7"/>
  <c r="E678" i="7"/>
  <c r="F678" i="7"/>
  <c r="G678" i="7"/>
  <c r="H678" i="7"/>
  <c r="I678" i="7"/>
  <c r="A679" i="7"/>
  <c r="B679" i="7"/>
  <c r="C679" i="7"/>
  <c r="D679" i="7"/>
  <c r="E679" i="7"/>
  <c r="F679" i="7"/>
  <c r="G679" i="7"/>
  <c r="H679" i="7"/>
  <c r="I679" i="7"/>
  <c r="A680" i="7"/>
  <c r="B680" i="7"/>
  <c r="C680" i="7"/>
  <c r="D680" i="7"/>
  <c r="E680" i="7"/>
  <c r="F680" i="7"/>
  <c r="G680" i="7"/>
  <c r="H680" i="7"/>
  <c r="I680" i="7"/>
  <c r="A681" i="7"/>
  <c r="B681" i="7"/>
  <c r="C681" i="7"/>
  <c r="D681" i="7"/>
  <c r="E681" i="7"/>
  <c r="F681" i="7"/>
  <c r="G681" i="7"/>
  <c r="H681" i="7"/>
  <c r="I681" i="7"/>
  <c r="A682" i="7"/>
  <c r="B682" i="7"/>
  <c r="C682" i="7"/>
  <c r="D682" i="7"/>
  <c r="E682" i="7"/>
  <c r="F682" i="7"/>
  <c r="G682" i="7"/>
  <c r="H682" i="7"/>
  <c r="I682" i="7"/>
  <c r="A683" i="7"/>
  <c r="B683" i="7"/>
  <c r="C683" i="7"/>
  <c r="D683" i="7"/>
  <c r="E683" i="7"/>
  <c r="F683" i="7"/>
  <c r="G683" i="7"/>
  <c r="H683" i="7"/>
  <c r="I683" i="7"/>
  <c r="A684" i="7"/>
  <c r="B684" i="7"/>
  <c r="C684" i="7"/>
  <c r="D684" i="7"/>
  <c r="E684" i="7"/>
  <c r="F684" i="7"/>
  <c r="G684" i="7"/>
  <c r="H684" i="7"/>
  <c r="I684" i="7"/>
  <c r="A685" i="7"/>
  <c r="B685" i="7"/>
  <c r="C685" i="7"/>
  <c r="D685" i="7"/>
  <c r="E685" i="7"/>
  <c r="F685" i="7"/>
  <c r="G685" i="7"/>
  <c r="H685" i="7"/>
  <c r="I685" i="7"/>
  <c r="A686" i="7"/>
  <c r="B686" i="7"/>
  <c r="C686" i="7"/>
  <c r="D686" i="7"/>
  <c r="E686" i="7"/>
  <c r="F686" i="7"/>
  <c r="G686" i="7"/>
  <c r="H686" i="7"/>
  <c r="I686" i="7"/>
  <c r="A687" i="7"/>
  <c r="B687" i="7"/>
  <c r="C687" i="7"/>
  <c r="D687" i="7"/>
  <c r="E687" i="7"/>
  <c r="F687" i="7"/>
  <c r="G687" i="7"/>
  <c r="H687" i="7"/>
  <c r="I687" i="7"/>
  <c r="A688" i="7"/>
  <c r="B688" i="7"/>
  <c r="C688" i="7"/>
  <c r="D688" i="7"/>
  <c r="E688" i="7"/>
  <c r="F688" i="7"/>
  <c r="G688" i="7"/>
  <c r="H688" i="7"/>
  <c r="I688" i="7"/>
  <c r="A689" i="7"/>
  <c r="B689" i="7"/>
  <c r="C689" i="7"/>
  <c r="D689" i="7"/>
  <c r="E689" i="7"/>
  <c r="F689" i="7"/>
  <c r="G689" i="7"/>
  <c r="H689" i="7"/>
  <c r="I689" i="7"/>
  <c r="A690" i="7"/>
  <c r="B690" i="7"/>
  <c r="C690" i="7"/>
  <c r="D690" i="7"/>
  <c r="E690" i="7"/>
  <c r="F690" i="7"/>
  <c r="G690" i="7"/>
  <c r="H690" i="7"/>
  <c r="I690" i="7"/>
  <c r="A691" i="7"/>
  <c r="B691" i="7"/>
  <c r="C691" i="7"/>
  <c r="D691" i="7"/>
  <c r="E691" i="7"/>
  <c r="F691" i="7"/>
  <c r="G691" i="7"/>
  <c r="H691" i="7"/>
  <c r="I691" i="7"/>
  <c r="A692" i="7"/>
  <c r="B692" i="7"/>
  <c r="C692" i="7"/>
  <c r="D692" i="7"/>
  <c r="E692" i="7"/>
  <c r="F692" i="7"/>
  <c r="G692" i="7"/>
  <c r="H692" i="7"/>
  <c r="I692" i="7"/>
  <c r="A693" i="7"/>
  <c r="B693" i="7"/>
  <c r="C693" i="7"/>
  <c r="D693" i="7"/>
  <c r="E693" i="7"/>
  <c r="F693" i="7"/>
  <c r="G693" i="7"/>
  <c r="H693" i="7"/>
  <c r="I693" i="7"/>
  <c r="A694" i="7"/>
  <c r="B694" i="7"/>
  <c r="C694" i="7"/>
  <c r="D694" i="7"/>
  <c r="E694" i="7"/>
  <c r="F694" i="7"/>
  <c r="G694" i="7"/>
  <c r="H694" i="7"/>
  <c r="I694" i="7"/>
  <c r="A695" i="7"/>
  <c r="B695" i="7"/>
  <c r="C695" i="7"/>
  <c r="D695" i="7"/>
  <c r="E695" i="7"/>
  <c r="F695" i="7"/>
  <c r="G695" i="7"/>
  <c r="H695" i="7"/>
  <c r="I695" i="7"/>
  <c r="A696" i="7"/>
  <c r="B696" i="7"/>
  <c r="C696" i="7"/>
  <c r="D696" i="7"/>
  <c r="E696" i="7"/>
  <c r="F696" i="7"/>
  <c r="G696" i="7"/>
  <c r="H696" i="7"/>
  <c r="I696" i="7"/>
  <c r="A697" i="7"/>
  <c r="B697" i="7"/>
  <c r="C697" i="7"/>
  <c r="D697" i="7"/>
  <c r="E697" i="7"/>
  <c r="F697" i="7"/>
  <c r="G697" i="7"/>
  <c r="H697" i="7"/>
  <c r="I697" i="7"/>
  <c r="A698" i="7"/>
  <c r="B698" i="7"/>
  <c r="C698" i="7"/>
  <c r="D698" i="7"/>
  <c r="E698" i="7"/>
  <c r="F698" i="7"/>
  <c r="G698" i="7"/>
  <c r="H698" i="7"/>
  <c r="I698" i="7"/>
  <c r="A699" i="7"/>
  <c r="B699" i="7"/>
  <c r="C699" i="7"/>
  <c r="D699" i="7"/>
  <c r="E699" i="7"/>
  <c r="F699" i="7"/>
  <c r="G699" i="7"/>
  <c r="H699" i="7"/>
  <c r="I699" i="7"/>
  <c r="A700" i="7"/>
  <c r="B700" i="7"/>
  <c r="C700" i="7"/>
  <c r="D700" i="7"/>
  <c r="E700" i="7"/>
  <c r="F700" i="7"/>
  <c r="G700" i="7"/>
  <c r="H700" i="7"/>
  <c r="I700" i="7"/>
  <c r="A701" i="7"/>
  <c r="B701" i="7"/>
  <c r="C701" i="7"/>
  <c r="D701" i="7"/>
  <c r="E701" i="7"/>
  <c r="F701" i="7"/>
  <c r="G701" i="7"/>
  <c r="H701" i="7"/>
  <c r="I701" i="7"/>
  <c r="A702" i="7"/>
  <c r="B702" i="7"/>
  <c r="C702" i="7"/>
  <c r="D702" i="7"/>
  <c r="E702" i="7"/>
  <c r="F702" i="7"/>
  <c r="G702" i="7"/>
  <c r="H702" i="7"/>
  <c r="I702" i="7"/>
  <c r="A703" i="7"/>
  <c r="B703" i="7"/>
  <c r="C703" i="7"/>
  <c r="D703" i="7"/>
  <c r="E703" i="7"/>
  <c r="F703" i="7"/>
  <c r="G703" i="7"/>
  <c r="H703" i="7"/>
  <c r="I703" i="7"/>
  <c r="A704" i="7"/>
  <c r="B704" i="7"/>
  <c r="C704" i="7"/>
  <c r="D704" i="7"/>
  <c r="E704" i="7"/>
  <c r="F704" i="7"/>
  <c r="G704" i="7"/>
  <c r="H704" i="7"/>
  <c r="I704" i="7"/>
  <c r="A705" i="7"/>
  <c r="B705" i="7"/>
  <c r="C705" i="7"/>
  <c r="D705" i="7"/>
  <c r="E705" i="7"/>
  <c r="F705" i="7"/>
  <c r="G705" i="7"/>
  <c r="H705" i="7"/>
  <c r="I705" i="7"/>
  <c r="A706" i="7"/>
  <c r="B706" i="7"/>
  <c r="C706" i="7"/>
  <c r="D706" i="7"/>
  <c r="E706" i="7"/>
  <c r="F706" i="7"/>
  <c r="G706" i="7"/>
  <c r="H706" i="7"/>
  <c r="I706" i="7"/>
  <c r="A707" i="7"/>
  <c r="B707" i="7"/>
  <c r="C707" i="7"/>
  <c r="D707" i="7"/>
  <c r="E707" i="7"/>
  <c r="F707" i="7"/>
  <c r="G707" i="7"/>
  <c r="H707" i="7"/>
  <c r="I707" i="7"/>
  <c r="A708" i="7"/>
  <c r="B708" i="7"/>
  <c r="C708" i="7"/>
  <c r="D708" i="7"/>
  <c r="E708" i="7"/>
  <c r="F708" i="7"/>
  <c r="G708" i="7"/>
  <c r="H708" i="7"/>
  <c r="I708" i="7"/>
  <c r="A709" i="7"/>
  <c r="B709" i="7"/>
  <c r="C709" i="7"/>
  <c r="D709" i="7"/>
  <c r="E709" i="7"/>
  <c r="F709" i="7"/>
  <c r="G709" i="7"/>
  <c r="H709" i="7"/>
  <c r="I709" i="7"/>
  <c r="A710" i="7"/>
  <c r="B710" i="7"/>
  <c r="C710" i="7"/>
  <c r="D710" i="7"/>
  <c r="E710" i="7"/>
  <c r="F710" i="7"/>
  <c r="G710" i="7"/>
  <c r="H710" i="7"/>
  <c r="I710" i="7"/>
  <c r="A711" i="7"/>
  <c r="B711" i="7"/>
  <c r="C711" i="7"/>
  <c r="D711" i="7"/>
  <c r="E711" i="7"/>
  <c r="F711" i="7"/>
  <c r="G711" i="7"/>
  <c r="H711" i="7"/>
  <c r="I711" i="7"/>
  <c r="A712" i="7"/>
  <c r="B712" i="7"/>
  <c r="C712" i="7"/>
  <c r="D712" i="7"/>
  <c r="E712" i="7"/>
  <c r="F712" i="7"/>
  <c r="G712" i="7"/>
  <c r="H712" i="7"/>
  <c r="I712" i="7"/>
  <c r="A713" i="7"/>
  <c r="B713" i="7"/>
  <c r="C713" i="7"/>
  <c r="D713" i="7"/>
  <c r="E713" i="7"/>
  <c r="F713" i="7"/>
  <c r="G713" i="7"/>
  <c r="H713" i="7"/>
  <c r="I713" i="7"/>
  <c r="A714" i="7"/>
  <c r="B714" i="7"/>
  <c r="C714" i="7"/>
  <c r="D714" i="7"/>
  <c r="E714" i="7"/>
  <c r="F714" i="7"/>
  <c r="G714" i="7"/>
  <c r="H714" i="7"/>
  <c r="I714" i="7"/>
  <c r="A715" i="7"/>
  <c r="B715" i="7"/>
  <c r="C715" i="7"/>
  <c r="D715" i="7"/>
  <c r="E715" i="7"/>
  <c r="F715" i="7"/>
  <c r="G715" i="7"/>
  <c r="H715" i="7"/>
  <c r="I715" i="7"/>
  <c r="A716" i="7"/>
  <c r="B716" i="7"/>
  <c r="C716" i="7"/>
  <c r="D716" i="7"/>
  <c r="E716" i="7"/>
  <c r="F716" i="7"/>
  <c r="G716" i="7"/>
  <c r="H716" i="7"/>
  <c r="I716" i="7"/>
  <c r="A717" i="7"/>
  <c r="B717" i="7"/>
  <c r="C717" i="7"/>
  <c r="D717" i="7"/>
  <c r="E717" i="7"/>
  <c r="F717" i="7"/>
  <c r="G717" i="7"/>
  <c r="H717" i="7"/>
  <c r="I717" i="7"/>
  <c r="A718" i="7"/>
  <c r="B718" i="7"/>
  <c r="C718" i="7"/>
  <c r="D718" i="7"/>
  <c r="E718" i="7"/>
  <c r="F718" i="7"/>
  <c r="G718" i="7"/>
  <c r="H718" i="7"/>
  <c r="I718" i="7"/>
  <c r="A719" i="7"/>
  <c r="B719" i="7"/>
  <c r="C719" i="7"/>
  <c r="D719" i="7"/>
  <c r="E719" i="7"/>
  <c r="F719" i="7"/>
  <c r="G719" i="7"/>
  <c r="H719" i="7"/>
  <c r="I719" i="7"/>
  <c r="A720" i="7"/>
  <c r="B720" i="7"/>
  <c r="C720" i="7"/>
  <c r="D720" i="7"/>
  <c r="E720" i="7"/>
  <c r="F720" i="7"/>
  <c r="G720" i="7"/>
  <c r="H720" i="7"/>
  <c r="I720" i="7"/>
  <c r="A721" i="7"/>
  <c r="B721" i="7"/>
  <c r="C721" i="7"/>
  <c r="D721" i="7"/>
  <c r="E721" i="7"/>
  <c r="F721" i="7"/>
  <c r="G721" i="7"/>
  <c r="H721" i="7"/>
  <c r="I721" i="7"/>
  <c r="A722" i="7"/>
  <c r="B722" i="7"/>
  <c r="C722" i="7"/>
  <c r="D722" i="7"/>
  <c r="E722" i="7"/>
  <c r="F722" i="7"/>
  <c r="G722" i="7"/>
  <c r="H722" i="7"/>
  <c r="I722" i="7"/>
  <c r="A723" i="7"/>
  <c r="B723" i="7"/>
  <c r="C723" i="7"/>
  <c r="D723" i="7"/>
  <c r="E723" i="7"/>
  <c r="F723" i="7"/>
  <c r="G723" i="7"/>
  <c r="H723" i="7"/>
  <c r="I723" i="7"/>
  <c r="A724" i="7"/>
  <c r="B724" i="7"/>
  <c r="C724" i="7"/>
  <c r="D724" i="7"/>
  <c r="E724" i="7"/>
  <c r="F724" i="7"/>
  <c r="G724" i="7"/>
  <c r="H724" i="7"/>
  <c r="I724" i="7"/>
  <c r="A725" i="7"/>
  <c r="B725" i="7"/>
  <c r="C725" i="7"/>
  <c r="D725" i="7"/>
  <c r="E725" i="7"/>
  <c r="F725" i="7"/>
  <c r="G725" i="7"/>
  <c r="H725" i="7"/>
  <c r="I725" i="7"/>
  <c r="A726" i="7"/>
  <c r="B726" i="7"/>
  <c r="C726" i="7"/>
  <c r="D726" i="7"/>
  <c r="E726" i="7"/>
  <c r="F726" i="7"/>
  <c r="G726" i="7"/>
  <c r="H726" i="7"/>
  <c r="I726" i="7"/>
  <c r="A727" i="7"/>
  <c r="B727" i="7"/>
  <c r="C727" i="7"/>
  <c r="D727" i="7"/>
  <c r="E727" i="7"/>
  <c r="F727" i="7"/>
  <c r="G727" i="7"/>
  <c r="H727" i="7"/>
  <c r="I727" i="7"/>
  <c r="A728" i="7"/>
  <c r="B728" i="7"/>
  <c r="C728" i="7"/>
  <c r="D728" i="7"/>
  <c r="E728" i="7"/>
  <c r="F728" i="7"/>
  <c r="G728" i="7"/>
  <c r="H728" i="7"/>
  <c r="I728" i="7"/>
  <c r="A729" i="7"/>
  <c r="B729" i="7"/>
  <c r="C729" i="7"/>
  <c r="D729" i="7"/>
  <c r="E729" i="7"/>
  <c r="F729" i="7"/>
  <c r="G729" i="7"/>
  <c r="H729" i="7"/>
  <c r="I729" i="7"/>
  <c r="A730" i="7"/>
  <c r="B730" i="7"/>
  <c r="C730" i="7"/>
  <c r="D730" i="7"/>
  <c r="E730" i="7"/>
  <c r="F730" i="7"/>
  <c r="G730" i="7"/>
  <c r="H730" i="7"/>
  <c r="I730" i="7"/>
  <c r="A731" i="7"/>
  <c r="B731" i="7"/>
  <c r="C731" i="7"/>
  <c r="D731" i="7"/>
  <c r="E731" i="7"/>
  <c r="F731" i="7"/>
  <c r="G731" i="7"/>
  <c r="H731" i="7"/>
  <c r="I731" i="7"/>
  <c r="A732" i="7"/>
  <c r="B732" i="7"/>
  <c r="C732" i="7"/>
  <c r="D732" i="7"/>
  <c r="E732" i="7"/>
  <c r="F732" i="7"/>
  <c r="G732" i="7"/>
  <c r="H732" i="7"/>
  <c r="I732" i="7"/>
  <c r="A733" i="7"/>
  <c r="B733" i="7"/>
  <c r="C733" i="7"/>
  <c r="D733" i="7"/>
  <c r="E733" i="7"/>
  <c r="F733" i="7"/>
  <c r="G733" i="7"/>
  <c r="H733" i="7"/>
  <c r="I733" i="7"/>
  <c r="A734" i="7"/>
  <c r="B734" i="7"/>
  <c r="C734" i="7"/>
  <c r="D734" i="7"/>
  <c r="E734" i="7"/>
  <c r="F734" i="7"/>
  <c r="G734" i="7"/>
  <c r="H734" i="7"/>
  <c r="I734" i="7"/>
  <c r="A735" i="7"/>
  <c r="B735" i="7"/>
  <c r="C735" i="7"/>
  <c r="D735" i="7"/>
  <c r="E735" i="7"/>
  <c r="F735" i="7"/>
  <c r="G735" i="7"/>
  <c r="H735" i="7"/>
  <c r="I735" i="7"/>
  <c r="A736" i="7"/>
  <c r="B736" i="7"/>
  <c r="C736" i="7"/>
  <c r="D736" i="7"/>
  <c r="E736" i="7"/>
  <c r="F736" i="7"/>
  <c r="G736" i="7"/>
  <c r="H736" i="7"/>
  <c r="I736" i="7"/>
  <c r="A737" i="7"/>
  <c r="B737" i="7"/>
  <c r="C737" i="7"/>
  <c r="D737" i="7"/>
  <c r="E737" i="7"/>
  <c r="F737" i="7"/>
  <c r="G737" i="7"/>
  <c r="H737" i="7"/>
  <c r="I737" i="7"/>
  <c r="A738" i="7"/>
  <c r="B738" i="7"/>
  <c r="C738" i="7"/>
  <c r="D738" i="7"/>
  <c r="E738" i="7"/>
  <c r="F738" i="7"/>
  <c r="G738" i="7"/>
  <c r="H738" i="7"/>
  <c r="I738" i="7"/>
  <c r="A739" i="7"/>
  <c r="B739" i="7"/>
  <c r="C739" i="7"/>
  <c r="D739" i="7"/>
  <c r="E739" i="7"/>
  <c r="F739" i="7"/>
  <c r="G739" i="7"/>
  <c r="H739" i="7"/>
  <c r="I739" i="7"/>
  <c r="A740" i="7"/>
  <c r="B740" i="7"/>
  <c r="C740" i="7"/>
  <c r="D740" i="7"/>
  <c r="E740" i="7"/>
  <c r="F740" i="7"/>
  <c r="G740" i="7"/>
  <c r="H740" i="7"/>
  <c r="I740" i="7"/>
  <c r="A741" i="7"/>
  <c r="B741" i="7"/>
  <c r="C741" i="7"/>
  <c r="D741" i="7"/>
  <c r="E741" i="7"/>
  <c r="F741" i="7"/>
  <c r="G741" i="7"/>
  <c r="H741" i="7"/>
  <c r="I741" i="7"/>
  <c r="A742" i="7"/>
  <c r="B742" i="7"/>
  <c r="C742" i="7"/>
  <c r="D742" i="7"/>
  <c r="E742" i="7"/>
  <c r="F742" i="7"/>
  <c r="G742" i="7"/>
  <c r="H742" i="7"/>
  <c r="I742" i="7"/>
  <c r="A743" i="7"/>
  <c r="B743" i="7"/>
  <c r="C743" i="7"/>
  <c r="D743" i="7"/>
  <c r="E743" i="7"/>
  <c r="F743" i="7"/>
  <c r="G743" i="7"/>
  <c r="H743" i="7"/>
  <c r="I743" i="7"/>
  <c r="A744" i="7"/>
  <c r="B744" i="7"/>
  <c r="C744" i="7"/>
  <c r="D744" i="7"/>
  <c r="E744" i="7"/>
  <c r="F744" i="7"/>
  <c r="G744" i="7"/>
  <c r="H744" i="7"/>
  <c r="I744" i="7"/>
  <c r="A745" i="7"/>
  <c r="B745" i="7"/>
  <c r="C745" i="7"/>
  <c r="D745" i="7"/>
  <c r="E745" i="7"/>
  <c r="F745" i="7"/>
  <c r="G745" i="7"/>
  <c r="H745" i="7"/>
  <c r="I745" i="7"/>
  <c r="A746" i="7"/>
  <c r="B746" i="7"/>
  <c r="C746" i="7"/>
  <c r="D746" i="7"/>
  <c r="E746" i="7"/>
  <c r="F746" i="7"/>
  <c r="G746" i="7"/>
  <c r="H746" i="7"/>
  <c r="I746" i="7"/>
  <c r="A747" i="7"/>
  <c r="B747" i="7"/>
  <c r="C747" i="7"/>
  <c r="D747" i="7"/>
  <c r="E747" i="7"/>
  <c r="F747" i="7"/>
  <c r="G747" i="7"/>
  <c r="H747" i="7"/>
  <c r="I747" i="7"/>
  <c r="A748" i="7"/>
  <c r="B748" i="7"/>
  <c r="C748" i="7"/>
  <c r="D748" i="7"/>
  <c r="E748" i="7"/>
  <c r="F748" i="7"/>
  <c r="G748" i="7"/>
  <c r="H748" i="7"/>
  <c r="I748" i="7"/>
  <c r="A749" i="7"/>
  <c r="B749" i="7"/>
  <c r="C749" i="7"/>
  <c r="D749" i="7"/>
  <c r="E749" i="7"/>
  <c r="F749" i="7"/>
  <c r="G749" i="7"/>
  <c r="H749" i="7"/>
  <c r="I749" i="7"/>
  <c r="A750" i="7"/>
  <c r="B750" i="7"/>
  <c r="C750" i="7"/>
  <c r="D750" i="7"/>
  <c r="E750" i="7"/>
  <c r="F750" i="7"/>
  <c r="G750" i="7"/>
  <c r="H750" i="7"/>
  <c r="I750" i="7"/>
  <c r="A751" i="7"/>
  <c r="B751" i="7"/>
  <c r="C751" i="7"/>
  <c r="D751" i="7"/>
  <c r="E751" i="7"/>
  <c r="F751" i="7"/>
  <c r="G751" i="7"/>
  <c r="H751" i="7"/>
  <c r="I751" i="7"/>
  <c r="A752" i="7"/>
  <c r="B752" i="7"/>
  <c r="C752" i="7"/>
  <c r="D752" i="7"/>
  <c r="E752" i="7"/>
  <c r="F752" i="7"/>
  <c r="G752" i="7"/>
  <c r="H752" i="7"/>
  <c r="I752" i="7"/>
  <c r="A753" i="7"/>
  <c r="B753" i="7"/>
  <c r="C753" i="7"/>
  <c r="D753" i="7"/>
  <c r="E753" i="7"/>
  <c r="F753" i="7"/>
  <c r="G753" i="7"/>
  <c r="H753" i="7"/>
  <c r="I753" i="7"/>
  <c r="A754" i="7"/>
  <c r="B754" i="7"/>
  <c r="C754" i="7"/>
  <c r="D754" i="7"/>
  <c r="E754" i="7"/>
  <c r="F754" i="7"/>
  <c r="G754" i="7"/>
  <c r="H754" i="7"/>
  <c r="I754" i="7"/>
  <c r="A755" i="7"/>
  <c r="B755" i="7"/>
  <c r="C755" i="7"/>
  <c r="D755" i="7"/>
  <c r="E755" i="7"/>
  <c r="F755" i="7"/>
  <c r="G755" i="7"/>
  <c r="H755" i="7"/>
  <c r="I755" i="7"/>
  <c r="A756" i="7"/>
  <c r="B756" i="7"/>
  <c r="C756" i="7"/>
  <c r="D756" i="7"/>
  <c r="E756" i="7"/>
  <c r="F756" i="7"/>
  <c r="G756" i="7"/>
  <c r="H756" i="7"/>
  <c r="I756" i="7"/>
  <c r="A757" i="7"/>
  <c r="B757" i="7"/>
  <c r="C757" i="7"/>
  <c r="D757" i="7"/>
  <c r="E757" i="7"/>
  <c r="F757" i="7"/>
  <c r="G757" i="7"/>
  <c r="H757" i="7"/>
  <c r="I757" i="7"/>
  <c r="A758" i="7"/>
  <c r="B758" i="7"/>
  <c r="C758" i="7"/>
  <c r="D758" i="7"/>
  <c r="E758" i="7"/>
  <c r="F758" i="7"/>
  <c r="G758" i="7"/>
  <c r="H758" i="7"/>
  <c r="I758" i="7"/>
  <c r="A759" i="7"/>
  <c r="B759" i="7"/>
  <c r="C759" i="7"/>
  <c r="D759" i="7"/>
  <c r="E759" i="7"/>
  <c r="F759" i="7"/>
  <c r="G759" i="7"/>
  <c r="H759" i="7"/>
  <c r="I759" i="7"/>
  <c r="A760" i="7"/>
  <c r="B760" i="7"/>
  <c r="C760" i="7"/>
  <c r="D760" i="7"/>
  <c r="E760" i="7"/>
  <c r="F760" i="7"/>
  <c r="G760" i="7"/>
  <c r="H760" i="7"/>
  <c r="I760" i="7"/>
  <c r="A761" i="7"/>
  <c r="B761" i="7"/>
  <c r="C761" i="7"/>
  <c r="D761" i="7"/>
  <c r="E761" i="7"/>
  <c r="F761" i="7"/>
  <c r="G761" i="7"/>
  <c r="H761" i="7"/>
  <c r="I761" i="7"/>
  <c r="A762" i="7"/>
  <c r="B762" i="7"/>
  <c r="C762" i="7"/>
  <c r="D762" i="7"/>
  <c r="E762" i="7"/>
  <c r="F762" i="7"/>
  <c r="G762" i="7"/>
  <c r="H762" i="7"/>
  <c r="I762" i="7"/>
  <c r="A763" i="7"/>
  <c r="B763" i="7"/>
  <c r="C763" i="7"/>
  <c r="D763" i="7"/>
  <c r="E763" i="7"/>
  <c r="F763" i="7"/>
  <c r="G763" i="7"/>
  <c r="H763" i="7"/>
  <c r="I763" i="7"/>
  <c r="A764" i="7"/>
  <c r="B764" i="7"/>
  <c r="C764" i="7"/>
  <c r="D764" i="7"/>
  <c r="E764" i="7"/>
  <c r="F764" i="7"/>
  <c r="G764" i="7"/>
  <c r="H764" i="7"/>
  <c r="I764" i="7"/>
  <c r="A765" i="7"/>
  <c r="B765" i="7"/>
  <c r="C765" i="7"/>
  <c r="D765" i="7"/>
  <c r="E765" i="7"/>
  <c r="F765" i="7"/>
  <c r="G765" i="7"/>
  <c r="H765" i="7"/>
  <c r="I765" i="7"/>
  <c r="A766" i="7"/>
  <c r="B766" i="7"/>
  <c r="C766" i="7"/>
  <c r="D766" i="7"/>
  <c r="E766" i="7"/>
  <c r="F766" i="7"/>
  <c r="G766" i="7"/>
  <c r="H766" i="7"/>
  <c r="I766" i="7"/>
  <c r="A767" i="7"/>
  <c r="B767" i="7"/>
  <c r="C767" i="7"/>
  <c r="D767" i="7"/>
  <c r="E767" i="7"/>
  <c r="F767" i="7"/>
  <c r="G767" i="7"/>
  <c r="H767" i="7"/>
  <c r="I767" i="7"/>
  <c r="A768" i="7"/>
  <c r="B768" i="7"/>
  <c r="C768" i="7"/>
  <c r="D768" i="7"/>
  <c r="E768" i="7"/>
  <c r="F768" i="7"/>
  <c r="G768" i="7"/>
  <c r="H768" i="7"/>
  <c r="I768" i="7"/>
  <c r="A769" i="7"/>
  <c r="B769" i="7"/>
  <c r="C769" i="7"/>
  <c r="D769" i="7"/>
  <c r="E769" i="7"/>
  <c r="F769" i="7"/>
  <c r="G769" i="7"/>
  <c r="H769" i="7"/>
  <c r="I769" i="7"/>
  <c r="A770" i="7"/>
  <c r="B770" i="7"/>
  <c r="C770" i="7"/>
  <c r="D770" i="7"/>
  <c r="E770" i="7"/>
  <c r="F770" i="7"/>
  <c r="G770" i="7"/>
  <c r="H770" i="7"/>
  <c r="I770" i="7"/>
  <c r="A771" i="7"/>
  <c r="B771" i="7"/>
  <c r="C771" i="7"/>
  <c r="D771" i="7"/>
  <c r="E771" i="7"/>
  <c r="F771" i="7"/>
  <c r="G771" i="7"/>
  <c r="H771" i="7"/>
  <c r="I771" i="7"/>
  <c r="A772" i="7"/>
  <c r="B772" i="7"/>
  <c r="C772" i="7"/>
  <c r="D772" i="7"/>
  <c r="E772" i="7"/>
  <c r="F772" i="7"/>
  <c r="G772" i="7"/>
  <c r="H772" i="7"/>
  <c r="I772" i="7"/>
  <c r="A773" i="7"/>
  <c r="B773" i="7"/>
  <c r="C773" i="7"/>
  <c r="D773" i="7"/>
  <c r="E773" i="7"/>
  <c r="F773" i="7"/>
  <c r="G773" i="7"/>
  <c r="H773" i="7"/>
  <c r="I773" i="7"/>
  <c r="A774" i="7"/>
  <c r="B774" i="7"/>
  <c r="C774" i="7"/>
  <c r="D774" i="7"/>
  <c r="E774" i="7"/>
  <c r="F774" i="7"/>
  <c r="G774" i="7"/>
  <c r="H774" i="7"/>
  <c r="I774" i="7"/>
  <c r="A775" i="7"/>
  <c r="B775" i="7"/>
  <c r="C775" i="7"/>
  <c r="D775" i="7"/>
  <c r="E775" i="7"/>
  <c r="F775" i="7"/>
  <c r="G775" i="7"/>
  <c r="H775" i="7"/>
  <c r="I775" i="7"/>
  <c r="A776" i="7"/>
  <c r="B776" i="7"/>
  <c r="C776" i="7"/>
  <c r="D776" i="7"/>
  <c r="E776" i="7"/>
  <c r="F776" i="7"/>
  <c r="G776" i="7"/>
  <c r="H776" i="7"/>
  <c r="I776" i="7"/>
  <c r="A777" i="7"/>
  <c r="B777" i="7"/>
  <c r="C777" i="7"/>
  <c r="D777" i="7"/>
  <c r="E777" i="7"/>
  <c r="F777" i="7"/>
  <c r="G777" i="7"/>
  <c r="H777" i="7"/>
  <c r="I777" i="7"/>
  <c r="A778" i="7"/>
  <c r="B778" i="7"/>
  <c r="C778" i="7"/>
  <c r="D778" i="7"/>
  <c r="E778" i="7"/>
  <c r="F778" i="7"/>
  <c r="G778" i="7"/>
  <c r="H778" i="7"/>
  <c r="I778" i="7"/>
  <c r="A779" i="7"/>
  <c r="B779" i="7"/>
  <c r="C779" i="7"/>
  <c r="D779" i="7"/>
  <c r="E779" i="7"/>
  <c r="F779" i="7"/>
  <c r="G779" i="7"/>
  <c r="H779" i="7"/>
  <c r="I779" i="7"/>
  <c r="A780" i="7"/>
  <c r="B780" i="7"/>
  <c r="C780" i="7"/>
  <c r="D780" i="7"/>
  <c r="E780" i="7"/>
  <c r="F780" i="7"/>
  <c r="G780" i="7"/>
  <c r="H780" i="7"/>
  <c r="I780" i="7"/>
  <c r="A781" i="7"/>
  <c r="B781" i="7"/>
  <c r="C781" i="7"/>
  <c r="D781" i="7"/>
  <c r="E781" i="7"/>
  <c r="F781" i="7"/>
  <c r="G781" i="7"/>
  <c r="H781" i="7"/>
  <c r="I781" i="7"/>
  <c r="A782" i="7"/>
  <c r="B782" i="7"/>
  <c r="C782" i="7"/>
  <c r="D782" i="7"/>
  <c r="E782" i="7"/>
  <c r="F782" i="7"/>
  <c r="G782" i="7"/>
  <c r="H782" i="7"/>
  <c r="I782" i="7"/>
  <c r="A783" i="7"/>
  <c r="B783" i="7"/>
  <c r="C783" i="7"/>
  <c r="D783" i="7"/>
  <c r="E783" i="7"/>
  <c r="F783" i="7"/>
  <c r="G783" i="7"/>
  <c r="H783" i="7"/>
  <c r="I783" i="7"/>
  <c r="A784" i="7"/>
  <c r="B784" i="7"/>
  <c r="C784" i="7"/>
  <c r="D784" i="7"/>
  <c r="E784" i="7"/>
  <c r="F784" i="7"/>
  <c r="G784" i="7"/>
  <c r="H784" i="7"/>
  <c r="I784" i="7"/>
  <c r="A785" i="7"/>
  <c r="B785" i="7"/>
  <c r="C785" i="7"/>
  <c r="D785" i="7"/>
  <c r="E785" i="7"/>
  <c r="F785" i="7"/>
  <c r="G785" i="7"/>
  <c r="H785" i="7"/>
  <c r="I785" i="7"/>
  <c r="A786" i="7"/>
  <c r="B786" i="7"/>
  <c r="C786" i="7"/>
  <c r="D786" i="7"/>
  <c r="E786" i="7"/>
  <c r="F786" i="7"/>
  <c r="G786" i="7"/>
  <c r="H786" i="7"/>
  <c r="I786" i="7"/>
  <c r="A787" i="7"/>
  <c r="B787" i="7"/>
  <c r="C787" i="7"/>
  <c r="D787" i="7"/>
  <c r="E787" i="7"/>
  <c r="F787" i="7"/>
  <c r="G787" i="7"/>
  <c r="H787" i="7"/>
  <c r="I787" i="7"/>
  <c r="A788" i="7"/>
  <c r="B788" i="7"/>
  <c r="C788" i="7"/>
  <c r="D788" i="7"/>
  <c r="E788" i="7"/>
  <c r="F788" i="7"/>
  <c r="G788" i="7"/>
  <c r="H788" i="7"/>
  <c r="I788" i="7"/>
  <c r="A789" i="7"/>
  <c r="B789" i="7"/>
  <c r="C789" i="7"/>
  <c r="D789" i="7"/>
  <c r="E789" i="7"/>
  <c r="F789" i="7"/>
  <c r="G789" i="7"/>
  <c r="H789" i="7"/>
  <c r="I789" i="7"/>
  <c r="A790" i="7"/>
  <c r="B790" i="7"/>
  <c r="C790" i="7"/>
  <c r="D790" i="7"/>
  <c r="E790" i="7"/>
  <c r="F790" i="7"/>
  <c r="G790" i="7"/>
  <c r="H790" i="7"/>
  <c r="I790" i="7"/>
  <c r="A791" i="7"/>
  <c r="B791" i="7"/>
  <c r="C791" i="7"/>
  <c r="D791" i="7"/>
  <c r="E791" i="7"/>
  <c r="F791" i="7"/>
  <c r="G791" i="7"/>
  <c r="H791" i="7"/>
  <c r="I791" i="7"/>
  <c r="A792" i="7"/>
  <c r="B792" i="7"/>
  <c r="C792" i="7"/>
  <c r="D792" i="7"/>
  <c r="E792" i="7"/>
  <c r="F792" i="7"/>
  <c r="G792" i="7"/>
  <c r="H792" i="7"/>
  <c r="I792" i="7"/>
  <c r="A793" i="7"/>
  <c r="B793" i="7"/>
  <c r="C793" i="7"/>
  <c r="D793" i="7"/>
  <c r="E793" i="7"/>
  <c r="F793" i="7"/>
  <c r="G793" i="7"/>
  <c r="H793" i="7"/>
  <c r="I793" i="7"/>
  <c r="A794" i="7"/>
  <c r="B794" i="7"/>
  <c r="C794" i="7"/>
  <c r="D794" i="7"/>
  <c r="E794" i="7"/>
  <c r="F794" i="7"/>
  <c r="G794" i="7"/>
  <c r="H794" i="7"/>
  <c r="I794" i="7"/>
  <c r="A795" i="7"/>
  <c r="B795" i="7"/>
  <c r="C795" i="7"/>
  <c r="D795" i="7"/>
  <c r="E795" i="7"/>
  <c r="F795" i="7"/>
  <c r="G795" i="7"/>
  <c r="H795" i="7"/>
  <c r="I795" i="7"/>
  <c r="A796" i="7"/>
  <c r="B796" i="7"/>
  <c r="C796" i="7"/>
  <c r="D796" i="7"/>
  <c r="E796" i="7"/>
  <c r="F796" i="7"/>
  <c r="G796" i="7"/>
  <c r="H796" i="7"/>
  <c r="I796" i="7"/>
  <c r="A797" i="7"/>
  <c r="B797" i="7"/>
  <c r="C797" i="7"/>
  <c r="D797" i="7"/>
  <c r="E797" i="7"/>
  <c r="F797" i="7"/>
  <c r="G797" i="7"/>
  <c r="H797" i="7"/>
  <c r="I797" i="7"/>
  <c r="A798" i="7"/>
  <c r="B798" i="7"/>
  <c r="C798" i="7"/>
  <c r="D798" i="7"/>
  <c r="E798" i="7"/>
  <c r="F798" i="7"/>
  <c r="G798" i="7"/>
  <c r="H798" i="7"/>
  <c r="I798" i="7"/>
  <c r="A799" i="7"/>
  <c r="B799" i="7"/>
  <c r="C799" i="7"/>
  <c r="D799" i="7"/>
  <c r="E799" i="7"/>
  <c r="F799" i="7"/>
  <c r="G799" i="7"/>
  <c r="H799" i="7"/>
  <c r="I799" i="7"/>
  <c r="A800" i="7"/>
  <c r="B800" i="7"/>
  <c r="C800" i="7"/>
  <c r="D800" i="7"/>
  <c r="E800" i="7"/>
  <c r="F800" i="7"/>
  <c r="G800" i="7"/>
  <c r="H800" i="7"/>
  <c r="I800" i="7"/>
  <c r="A801" i="7"/>
  <c r="B801" i="7"/>
  <c r="C801" i="7"/>
  <c r="D801" i="7"/>
  <c r="E801" i="7"/>
  <c r="F801" i="7"/>
  <c r="G801" i="7"/>
  <c r="H801" i="7"/>
  <c r="I801" i="7"/>
  <c r="A802" i="7"/>
  <c r="B802" i="7"/>
  <c r="C802" i="7"/>
  <c r="D802" i="7"/>
  <c r="E802" i="7"/>
  <c r="F802" i="7"/>
  <c r="G802" i="7"/>
  <c r="H802" i="7"/>
  <c r="I802" i="7"/>
  <c r="A803" i="7"/>
  <c r="B803" i="7"/>
  <c r="C803" i="7"/>
  <c r="D803" i="7"/>
  <c r="E803" i="7"/>
  <c r="F803" i="7"/>
  <c r="G803" i="7"/>
  <c r="H803" i="7"/>
  <c r="I803" i="7"/>
  <c r="A804" i="7"/>
  <c r="B804" i="7"/>
  <c r="C804" i="7"/>
  <c r="D804" i="7"/>
  <c r="E804" i="7"/>
  <c r="F804" i="7"/>
  <c r="G804" i="7"/>
  <c r="H804" i="7"/>
  <c r="I804" i="7"/>
  <c r="A805" i="7"/>
  <c r="B805" i="7"/>
  <c r="C805" i="7"/>
  <c r="D805" i="7"/>
  <c r="E805" i="7"/>
  <c r="F805" i="7"/>
  <c r="G805" i="7"/>
  <c r="H805" i="7"/>
  <c r="I805" i="7"/>
  <c r="A806" i="7"/>
  <c r="B806" i="7"/>
  <c r="C806" i="7"/>
  <c r="D806" i="7"/>
  <c r="E806" i="7"/>
  <c r="F806" i="7"/>
  <c r="G806" i="7"/>
  <c r="H806" i="7"/>
  <c r="I806" i="7"/>
  <c r="A807" i="7"/>
  <c r="B807" i="7"/>
  <c r="C807" i="7"/>
  <c r="D807" i="7"/>
  <c r="E807" i="7"/>
  <c r="F807" i="7"/>
  <c r="G807" i="7"/>
  <c r="H807" i="7"/>
  <c r="I807" i="7"/>
  <c r="A808" i="7"/>
  <c r="B808" i="7"/>
  <c r="C808" i="7"/>
  <c r="D808" i="7"/>
  <c r="E808" i="7"/>
  <c r="F808" i="7"/>
  <c r="G808" i="7"/>
  <c r="H808" i="7"/>
  <c r="I808" i="7"/>
  <c r="A809" i="7"/>
  <c r="B809" i="7"/>
  <c r="C809" i="7"/>
  <c r="D809" i="7"/>
  <c r="E809" i="7"/>
  <c r="F809" i="7"/>
  <c r="G809" i="7"/>
  <c r="H809" i="7"/>
  <c r="I809" i="7"/>
  <c r="A810" i="7"/>
  <c r="B810" i="7"/>
  <c r="C810" i="7"/>
  <c r="D810" i="7"/>
  <c r="E810" i="7"/>
  <c r="F810" i="7"/>
  <c r="G810" i="7"/>
  <c r="H810" i="7"/>
  <c r="I810" i="7"/>
  <c r="A811" i="7"/>
  <c r="B811" i="7"/>
  <c r="C811" i="7"/>
  <c r="D811" i="7"/>
  <c r="E811" i="7"/>
  <c r="F811" i="7"/>
  <c r="G811" i="7"/>
  <c r="H811" i="7"/>
  <c r="I811" i="7"/>
  <c r="A812" i="7"/>
  <c r="B812" i="7"/>
  <c r="C812" i="7"/>
  <c r="D812" i="7"/>
  <c r="E812" i="7"/>
  <c r="F812" i="7"/>
  <c r="G812" i="7"/>
  <c r="H812" i="7"/>
  <c r="I812" i="7"/>
  <c r="A813" i="7"/>
  <c r="B813" i="7"/>
  <c r="C813" i="7"/>
  <c r="D813" i="7"/>
  <c r="E813" i="7"/>
  <c r="F813" i="7"/>
  <c r="G813" i="7"/>
  <c r="H813" i="7"/>
  <c r="I813" i="7"/>
  <c r="A814" i="7"/>
  <c r="B814" i="7"/>
  <c r="C814" i="7"/>
  <c r="D814" i="7"/>
  <c r="E814" i="7"/>
  <c r="F814" i="7"/>
  <c r="G814" i="7"/>
  <c r="H814" i="7"/>
  <c r="I814" i="7"/>
  <c r="A815" i="7"/>
  <c r="B815" i="7"/>
  <c r="C815" i="7"/>
  <c r="D815" i="7"/>
  <c r="E815" i="7"/>
  <c r="F815" i="7"/>
  <c r="G815" i="7"/>
  <c r="H815" i="7"/>
  <c r="I815" i="7"/>
  <c r="A816" i="7"/>
  <c r="B816" i="7"/>
  <c r="C816" i="7"/>
  <c r="D816" i="7"/>
  <c r="E816" i="7"/>
  <c r="F816" i="7"/>
  <c r="G816" i="7"/>
  <c r="H816" i="7"/>
  <c r="I816" i="7"/>
  <c r="A817" i="7"/>
  <c r="B817" i="7"/>
  <c r="C817" i="7"/>
  <c r="D817" i="7"/>
  <c r="E817" i="7"/>
  <c r="F817" i="7"/>
  <c r="G817" i="7"/>
  <c r="H817" i="7"/>
  <c r="I817" i="7"/>
  <c r="A818" i="7"/>
  <c r="B818" i="7"/>
  <c r="C818" i="7"/>
  <c r="D818" i="7"/>
  <c r="E818" i="7"/>
  <c r="F818" i="7"/>
  <c r="G818" i="7"/>
  <c r="H818" i="7"/>
  <c r="I818" i="7"/>
  <c r="A819" i="7"/>
  <c r="B819" i="7"/>
  <c r="C819" i="7"/>
  <c r="D819" i="7"/>
  <c r="E819" i="7"/>
  <c r="F819" i="7"/>
  <c r="G819" i="7"/>
  <c r="H819" i="7"/>
  <c r="I819" i="7"/>
  <c r="A820" i="7"/>
  <c r="B820" i="7"/>
  <c r="C820" i="7"/>
  <c r="D820" i="7"/>
  <c r="E820" i="7"/>
  <c r="F820" i="7"/>
  <c r="G820" i="7"/>
  <c r="H820" i="7"/>
  <c r="I820" i="7"/>
  <c r="A821" i="7"/>
  <c r="B821" i="7"/>
  <c r="C821" i="7"/>
  <c r="D821" i="7"/>
  <c r="E821" i="7"/>
  <c r="F821" i="7"/>
  <c r="G821" i="7"/>
  <c r="H821" i="7"/>
  <c r="I821" i="7"/>
  <c r="A822" i="7"/>
  <c r="B822" i="7"/>
  <c r="C822" i="7"/>
  <c r="D822" i="7"/>
  <c r="E822" i="7"/>
  <c r="F822" i="7"/>
  <c r="G822" i="7"/>
  <c r="H822" i="7"/>
  <c r="I822" i="7"/>
  <c r="A823" i="7"/>
  <c r="B823" i="7"/>
  <c r="C823" i="7"/>
  <c r="D823" i="7"/>
  <c r="E823" i="7"/>
  <c r="F823" i="7"/>
  <c r="G823" i="7"/>
  <c r="H823" i="7"/>
  <c r="I823" i="7"/>
  <c r="A824" i="7"/>
  <c r="B824" i="7"/>
  <c r="C824" i="7"/>
  <c r="D824" i="7"/>
  <c r="E824" i="7"/>
  <c r="F824" i="7"/>
  <c r="G824" i="7"/>
  <c r="H824" i="7"/>
  <c r="I824" i="7"/>
  <c r="A825" i="7"/>
  <c r="B825" i="7"/>
  <c r="C825" i="7"/>
  <c r="D825" i="7"/>
  <c r="E825" i="7"/>
  <c r="F825" i="7"/>
  <c r="G825" i="7"/>
  <c r="H825" i="7"/>
  <c r="I825" i="7"/>
  <c r="A826" i="7"/>
  <c r="B826" i="7"/>
  <c r="C826" i="7"/>
  <c r="D826" i="7"/>
  <c r="E826" i="7"/>
  <c r="F826" i="7"/>
  <c r="G826" i="7"/>
  <c r="H826" i="7"/>
  <c r="I826" i="7"/>
  <c r="A827" i="7"/>
  <c r="B827" i="7"/>
  <c r="C827" i="7"/>
  <c r="D827" i="7"/>
  <c r="E827" i="7"/>
  <c r="F827" i="7"/>
  <c r="G827" i="7"/>
  <c r="H827" i="7"/>
  <c r="I827" i="7"/>
  <c r="A828" i="7"/>
  <c r="B828" i="7"/>
  <c r="C828" i="7"/>
  <c r="D828" i="7"/>
  <c r="E828" i="7"/>
  <c r="F828" i="7"/>
  <c r="G828" i="7"/>
  <c r="H828" i="7"/>
  <c r="I828" i="7"/>
  <c r="A829" i="7"/>
  <c r="B829" i="7"/>
  <c r="C829" i="7"/>
  <c r="D829" i="7"/>
  <c r="E829" i="7"/>
  <c r="F829" i="7"/>
  <c r="G829" i="7"/>
  <c r="H829" i="7"/>
  <c r="I829" i="7"/>
  <c r="A830" i="7"/>
  <c r="B830" i="7"/>
  <c r="C830" i="7"/>
  <c r="D830" i="7"/>
  <c r="E830" i="7"/>
  <c r="F830" i="7"/>
  <c r="G830" i="7"/>
  <c r="H830" i="7"/>
  <c r="I830" i="7"/>
  <c r="A831" i="7"/>
  <c r="B831" i="7"/>
  <c r="C831" i="7"/>
  <c r="D831" i="7"/>
  <c r="E831" i="7"/>
  <c r="F831" i="7"/>
  <c r="G831" i="7"/>
  <c r="H831" i="7"/>
  <c r="I831" i="7"/>
  <c r="A832" i="7"/>
  <c r="B832" i="7"/>
  <c r="C832" i="7"/>
  <c r="D832" i="7"/>
  <c r="E832" i="7"/>
  <c r="F832" i="7"/>
  <c r="G832" i="7"/>
  <c r="H832" i="7"/>
  <c r="I832" i="7"/>
  <c r="A833" i="7"/>
  <c r="B833" i="7"/>
  <c r="C833" i="7"/>
  <c r="D833" i="7"/>
  <c r="E833" i="7"/>
  <c r="F833" i="7"/>
  <c r="G833" i="7"/>
  <c r="H833" i="7"/>
  <c r="I833" i="7"/>
  <c r="A834" i="7"/>
  <c r="B834" i="7"/>
  <c r="C834" i="7"/>
  <c r="D834" i="7"/>
  <c r="E834" i="7"/>
  <c r="F834" i="7"/>
  <c r="G834" i="7"/>
  <c r="H834" i="7"/>
  <c r="I834" i="7"/>
  <c r="A835" i="7"/>
  <c r="B835" i="7"/>
  <c r="C835" i="7"/>
  <c r="D835" i="7"/>
  <c r="E835" i="7"/>
  <c r="F835" i="7"/>
  <c r="G835" i="7"/>
  <c r="H835" i="7"/>
  <c r="I835" i="7"/>
  <c r="A836" i="7"/>
  <c r="B836" i="7"/>
  <c r="C836" i="7"/>
  <c r="D836" i="7"/>
  <c r="E836" i="7"/>
  <c r="F836" i="7"/>
  <c r="G836" i="7"/>
  <c r="H836" i="7"/>
  <c r="I836" i="7"/>
  <c r="A837" i="7"/>
  <c r="B837" i="7"/>
  <c r="C837" i="7"/>
  <c r="D837" i="7"/>
  <c r="E837" i="7"/>
  <c r="F837" i="7"/>
  <c r="G837" i="7"/>
  <c r="H837" i="7"/>
  <c r="I837" i="7"/>
  <c r="A838" i="7"/>
  <c r="B838" i="7"/>
  <c r="C838" i="7"/>
  <c r="D838" i="7"/>
  <c r="E838" i="7"/>
  <c r="F838" i="7"/>
  <c r="G838" i="7"/>
  <c r="H838" i="7"/>
  <c r="I838" i="7"/>
  <c r="A839" i="7"/>
  <c r="B839" i="7"/>
  <c r="C839" i="7"/>
  <c r="D839" i="7"/>
  <c r="E839" i="7"/>
  <c r="F839" i="7"/>
  <c r="G839" i="7"/>
  <c r="H839" i="7"/>
  <c r="I839" i="7"/>
  <c r="A840" i="7"/>
  <c r="B840" i="7"/>
  <c r="C840" i="7"/>
  <c r="D840" i="7"/>
  <c r="E840" i="7"/>
  <c r="F840" i="7"/>
  <c r="G840" i="7"/>
  <c r="H840" i="7"/>
  <c r="I840" i="7"/>
  <c r="A841" i="7"/>
  <c r="B841" i="7"/>
  <c r="C841" i="7"/>
  <c r="D841" i="7"/>
  <c r="E841" i="7"/>
  <c r="F841" i="7"/>
  <c r="G841" i="7"/>
  <c r="H841" i="7"/>
  <c r="I841" i="7"/>
  <c r="A842" i="7"/>
  <c r="B842" i="7"/>
  <c r="C842" i="7"/>
  <c r="D842" i="7"/>
  <c r="E842" i="7"/>
  <c r="F842" i="7"/>
  <c r="G842" i="7"/>
  <c r="H842" i="7"/>
  <c r="I842" i="7"/>
  <c r="A843" i="7"/>
  <c r="B843" i="7"/>
  <c r="C843" i="7"/>
  <c r="D843" i="7"/>
  <c r="E843" i="7"/>
  <c r="F843" i="7"/>
  <c r="G843" i="7"/>
  <c r="H843" i="7"/>
  <c r="I843" i="7"/>
  <c r="A844" i="7"/>
  <c r="B844" i="7"/>
  <c r="C844" i="7"/>
  <c r="D844" i="7"/>
  <c r="E844" i="7"/>
  <c r="F844" i="7"/>
  <c r="G844" i="7"/>
  <c r="H844" i="7"/>
  <c r="I844" i="7"/>
  <c r="A845" i="7"/>
  <c r="B845" i="7"/>
  <c r="C845" i="7"/>
  <c r="D845" i="7"/>
  <c r="E845" i="7"/>
  <c r="F845" i="7"/>
  <c r="G845" i="7"/>
  <c r="H845" i="7"/>
  <c r="I845" i="7"/>
  <c r="A846" i="7"/>
  <c r="B846" i="7"/>
  <c r="C846" i="7"/>
  <c r="D846" i="7"/>
  <c r="E846" i="7"/>
  <c r="F846" i="7"/>
  <c r="G846" i="7"/>
  <c r="H846" i="7"/>
  <c r="I846" i="7"/>
  <c r="A847" i="7"/>
  <c r="B847" i="7"/>
  <c r="C847" i="7"/>
  <c r="D847" i="7"/>
  <c r="E847" i="7"/>
  <c r="F847" i="7"/>
  <c r="G847" i="7"/>
  <c r="H847" i="7"/>
  <c r="I847" i="7"/>
  <c r="A848" i="7"/>
  <c r="B848" i="7"/>
  <c r="C848" i="7"/>
  <c r="D848" i="7"/>
  <c r="E848" i="7"/>
  <c r="F848" i="7"/>
  <c r="G848" i="7"/>
  <c r="H848" i="7"/>
  <c r="I848" i="7"/>
  <c r="A849" i="7"/>
  <c r="B849" i="7"/>
  <c r="C849" i="7"/>
  <c r="D849" i="7"/>
  <c r="E849" i="7"/>
  <c r="F849" i="7"/>
  <c r="G849" i="7"/>
  <c r="H849" i="7"/>
  <c r="I849" i="7"/>
  <c r="A850" i="7"/>
  <c r="B850" i="7"/>
  <c r="C850" i="7"/>
  <c r="D850" i="7"/>
  <c r="E850" i="7"/>
  <c r="F850" i="7"/>
  <c r="G850" i="7"/>
  <c r="H850" i="7"/>
  <c r="I850" i="7"/>
  <c r="A851" i="7"/>
  <c r="B851" i="7"/>
  <c r="C851" i="7"/>
  <c r="D851" i="7"/>
  <c r="E851" i="7"/>
  <c r="F851" i="7"/>
  <c r="G851" i="7"/>
  <c r="H851" i="7"/>
  <c r="I851" i="7"/>
  <c r="A852" i="7"/>
  <c r="B852" i="7"/>
  <c r="C852" i="7"/>
  <c r="D852" i="7"/>
  <c r="E852" i="7"/>
  <c r="F852" i="7"/>
  <c r="G852" i="7"/>
  <c r="H852" i="7"/>
  <c r="I852" i="7"/>
  <c r="A853" i="7"/>
  <c r="B853" i="7"/>
  <c r="C853" i="7"/>
  <c r="D853" i="7"/>
  <c r="E853" i="7"/>
  <c r="F853" i="7"/>
  <c r="G853" i="7"/>
  <c r="H853" i="7"/>
  <c r="I853" i="7"/>
  <c r="A854" i="7"/>
  <c r="B854" i="7"/>
  <c r="C854" i="7"/>
  <c r="D854" i="7"/>
  <c r="E854" i="7"/>
  <c r="F854" i="7"/>
  <c r="G854" i="7"/>
  <c r="H854" i="7"/>
  <c r="I854" i="7"/>
  <c r="A855" i="7"/>
  <c r="B855" i="7"/>
  <c r="C855" i="7"/>
  <c r="D855" i="7"/>
  <c r="E855" i="7"/>
  <c r="F855" i="7"/>
  <c r="G855" i="7"/>
  <c r="H855" i="7"/>
  <c r="I855" i="7"/>
  <c r="A856" i="7"/>
  <c r="B856" i="7"/>
  <c r="C856" i="7"/>
  <c r="D856" i="7"/>
  <c r="E856" i="7"/>
  <c r="F856" i="7"/>
  <c r="G856" i="7"/>
  <c r="H856" i="7"/>
  <c r="I856" i="7"/>
  <c r="A857" i="7"/>
  <c r="B857" i="7"/>
  <c r="C857" i="7"/>
  <c r="D857" i="7"/>
  <c r="E857" i="7"/>
  <c r="F857" i="7"/>
  <c r="G857" i="7"/>
  <c r="H857" i="7"/>
  <c r="I857" i="7"/>
  <c r="A858" i="7"/>
  <c r="B858" i="7"/>
  <c r="C858" i="7"/>
  <c r="D858" i="7"/>
  <c r="E858" i="7"/>
  <c r="F858" i="7"/>
  <c r="G858" i="7"/>
  <c r="H858" i="7"/>
  <c r="I858" i="7"/>
  <c r="A859" i="7"/>
  <c r="B859" i="7"/>
  <c r="C859" i="7"/>
  <c r="D859" i="7"/>
  <c r="E859" i="7"/>
  <c r="F859" i="7"/>
  <c r="G859" i="7"/>
  <c r="H859" i="7"/>
  <c r="I859" i="7"/>
  <c r="A860" i="7"/>
  <c r="B860" i="7"/>
  <c r="C860" i="7"/>
  <c r="D860" i="7"/>
  <c r="E860" i="7"/>
  <c r="F860" i="7"/>
  <c r="G860" i="7"/>
  <c r="H860" i="7"/>
  <c r="I860" i="7"/>
  <c r="A861" i="7"/>
  <c r="B861" i="7"/>
  <c r="C861" i="7"/>
  <c r="D861" i="7"/>
  <c r="E861" i="7"/>
  <c r="F861" i="7"/>
  <c r="G861" i="7"/>
  <c r="H861" i="7"/>
  <c r="I861" i="7"/>
  <c r="A862" i="7"/>
  <c r="B862" i="7"/>
  <c r="C862" i="7"/>
  <c r="D862" i="7"/>
  <c r="E862" i="7"/>
  <c r="F862" i="7"/>
  <c r="G862" i="7"/>
  <c r="H862" i="7"/>
  <c r="I862" i="7"/>
  <c r="A863" i="7"/>
  <c r="B863" i="7"/>
  <c r="C863" i="7"/>
  <c r="D863" i="7"/>
  <c r="E863" i="7"/>
  <c r="F863" i="7"/>
  <c r="G863" i="7"/>
  <c r="H863" i="7"/>
  <c r="I863" i="7"/>
  <c r="A864" i="7"/>
  <c r="B864" i="7"/>
  <c r="C864" i="7"/>
  <c r="D864" i="7"/>
  <c r="E864" i="7"/>
  <c r="F864" i="7"/>
  <c r="G864" i="7"/>
  <c r="H864" i="7"/>
  <c r="I864" i="7"/>
  <c r="A865" i="7"/>
  <c r="B865" i="7"/>
  <c r="C865" i="7"/>
  <c r="D865" i="7"/>
  <c r="E865" i="7"/>
  <c r="F865" i="7"/>
  <c r="G865" i="7"/>
  <c r="H865" i="7"/>
  <c r="I865" i="7"/>
  <c r="A866" i="7"/>
  <c r="B866" i="7"/>
  <c r="C866" i="7"/>
  <c r="D866" i="7"/>
  <c r="E866" i="7"/>
  <c r="F866" i="7"/>
  <c r="G866" i="7"/>
  <c r="H866" i="7"/>
  <c r="I866" i="7"/>
  <c r="A867" i="7"/>
  <c r="B867" i="7"/>
  <c r="C867" i="7"/>
  <c r="D867" i="7"/>
  <c r="E867" i="7"/>
  <c r="F867" i="7"/>
  <c r="G867" i="7"/>
  <c r="H867" i="7"/>
  <c r="I867" i="7"/>
  <c r="A868" i="7"/>
  <c r="B868" i="7"/>
  <c r="C868" i="7"/>
  <c r="D868" i="7"/>
  <c r="E868" i="7"/>
  <c r="F868" i="7"/>
  <c r="G868" i="7"/>
  <c r="H868" i="7"/>
  <c r="I868" i="7"/>
  <c r="A869" i="7"/>
  <c r="B869" i="7"/>
  <c r="C869" i="7"/>
  <c r="D869" i="7"/>
  <c r="E869" i="7"/>
  <c r="F869" i="7"/>
  <c r="G869" i="7"/>
  <c r="H869" i="7"/>
  <c r="I869" i="7"/>
  <c r="A870" i="7"/>
  <c r="B870" i="7"/>
  <c r="C870" i="7"/>
  <c r="D870" i="7"/>
  <c r="E870" i="7"/>
  <c r="F870" i="7"/>
  <c r="G870" i="7"/>
  <c r="H870" i="7"/>
  <c r="I870" i="7"/>
  <c r="A871" i="7"/>
  <c r="B871" i="7"/>
  <c r="C871" i="7"/>
  <c r="D871" i="7"/>
  <c r="E871" i="7"/>
  <c r="F871" i="7"/>
  <c r="G871" i="7"/>
  <c r="H871" i="7"/>
  <c r="I871" i="7"/>
  <c r="A872" i="7"/>
  <c r="B872" i="7"/>
  <c r="C872" i="7"/>
  <c r="D872" i="7"/>
  <c r="E872" i="7"/>
  <c r="F872" i="7"/>
  <c r="G872" i="7"/>
  <c r="H872" i="7"/>
  <c r="I872" i="7"/>
  <c r="A873" i="7"/>
  <c r="B873" i="7"/>
  <c r="C873" i="7"/>
  <c r="D873" i="7"/>
  <c r="E873" i="7"/>
  <c r="F873" i="7"/>
  <c r="G873" i="7"/>
  <c r="H873" i="7"/>
  <c r="I873" i="7"/>
  <c r="A874" i="7"/>
  <c r="B874" i="7"/>
  <c r="C874" i="7"/>
  <c r="D874" i="7"/>
  <c r="E874" i="7"/>
  <c r="F874" i="7"/>
  <c r="G874" i="7"/>
  <c r="H874" i="7"/>
  <c r="I874" i="7"/>
  <c r="A875" i="7"/>
  <c r="B875" i="7"/>
  <c r="C875" i="7"/>
  <c r="D875" i="7"/>
  <c r="E875" i="7"/>
  <c r="F875" i="7"/>
  <c r="G875" i="7"/>
  <c r="H875" i="7"/>
  <c r="I875" i="7"/>
  <c r="A876" i="7"/>
  <c r="B876" i="7"/>
  <c r="C876" i="7"/>
  <c r="D876" i="7"/>
  <c r="E876" i="7"/>
  <c r="F876" i="7"/>
  <c r="G876" i="7"/>
  <c r="H876" i="7"/>
  <c r="I876" i="7"/>
  <c r="A877" i="7"/>
  <c r="B877" i="7"/>
  <c r="C877" i="7"/>
  <c r="D877" i="7"/>
  <c r="E877" i="7"/>
  <c r="F877" i="7"/>
  <c r="G877" i="7"/>
  <c r="H877" i="7"/>
  <c r="I877" i="7"/>
  <c r="A878" i="7"/>
  <c r="B878" i="7"/>
  <c r="C878" i="7"/>
  <c r="D878" i="7"/>
  <c r="E878" i="7"/>
  <c r="F878" i="7"/>
  <c r="G878" i="7"/>
  <c r="H878" i="7"/>
  <c r="I878" i="7"/>
  <c r="A879" i="7"/>
  <c r="B879" i="7"/>
  <c r="C879" i="7"/>
  <c r="D879" i="7"/>
  <c r="E879" i="7"/>
  <c r="F879" i="7"/>
  <c r="G879" i="7"/>
  <c r="H879" i="7"/>
  <c r="I879" i="7"/>
  <c r="A880" i="7"/>
  <c r="B880" i="7"/>
  <c r="C880" i="7"/>
  <c r="D880" i="7"/>
  <c r="E880" i="7"/>
  <c r="F880" i="7"/>
  <c r="G880" i="7"/>
  <c r="H880" i="7"/>
  <c r="I880" i="7"/>
  <c r="A881" i="7"/>
  <c r="B881" i="7"/>
  <c r="C881" i="7"/>
  <c r="D881" i="7"/>
  <c r="E881" i="7"/>
  <c r="F881" i="7"/>
  <c r="G881" i="7"/>
  <c r="H881" i="7"/>
  <c r="I881" i="7"/>
  <c r="A882" i="7"/>
  <c r="B882" i="7"/>
  <c r="C882" i="7"/>
  <c r="D882" i="7"/>
  <c r="E882" i="7"/>
  <c r="F882" i="7"/>
  <c r="G882" i="7"/>
  <c r="H882" i="7"/>
  <c r="I882" i="7"/>
  <c r="A883" i="7"/>
  <c r="B883" i="7"/>
  <c r="C883" i="7"/>
  <c r="D883" i="7"/>
  <c r="E883" i="7"/>
  <c r="F883" i="7"/>
  <c r="G883" i="7"/>
  <c r="H883" i="7"/>
  <c r="I883" i="7"/>
  <c r="A884" i="7"/>
  <c r="B884" i="7"/>
  <c r="C884" i="7"/>
  <c r="D884" i="7"/>
  <c r="E884" i="7"/>
  <c r="F884" i="7"/>
  <c r="G884" i="7"/>
  <c r="H884" i="7"/>
  <c r="I884" i="7"/>
  <c r="A885" i="7"/>
  <c r="B885" i="7"/>
  <c r="C885" i="7"/>
  <c r="D885" i="7"/>
  <c r="E885" i="7"/>
  <c r="F885" i="7"/>
  <c r="G885" i="7"/>
  <c r="H885" i="7"/>
  <c r="I885" i="7"/>
  <c r="A886" i="7"/>
  <c r="B886" i="7"/>
  <c r="C886" i="7"/>
  <c r="D886" i="7"/>
  <c r="E886" i="7"/>
  <c r="F886" i="7"/>
  <c r="G886" i="7"/>
  <c r="H886" i="7"/>
  <c r="I886" i="7"/>
  <c r="A887" i="7"/>
  <c r="B887" i="7"/>
  <c r="C887" i="7"/>
  <c r="D887" i="7"/>
  <c r="E887" i="7"/>
  <c r="F887" i="7"/>
  <c r="G887" i="7"/>
  <c r="H887" i="7"/>
  <c r="I887" i="7"/>
  <c r="A888" i="7"/>
  <c r="B888" i="7"/>
  <c r="C888" i="7"/>
  <c r="D888" i="7"/>
  <c r="E888" i="7"/>
  <c r="F888" i="7"/>
  <c r="G888" i="7"/>
  <c r="H888" i="7"/>
  <c r="I888" i="7"/>
  <c r="A889" i="7"/>
  <c r="B889" i="7"/>
  <c r="C889" i="7"/>
  <c r="D889" i="7"/>
  <c r="E889" i="7"/>
  <c r="F889" i="7"/>
  <c r="G889" i="7"/>
  <c r="H889" i="7"/>
  <c r="I889" i="7"/>
  <c r="A890" i="7"/>
  <c r="B890" i="7"/>
  <c r="C890" i="7"/>
  <c r="D890" i="7"/>
  <c r="E890" i="7"/>
  <c r="F890" i="7"/>
  <c r="G890" i="7"/>
  <c r="H890" i="7"/>
  <c r="I890" i="7"/>
  <c r="A891" i="7"/>
  <c r="B891" i="7"/>
  <c r="C891" i="7"/>
  <c r="D891" i="7"/>
  <c r="E891" i="7"/>
  <c r="F891" i="7"/>
  <c r="G891" i="7"/>
  <c r="H891" i="7"/>
  <c r="I891" i="7"/>
  <c r="A892" i="7"/>
  <c r="B892" i="7"/>
  <c r="C892" i="7"/>
  <c r="D892" i="7"/>
  <c r="E892" i="7"/>
  <c r="F892" i="7"/>
  <c r="G892" i="7"/>
  <c r="H892" i="7"/>
  <c r="I892" i="7"/>
  <c r="A893" i="7"/>
  <c r="B893" i="7"/>
  <c r="C893" i="7"/>
  <c r="D893" i="7"/>
  <c r="E893" i="7"/>
  <c r="F893" i="7"/>
  <c r="G893" i="7"/>
  <c r="H893" i="7"/>
  <c r="I893" i="7"/>
  <c r="A894" i="7"/>
  <c r="B894" i="7"/>
  <c r="C894" i="7"/>
  <c r="D894" i="7"/>
  <c r="E894" i="7"/>
  <c r="F894" i="7"/>
  <c r="G894" i="7"/>
  <c r="H894" i="7"/>
  <c r="I894" i="7"/>
  <c r="A895" i="7"/>
  <c r="B895" i="7"/>
  <c r="C895" i="7"/>
  <c r="D895" i="7"/>
  <c r="E895" i="7"/>
  <c r="F895" i="7"/>
  <c r="G895" i="7"/>
  <c r="H895" i="7"/>
  <c r="I895" i="7"/>
  <c r="A896" i="7"/>
  <c r="B896" i="7"/>
  <c r="C896" i="7"/>
  <c r="D896" i="7"/>
  <c r="E896" i="7"/>
  <c r="F896" i="7"/>
  <c r="G896" i="7"/>
  <c r="H896" i="7"/>
  <c r="I896" i="7"/>
  <c r="A897" i="7"/>
  <c r="B897" i="7"/>
  <c r="C897" i="7"/>
  <c r="D897" i="7"/>
  <c r="E897" i="7"/>
  <c r="F897" i="7"/>
  <c r="G897" i="7"/>
  <c r="H897" i="7"/>
  <c r="I897" i="7"/>
  <c r="A898" i="7"/>
  <c r="B898" i="7"/>
  <c r="C898" i="7"/>
  <c r="D898" i="7"/>
  <c r="E898" i="7"/>
  <c r="F898" i="7"/>
  <c r="G898" i="7"/>
  <c r="H898" i="7"/>
  <c r="I898" i="7"/>
  <c r="A899" i="7"/>
  <c r="B899" i="7"/>
  <c r="C899" i="7"/>
  <c r="D899" i="7"/>
  <c r="E899" i="7"/>
  <c r="F899" i="7"/>
  <c r="G899" i="7"/>
  <c r="H899" i="7"/>
  <c r="I899" i="7"/>
  <c r="A900" i="7"/>
  <c r="B900" i="7"/>
  <c r="C900" i="7"/>
  <c r="D900" i="7"/>
  <c r="E900" i="7"/>
  <c r="F900" i="7"/>
  <c r="G900" i="7"/>
  <c r="H900" i="7"/>
  <c r="I900" i="7"/>
  <c r="A901" i="7"/>
  <c r="B901" i="7"/>
  <c r="C901" i="7"/>
  <c r="D901" i="7"/>
  <c r="E901" i="7"/>
  <c r="F901" i="7"/>
  <c r="G901" i="7"/>
  <c r="H901" i="7"/>
  <c r="I901" i="7"/>
  <c r="A902" i="7"/>
  <c r="B902" i="7"/>
  <c r="C902" i="7"/>
  <c r="D902" i="7"/>
  <c r="E902" i="7"/>
  <c r="F902" i="7"/>
  <c r="G902" i="7"/>
  <c r="H902" i="7"/>
  <c r="I902" i="7"/>
  <c r="A903" i="7"/>
  <c r="B903" i="7"/>
  <c r="C903" i="7"/>
  <c r="D903" i="7"/>
  <c r="E903" i="7"/>
  <c r="F903" i="7"/>
  <c r="G903" i="7"/>
  <c r="H903" i="7"/>
  <c r="I903" i="7"/>
  <c r="A904" i="7"/>
  <c r="B904" i="7"/>
  <c r="C904" i="7"/>
  <c r="D904" i="7"/>
  <c r="E904" i="7"/>
  <c r="F904" i="7"/>
  <c r="G904" i="7"/>
  <c r="H904" i="7"/>
  <c r="I904" i="7"/>
  <c r="A905" i="7"/>
  <c r="B905" i="7"/>
  <c r="C905" i="7"/>
  <c r="D905" i="7"/>
  <c r="E905" i="7"/>
  <c r="F905" i="7"/>
  <c r="G905" i="7"/>
  <c r="H905" i="7"/>
  <c r="I905" i="7"/>
  <c r="A906" i="7"/>
  <c r="B906" i="7"/>
  <c r="C906" i="7"/>
  <c r="D906" i="7"/>
  <c r="E906" i="7"/>
  <c r="F906" i="7"/>
  <c r="G906" i="7"/>
  <c r="H906" i="7"/>
  <c r="I906" i="7"/>
  <c r="A907" i="7"/>
  <c r="B907" i="7"/>
  <c r="C907" i="7"/>
  <c r="D907" i="7"/>
  <c r="E907" i="7"/>
  <c r="F907" i="7"/>
  <c r="G907" i="7"/>
  <c r="H907" i="7"/>
  <c r="I907" i="7"/>
  <c r="A908" i="7"/>
  <c r="B908" i="7"/>
  <c r="C908" i="7"/>
  <c r="D908" i="7"/>
  <c r="E908" i="7"/>
  <c r="F908" i="7"/>
  <c r="G908" i="7"/>
  <c r="H908" i="7"/>
  <c r="I908" i="7"/>
  <c r="A909" i="7"/>
  <c r="B909" i="7"/>
  <c r="C909" i="7"/>
  <c r="D909" i="7"/>
  <c r="E909" i="7"/>
  <c r="F909" i="7"/>
  <c r="G909" i="7"/>
  <c r="H909" i="7"/>
  <c r="I909" i="7"/>
  <c r="A910" i="7"/>
  <c r="B910" i="7"/>
  <c r="C910" i="7"/>
  <c r="D910" i="7"/>
  <c r="E910" i="7"/>
  <c r="F910" i="7"/>
  <c r="G910" i="7"/>
  <c r="H910" i="7"/>
  <c r="I910" i="7"/>
  <c r="A911" i="7"/>
  <c r="B911" i="7"/>
  <c r="C911" i="7"/>
  <c r="D911" i="7"/>
  <c r="E911" i="7"/>
  <c r="F911" i="7"/>
  <c r="G911" i="7"/>
  <c r="H911" i="7"/>
  <c r="I911" i="7"/>
  <c r="A912" i="7"/>
  <c r="B912" i="7"/>
  <c r="C912" i="7"/>
  <c r="D912" i="7"/>
  <c r="E912" i="7"/>
  <c r="F912" i="7"/>
  <c r="G912" i="7"/>
  <c r="H912" i="7"/>
  <c r="I912" i="7"/>
  <c r="A913" i="7"/>
  <c r="B913" i="7"/>
  <c r="C913" i="7"/>
  <c r="D913" i="7"/>
  <c r="E913" i="7"/>
  <c r="F913" i="7"/>
  <c r="G913" i="7"/>
  <c r="H913" i="7"/>
  <c r="I913" i="7"/>
  <c r="A914" i="7"/>
  <c r="B914" i="7"/>
  <c r="C914" i="7"/>
  <c r="D914" i="7"/>
  <c r="E914" i="7"/>
  <c r="F914" i="7"/>
  <c r="G914" i="7"/>
  <c r="H914" i="7"/>
  <c r="I914" i="7"/>
  <c r="A915" i="7"/>
  <c r="B915" i="7"/>
  <c r="C915" i="7"/>
  <c r="D915" i="7"/>
  <c r="E915" i="7"/>
  <c r="F915" i="7"/>
  <c r="G915" i="7"/>
  <c r="H915" i="7"/>
  <c r="I915" i="7"/>
  <c r="A916" i="7"/>
  <c r="B916" i="7"/>
  <c r="C916" i="7"/>
  <c r="D916" i="7"/>
  <c r="E916" i="7"/>
  <c r="F916" i="7"/>
  <c r="G916" i="7"/>
  <c r="H916" i="7"/>
  <c r="I916" i="7"/>
  <c r="A917" i="7"/>
  <c r="B917" i="7"/>
  <c r="C917" i="7"/>
  <c r="D917" i="7"/>
  <c r="E917" i="7"/>
  <c r="F917" i="7"/>
  <c r="G917" i="7"/>
  <c r="H917" i="7"/>
  <c r="I917" i="7"/>
  <c r="A918" i="7"/>
  <c r="B918" i="7"/>
  <c r="C918" i="7"/>
  <c r="D918" i="7"/>
  <c r="E918" i="7"/>
  <c r="F918" i="7"/>
  <c r="G918" i="7"/>
  <c r="H918" i="7"/>
  <c r="I918" i="7"/>
  <c r="A919" i="7"/>
  <c r="B919" i="7"/>
  <c r="C919" i="7"/>
  <c r="D919" i="7"/>
  <c r="E919" i="7"/>
  <c r="F919" i="7"/>
  <c r="G919" i="7"/>
  <c r="H919" i="7"/>
  <c r="I919" i="7"/>
  <c r="A920" i="7"/>
  <c r="B920" i="7"/>
  <c r="C920" i="7"/>
  <c r="D920" i="7"/>
  <c r="E920" i="7"/>
  <c r="F920" i="7"/>
  <c r="G920" i="7"/>
  <c r="H920" i="7"/>
  <c r="I920" i="7"/>
  <c r="A921" i="7"/>
  <c r="B921" i="7"/>
  <c r="C921" i="7"/>
  <c r="D921" i="7"/>
  <c r="E921" i="7"/>
  <c r="F921" i="7"/>
  <c r="G921" i="7"/>
  <c r="H921" i="7"/>
  <c r="I921" i="7"/>
  <c r="A922" i="7"/>
  <c r="B922" i="7"/>
  <c r="C922" i="7"/>
  <c r="D922" i="7"/>
  <c r="E922" i="7"/>
  <c r="F922" i="7"/>
  <c r="G922" i="7"/>
  <c r="H922" i="7"/>
  <c r="I922" i="7"/>
  <c r="A923" i="7"/>
  <c r="B923" i="7"/>
  <c r="C923" i="7"/>
  <c r="D923" i="7"/>
  <c r="E923" i="7"/>
  <c r="F923" i="7"/>
  <c r="G923" i="7"/>
  <c r="H923" i="7"/>
  <c r="I923" i="7"/>
  <c r="A924" i="7"/>
  <c r="B924" i="7"/>
  <c r="C924" i="7"/>
  <c r="D924" i="7"/>
  <c r="E924" i="7"/>
  <c r="F924" i="7"/>
  <c r="G924" i="7"/>
  <c r="H924" i="7"/>
  <c r="I924" i="7"/>
  <c r="A925" i="7"/>
  <c r="B925" i="7"/>
  <c r="C925" i="7"/>
  <c r="D925" i="7"/>
  <c r="E925" i="7"/>
  <c r="F925" i="7"/>
  <c r="G925" i="7"/>
  <c r="H925" i="7"/>
  <c r="I925" i="7"/>
  <c r="A926" i="7"/>
  <c r="B926" i="7"/>
  <c r="C926" i="7"/>
  <c r="D926" i="7"/>
  <c r="E926" i="7"/>
  <c r="F926" i="7"/>
  <c r="G926" i="7"/>
  <c r="H926" i="7"/>
  <c r="I926" i="7"/>
  <c r="A927" i="7"/>
  <c r="B927" i="7"/>
  <c r="C927" i="7"/>
  <c r="D927" i="7"/>
  <c r="E927" i="7"/>
  <c r="F927" i="7"/>
  <c r="G927" i="7"/>
  <c r="H927" i="7"/>
  <c r="I927" i="7"/>
  <c r="A928" i="7"/>
  <c r="B928" i="7"/>
  <c r="C928" i="7"/>
  <c r="D928" i="7"/>
  <c r="E928" i="7"/>
  <c r="F928" i="7"/>
  <c r="G928" i="7"/>
  <c r="H928" i="7"/>
  <c r="I928" i="7"/>
  <c r="A929" i="7"/>
  <c r="B929" i="7"/>
  <c r="C929" i="7"/>
  <c r="D929" i="7"/>
  <c r="E929" i="7"/>
  <c r="F929" i="7"/>
  <c r="G929" i="7"/>
  <c r="H929" i="7"/>
  <c r="I929" i="7"/>
  <c r="A930" i="7"/>
  <c r="B930" i="7"/>
  <c r="C930" i="7"/>
  <c r="D930" i="7"/>
  <c r="E930" i="7"/>
  <c r="F930" i="7"/>
  <c r="G930" i="7"/>
  <c r="H930" i="7"/>
  <c r="I930" i="7"/>
  <c r="A931" i="7"/>
  <c r="B931" i="7"/>
  <c r="C931" i="7"/>
  <c r="D931" i="7"/>
  <c r="E931" i="7"/>
  <c r="F931" i="7"/>
  <c r="G931" i="7"/>
  <c r="H931" i="7"/>
  <c r="I931" i="7"/>
  <c r="A932" i="7"/>
  <c r="B932" i="7"/>
  <c r="C932" i="7"/>
  <c r="D932" i="7"/>
  <c r="E932" i="7"/>
  <c r="F932" i="7"/>
  <c r="G932" i="7"/>
  <c r="H932" i="7"/>
  <c r="I932" i="7"/>
  <c r="A933" i="7"/>
  <c r="B933" i="7"/>
  <c r="C933" i="7"/>
  <c r="D933" i="7"/>
  <c r="E933" i="7"/>
  <c r="F933" i="7"/>
  <c r="G933" i="7"/>
  <c r="H933" i="7"/>
  <c r="I933" i="7"/>
  <c r="A934" i="7"/>
  <c r="B934" i="7"/>
  <c r="C934" i="7"/>
  <c r="D934" i="7"/>
  <c r="E934" i="7"/>
  <c r="F934" i="7"/>
  <c r="G934" i="7"/>
  <c r="H934" i="7"/>
  <c r="I934" i="7"/>
  <c r="A935" i="7"/>
  <c r="B935" i="7"/>
  <c r="C935" i="7"/>
  <c r="D935" i="7"/>
  <c r="E935" i="7"/>
  <c r="F935" i="7"/>
  <c r="G935" i="7"/>
  <c r="H935" i="7"/>
  <c r="I935" i="7"/>
  <c r="A936" i="7"/>
  <c r="B936" i="7"/>
  <c r="C936" i="7"/>
  <c r="D936" i="7"/>
  <c r="E936" i="7"/>
  <c r="F936" i="7"/>
  <c r="G936" i="7"/>
  <c r="H936" i="7"/>
  <c r="I936" i="7"/>
  <c r="A937" i="7"/>
  <c r="B937" i="7"/>
  <c r="C937" i="7"/>
  <c r="D937" i="7"/>
  <c r="E937" i="7"/>
  <c r="F937" i="7"/>
  <c r="G937" i="7"/>
  <c r="H937" i="7"/>
  <c r="I937" i="7"/>
  <c r="A938" i="7"/>
  <c r="B938" i="7"/>
  <c r="C938" i="7"/>
  <c r="D938" i="7"/>
  <c r="E938" i="7"/>
  <c r="F938" i="7"/>
  <c r="G938" i="7"/>
  <c r="H938" i="7"/>
  <c r="I938" i="7"/>
  <c r="A939" i="7"/>
  <c r="B939" i="7"/>
  <c r="C939" i="7"/>
  <c r="D939" i="7"/>
  <c r="E939" i="7"/>
  <c r="F939" i="7"/>
  <c r="G939" i="7"/>
  <c r="H939" i="7"/>
  <c r="I939" i="7"/>
  <c r="A940" i="7"/>
  <c r="B940" i="7"/>
  <c r="C940" i="7"/>
  <c r="D940" i="7"/>
  <c r="E940" i="7"/>
  <c r="F940" i="7"/>
  <c r="G940" i="7"/>
  <c r="H940" i="7"/>
  <c r="I940" i="7"/>
  <c r="A941" i="7"/>
  <c r="B941" i="7"/>
  <c r="C941" i="7"/>
  <c r="D941" i="7"/>
  <c r="E941" i="7"/>
  <c r="F941" i="7"/>
  <c r="G941" i="7"/>
  <c r="H941" i="7"/>
  <c r="I941" i="7"/>
  <c r="A942" i="7"/>
  <c r="B942" i="7"/>
  <c r="C942" i="7"/>
  <c r="D942" i="7"/>
  <c r="E942" i="7"/>
  <c r="F942" i="7"/>
  <c r="G942" i="7"/>
  <c r="H942" i="7"/>
  <c r="I942" i="7"/>
  <c r="A943" i="7"/>
  <c r="B943" i="7"/>
  <c r="C943" i="7"/>
  <c r="D943" i="7"/>
  <c r="E943" i="7"/>
  <c r="F943" i="7"/>
  <c r="G943" i="7"/>
  <c r="H943" i="7"/>
  <c r="I943" i="7"/>
  <c r="A944" i="7"/>
  <c r="B944" i="7"/>
  <c r="C944" i="7"/>
  <c r="D944" i="7"/>
  <c r="E944" i="7"/>
  <c r="F944" i="7"/>
  <c r="G944" i="7"/>
  <c r="H944" i="7"/>
  <c r="I944" i="7"/>
  <c r="A945" i="7"/>
  <c r="B945" i="7"/>
  <c r="C945" i="7"/>
  <c r="D945" i="7"/>
  <c r="E945" i="7"/>
  <c r="F945" i="7"/>
  <c r="G945" i="7"/>
  <c r="H945" i="7"/>
  <c r="I945" i="7"/>
  <c r="A946" i="7"/>
  <c r="B946" i="7"/>
  <c r="C946" i="7"/>
  <c r="D946" i="7"/>
  <c r="E946" i="7"/>
  <c r="F946" i="7"/>
  <c r="G946" i="7"/>
  <c r="H946" i="7"/>
  <c r="I946" i="7"/>
  <c r="A947" i="7"/>
  <c r="B947" i="7"/>
  <c r="C947" i="7"/>
  <c r="D947" i="7"/>
  <c r="E947" i="7"/>
  <c r="F947" i="7"/>
  <c r="G947" i="7"/>
  <c r="H947" i="7"/>
  <c r="I947" i="7"/>
  <c r="A948" i="7"/>
  <c r="B948" i="7"/>
  <c r="C948" i="7"/>
  <c r="D948" i="7"/>
  <c r="E948" i="7"/>
  <c r="F948" i="7"/>
  <c r="G948" i="7"/>
  <c r="H948" i="7"/>
  <c r="I948" i="7"/>
  <c r="A949" i="7"/>
  <c r="B949" i="7"/>
  <c r="C949" i="7"/>
  <c r="D949" i="7"/>
  <c r="E949" i="7"/>
  <c r="F949" i="7"/>
  <c r="G949" i="7"/>
  <c r="H949" i="7"/>
  <c r="I949" i="7"/>
  <c r="A950" i="7"/>
  <c r="B950" i="7"/>
  <c r="C950" i="7"/>
  <c r="D950" i="7"/>
  <c r="E950" i="7"/>
  <c r="F950" i="7"/>
  <c r="G950" i="7"/>
  <c r="H950" i="7"/>
  <c r="I950" i="7"/>
  <c r="A951" i="7"/>
  <c r="B951" i="7"/>
  <c r="C951" i="7"/>
  <c r="D951" i="7"/>
  <c r="E951" i="7"/>
  <c r="F951" i="7"/>
  <c r="G951" i="7"/>
  <c r="H951" i="7"/>
  <c r="I951" i="7"/>
  <c r="A952" i="7"/>
  <c r="B952" i="7"/>
  <c r="C952" i="7"/>
  <c r="D952" i="7"/>
  <c r="E952" i="7"/>
  <c r="F952" i="7"/>
  <c r="G952" i="7"/>
  <c r="H952" i="7"/>
  <c r="I952" i="7"/>
  <c r="A953" i="7"/>
  <c r="B953" i="7"/>
  <c r="C953" i="7"/>
  <c r="D953" i="7"/>
  <c r="E953" i="7"/>
  <c r="F953" i="7"/>
  <c r="G953" i="7"/>
  <c r="H953" i="7"/>
  <c r="I953" i="7"/>
  <c r="A954" i="7"/>
  <c r="B954" i="7"/>
  <c r="C954" i="7"/>
  <c r="D954" i="7"/>
  <c r="E954" i="7"/>
  <c r="F954" i="7"/>
  <c r="G954" i="7"/>
  <c r="H954" i="7"/>
  <c r="I954" i="7"/>
  <c r="A955" i="7"/>
  <c r="B955" i="7"/>
  <c r="C955" i="7"/>
  <c r="D955" i="7"/>
  <c r="E955" i="7"/>
  <c r="F955" i="7"/>
  <c r="G955" i="7"/>
  <c r="H955" i="7"/>
  <c r="I955" i="7"/>
  <c r="A956" i="7"/>
  <c r="B956" i="7"/>
  <c r="C956" i="7"/>
  <c r="D956" i="7"/>
  <c r="E956" i="7"/>
  <c r="F956" i="7"/>
  <c r="G956" i="7"/>
  <c r="H956" i="7"/>
  <c r="I956" i="7"/>
  <c r="A957" i="7"/>
  <c r="B957" i="7"/>
  <c r="C957" i="7"/>
  <c r="D957" i="7"/>
  <c r="E957" i="7"/>
  <c r="F957" i="7"/>
  <c r="G957" i="7"/>
  <c r="H957" i="7"/>
  <c r="I957" i="7"/>
  <c r="A958" i="7"/>
  <c r="B958" i="7"/>
  <c r="C958" i="7"/>
  <c r="D958" i="7"/>
  <c r="E958" i="7"/>
  <c r="F958" i="7"/>
  <c r="G958" i="7"/>
  <c r="H958" i="7"/>
  <c r="I958" i="7"/>
  <c r="A959" i="7"/>
  <c r="B959" i="7"/>
  <c r="C959" i="7"/>
  <c r="D959" i="7"/>
  <c r="E959" i="7"/>
  <c r="F959" i="7"/>
  <c r="G959" i="7"/>
  <c r="H959" i="7"/>
  <c r="I959" i="7"/>
  <c r="A960" i="7"/>
  <c r="B960" i="7"/>
  <c r="C960" i="7"/>
  <c r="D960" i="7"/>
  <c r="E960" i="7"/>
  <c r="F960" i="7"/>
  <c r="G960" i="7"/>
  <c r="H960" i="7"/>
  <c r="I960" i="7"/>
  <c r="A961" i="7"/>
  <c r="B961" i="7"/>
  <c r="C961" i="7"/>
  <c r="D961" i="7"/>
  <c r="E961" i="7"/>
  <c r="F961" i="7"/>
  <c r="G961" i="7"/>
  <c r="H961" i="7"/>
  <c r="I961" i="7"/>
  <c r="A962" i="7"/>
  <c r="B962" i="7"/>
  <c r="C962" i="7"/>
  <c r="D962" i="7"/>
  <c r="E962" i="7"/>
  <c r="F962" i="7"/>
  <c r="G962" i="7"/>
  <c r="H962" i="7"/>
  <c r="I962" i="7"/>
  <c r="A963" i="7"/>
  <c r="B963" i="7"/>
  <c r="C963" i="7"/>
  <c r="D963" i="7"/>
  <c r="E963" i="7"/>
  <c r="F963" i="7"/>
  <c r="G963" i="7"/>
  <c r="H963" i="7"/>
  <c r="I963" i="7"/>
  <c r="A964" i="7"/>
  <c r="B964" i="7"/>
  <c r="C964" i="7"/>
  <c r="D964" i="7"/>
  <c r="E964" i="7"/>
  <c r="F964" i="7"/>
  <c r="G964" i="7"/>
  <c r="H964" i="7"/>
  <c r="I964" i="7"/>
  <c r="A965" i="7"/>
  <c r="B965" i="7"/>
  <c r="C965" i="7"/>
  <c r="D965" i="7"/>
  <c r="E965" i="7"/>
  <c r="F965" i="7"/>
  <c r="G965" i="7"/>
  <c r="H965" i="7"/>
  <c r="I965" i="7"/>
  <c r="A966" i="7"/>
  <c r="B966" i="7"/>
  <c r="C966" i="7"/>
  <c r="D966" i="7"/>
  <c r="E966" i="7"/>
  <c r="F966" i="7"/>
  <c r="G966" i="7"/>
  <c r="H966" i="7"/>
  <c r="I966" i="7"/>
  <c r="A967" i="7"/>
  <c r="B967" i="7"/>
  <c r="C967" i="7"/>
  <c r="D967" i="7"/>
  <c r="E967" i="7"/>
  <c r="F967" i="7"/>
  <c r="G967" i="7"/>
  <c r="H967" i="7"/>
  <c r="I967" i="7"/>
  <c r="A968" i="7"/>
  <c r="B968" i="7"/>
  <c r="C968" i="7"/>
  <c r="D968" i="7"/>
  <c r="E968" i="7"/>
  <c r="F968" i="7"/>
  <c r="G968" i="7"/>
  <c r="H968" i="7"/>
  <c r="I968" i="7"/>
  <c r="A969" i="7"/>
  <c r="B969" i="7"/>
  <c r="C969" i="7"/>
  <c r="D969" i="7"/>
  <c r="E969" i="7"/>
  <c r="F969" i="7"/>
  <c r="G969" i="7"/>
  <c r="H969" i="7"/>
  <c r="I969" i="7"/>
  <c r="A970" i="7"/>
  <c r="B970" i="7"/>
  <c r="C970" i="7"/>
  <c r="D970" i="7"/>
  <c r="E970" i="7"/>
  <c r="F970" i="7"/>
  <c r="G970" i="7"/>
  <c r="H970" i="7"/>
  <c r="I970" i="7"/>
  <c r="A971" i="7"/>
  <c r="B971" i="7"/>
  <c r="C971" i="7"/>
  <c r="D971" i="7"/>
  <c r="E971" i="7"/>
  <c r="F971" i="7"/>
  <c r="G971" i="7"/>
  <c r="H971" i="7"/>
  <c r="I971" i="7"/>
  <c r="A972" i="7"/>
  <c r="B972" i="7"/>
  <c r="C972" i="7"/>
  <c r="D972" i="7"/>
  <c r="E972" i="7"/>
  <c r="F972" i="7"/>
  <c r="G972" i="7"/>
  <c r="H972" i="7"/>
  <c r="I972" i="7"/>
  <c r="A973" i="7"/>
  <c r="B973" i="7"/>
  <c r="C973" i="7"/>
  <c r="D973" i="7"/>
  <c r="E973" i="7"/>
  <c r="F973" i="7"/>
  <c r="G973" i="7"/>
  <c r="H973" i="7"/>
  <c r="I973" i="7"/>
  <c r="A974" i="7"/>
  <c r="B974" i="7"/>
  <c r="C974" i="7"/>
  <c r="D974" i="7"/>
  <c r="E974" i="7"/>
  <c r="F974" i="7"/>
  <c r="G974" i="7"/>
  <c r="H974" i="7"/>
  <c r="I974" i="7"/>
  <c r="A975" i="7"/>
  <c r="B975" i="7"/>
  <c r="C975" i="7"/>
  <c r="D975" i="7"/>
  <c r="E975" i="7"/>
  <c r="F975" i="7"/>
  <c r="G975" i="7"/>
  <c r="H975" i="7"/>
  <c r="I975" i="7"/>
  <c r="A976" i="7"/>
  <c r="B976" i="7"/>
  <c r="C976" i="7"/>
  <c r="D976" i="7"/>
  <c r="E976" i="7"/>
  <c r="F976" i="7"/>
  <c r="G976" i="7"/>
  <c r="H976" i="7"/>
  <c r="I976" i="7"/>
  <c r="A977" i="7"/>
  <c r="B977" i="7"/>
  <c r="C977" i="7"/>
  <c r="D977" i="7"/>
  <c r="E977" i="7"/>
  <c r="F977" i="7"/>
  <c r="G977" i="7"/>
  <c r="H977" i="7"/>
  <c r="I977" i="7"/>
  <c r="A978" i="7"/>
  <c r="B978" i="7"/>
  <c r="C978" i="7"/>
  <c r="D978" i="7"/>
  <c r="E978" i="7"/>
  <c r="F978" i="7"/>
  <c r="G978" i="7"/>
  <c r="H978" i="7"/>
  <c r="I978" i="7"/>
  <c r="A979" i="7"/>
  <c r="B979" i="7"/>
  <c r="C979" i="7"/>
  <c r="D979" i="7"/>
  <c r="E979" i="7"/>
  <c r="F979" i="7"/>
  <c r="G979" i="7"/>
  <c r="H979" i="7"/>
  <c r="I979" i="7"/>
  <c r="A980" i="7"/>
  <c r="B980" i="7"/>
  <c r="C980" i="7"/>
  <c r="D980" i="7"/>
  <c r="E980" i="7"/>
  <c r="F980" i="7"/>
  <c r="G980" i="7"/>
  <c r="H980" i="7"/>
  <c r="I980" i="7"/>
  <c r="A981" i="7"/>
  <c r="B981" i="7"/>
  <c r="C981" i="7"/>
  <c r="D981" i="7"/>
  <c r="E981" i="7"/>
  <c r="F981" i="7"/>
  <c r="G981" i="7"/>
  <c r="H981" i="7"/>
  <c r="I981" i="7"/>
  <c r="A982" i="7"/>
  <c r="B982" i="7"/>
  <c r="C982" i="7"/>
  <c r="D982" i="7"/>
  <c r="E982" i="7"/>
  <c r="F982" i="7"/>
  <c r="G982" i="7"/>
  <c r="H982" i="7"/>
  <c r="I982" i="7"/>
  <c r="A983" i="7"/>
  <c r="B983" i="7"/>
  <c r="C983" i="7"/>
  <c r="D983" i="7"/>
  <c r="E983" i="7"/>
  <c r="F983" i="7"/>
  <c r="G983" i="7"/>
  <c r="H983" i="7"/>
  <c r="I983" i="7"/>
  <c r="A984" i="7"/>
  <c r="B984" i="7"/>
  <c r="C984" i="7"/>
  <c r="D984" i="7"/>
  <c r="E984" i="7"/>
  <c r="F984" i="7"/>
  <c r="G984" i="7"/>
  <c r="H984" i="7"/>
  <c r="I984" i="7"/>
  <c r="A985" i="7"/>
  <c r="B985" i="7"/>
  <c r="C985" i="7"/>
  <c r="D985" i="7"/>
  <c r="E985" i="7"/>
  <c r="F985" i="7"/>
  <c r="G985" i="7"/>
  <c r="H985" i="7"/>
  <c r="I985" i="7"/>
  <c r="A986" i="7"/>
  <c r="B986" i="7"/>
  <c r="C986" i="7"/>
  <c r="D986" i="7"/>
  <c r="E986" i="7"/>
  <c r="F986" i="7"/>
  <c r="G986" i="7"/>
  <c r="H986" i="7"/>
  <c r="I986" i="7"/>
  <c r="A987" i="7"/>
  <c r="B987" i="7"/>
  <c r="C987" i="7"/>
  <c r="D987" i="7"/>
  <c r="E987" i="7"/>
  <c r="F987" i="7"/>
  <c r="G987" i="7"/>
  <c r="H987" i="7"/>
  <c r="I987" i="7"/>
  <c r="A988" i="7"/>
  <c r="B988" i="7"/>
  <c r="C988" i="7"/>
  <c r="D988" i="7"/>
  <c r="E988" i="7"/>
  <c r="F988" i="7"/>
  <c r="G988" i="7"/>
  <c r="H988" i="7"/>
  <c r="I988" i="7"/>
  <c r="A989" i="7"/>
  <c r="B989" i="7"/>
  <c r="C989" i="7"/>
  <c r="D989" i="7"/>
  <c r="E989" i="7"/>
  <c r="F989" i="7"/>
  <c r="G989" i="7"/>
  <c r="H989" i="7"/>
  <c r="I989" i="7"/>
  <c r="A990" i="7"/>
  <c r="B990" i="7"/>
  <c r="C990" i="7"/>
  <c r="D990" i="7"/>
  <c r="E990" i="7"/>
  <c r="F990" i="7"/>
  <c r="G990" i="7"/>
  <c r="H990" i="7"/>
  <c r="I990" i="7"/>
  <c r="A991" i="7"/>
  <c r="B991" i="7"/>
  <c r="C991" i="7"/>
  <c r="D991" i="7"/>
  <c r="E991" i="7"/>
  <c r="F991" i="7"/>
  <c r="G991" i="7"/>
  <c r="H991" i="7"/>
  <c r="I991" i="7"/>
  <c r="A992" i="7"/>
  <c r="B992" i="7"/>
  <c r="C992" i="7"/>
  <c r="D992" i="7"/>
  <c r="E992" i="7"/>
  <c r="F992" i="7"/>
  <c r="G992" i="7"/>
  <c r="H992" i="7"/>
  <c r="I992" i="7"/>
  <c r="A993" i="7"/>
  <c r="B993" i="7"/>
  <c r="C993" i="7"/>
  <c r="D993" i="7"/>
  <c r="E993" i="7"/>
  <c r="F993" i="7"/>
  <c r="G993" i="7"/>
  <c r="H993" i="7"/>
  <c r="I993" i="7"/>
  <c r="A994" i="7"/>
  <c r="B994" i="7"/>
  <c r="C994" i="7"/>
  <c r="D994" i="7"/>
  <c r="E994" i="7"/>
  <c r="F994" i="7"/>
  <c r="G994" i="7"/>
  <c r="H994" i="7"/>
  <c r="I994" i="7"/>
  <c r="A995" i="7"/>
  <c r="B995" i="7"/>
  <c r="C995" i="7"/>
  <c r="D995" i="7"/>
  <c r="E995" i="7"/>
  <c r="F995" i="7"/>
  <c r="G995" i="7"/>
  <c r="H995" i="7"/>
  <c r="I995" i="7"/>
  <c r="A996" i="7"/>
  <c r="B996" i="7"/>
  <c r="C996" i="7"/>
  <c r="D996" i="7"/>
  <c r="E996" i="7"/>
  <c r="F996" i="7"/>
  <c r="G996" i="7"/>
  <c r="H996" i="7"/>
  <c r="I996" i="7"/>
  <c r="A997" i="7"/>
  <c r="B997" i="7"/>
  <c r="C997" i="7"/>
  <c r="D997" i="7"/>
  <c r="E997" i="7"/>
  <c r="F997" i="7"/>
  <c r="G997" i="7"/>
  <c r="H997" i="7"/>
  <c r="I997" i="7"/>
  <c r="A998" i="7"/>
  <c r="B998" i="7"/>
  <c r="C998" i="7"/>
  <c r="D998" i="7"/>
  <c r="E998" i="7"/>
  <c r="F998" i="7"/>
  <c r="G998" i="7"/>
  <c r="H998" i="7"/>
  <c r="I998" i="7"/>
  <c r="A999" i="7"/>
  <c r="B999" i="7"/>
  <c r="C999" i="7"/>
  <c r="D999" i="7"/>
  <c r="E999" i="7"/>
  <c r="F999" i="7"/>
  <c r="G999" i="7"/>
  <c r="H999" i="7"/>
  <c r="I999" i="7"/>
  <c r="A1000" i="7"/>
  <c r="B1000" i="7"/>
  <c r="C1000" i="7"/>
  <c r="D1000" i="7"/>
  <c r="E1000" i="7"/>
  <c r="F1000" i="7"/>
  <c r="G1000" i="7"/>
  <c r="H1000" i="7"/>
  <c r="I1000" i="7"/>
  <c r="A1001" i="7"/>
  <c r="B1001" i="7"/>
  <c r="C1001" i="7"/>
  <c r="D1001" i="7"/>
  <c r="E1001" i="7"/>
  <c r="F1001" i="7"/>
  <c r="G1001" i="7"/>
  <c r="H1001" i="7"/>
  <c r="I1001" i="7"/>
  <c r="A1002" i="7"/>
  <c r="B1002" i="7"/>
  <c r="C1002" i="7"/>
  <c r="D1002" i="7"/>
  <c r="E1002" i="7"/>
  <c r="F1002" i="7"/>
  <c r="G1002" i="7"/>
  <c r="H1002" i="7"/>
  <c r="I1002" i="7"/>
  <c r="A1003" i="7"/>
  <c r="B1003" i="7"/>
  <c r="C1003" i="7"/>
  <c r="D1003" i="7"/>
  <c r="E1003" i="7"/>
  <c r="F1003" i="7"/>
  <c r="G1003" i="7"/>
  <c r="H1003" i="7"/>
  <c r="I1003" i="7"/>
  <c r="A1004" i="7"/>
  <c r="B1004" i="7"/>
  <c r="C1004" i="7"/>
  <c r="D1004" i="7"/>
  <c r="E1004" i="7"/>
  <c r="F1004" i="7"/>
  <c r="G1004" i="7"/>
  <c r="H1004" i="7"/>
  <c r="I1004" i="7"/>
  <c r="A1005" i="7"/>
  <c r="B1005" i="7"/>
  <c r="C1005" i="7"/>
  <c r="D1005" i="7"/>
  <c r="E1005" i="7"/>
  <c r="F1005" i="7"/>
  <c r="G1005" i="7"/>
  <c r="H1005" i="7"/>
  <c r="I1005" i="7"/>
  <c r="A1006" i="7"/>
  <c r="B1006" i="7"/>
  <c r="C1006" i="7"/>
  <c r="D1006" i="7"/>
  <c r="E1006" i="7"/>
  <c r="F1006" i="7"/>
  <c r="G1006" i="7"/>
  <c r="H1006" i="7"/>
  <c r="I1006" i="7"/>
  <c r="A1007" i="7"/>
  <c r="B1007" i="7"/>
  <c r="C1007" i="7"/>
  <c r="D1007" i="7"/>
  <c r="E1007" i="7"/>
  <c r="F1007" i="7"/>
  <c r="G1007" i="7"/>
  <c r="H1007" i="7"/>
  <c r="I1007" i="7"/>
  <c r="A1008" i="7"/>
  <c r="B1008" i="7"/>
  <c r="C1008" i="7"/>
  <c r="D1008" i="7"/>
  <c r="E1008" i="7"/>
  <c r="F1008" i="7"/>
  <c r="G1008" i="7"/>
  <c r="H1008" i="7"/>
  <c r="I1008" i="7"/>
  <c r="A1009" i="7"/>
  <c r="B1009" i="7"/>
  <c r="C1009" i="7"/>
  <c r="D1009" i="7"/>
  <c r="E1009" i="7"/>
  <c r="F1009" i="7"/>
  <c r="G1009" i="7"/>
  <c r="H1009" i="7"/>
  <c r="I1009" i="7"/>
  <c r="A1010" i="7"/>
  <c r="B1010" i="7"/>
  <c r="C1010" i="7"/>
  <c r="D1010" i="7"/>
  <c r="E1010" i="7"/>
  <c r="F1010" i="7"/>
  <c r="G1010" i="7"/>
  <c r="H1010" i="7"/>
  <c r="I1010" i="7"/>
  <c r="A1011" i="7"/>
  <c r="B1011" i="7"/>
  <c r="C1011" i="7"/>
  <c r="D1011" i="7"/>
  <c r="E1011" i="7"/>
  <c r="F1011" i="7"/>
  <c r="G1011" i="7"/>
  <c r="H1011" i="7"/>
  <c r="I1011" i="7"/>
  <c r="A1012" i="7"/>
  <c r="B1012" i="7"/>
  <c r="C1012" i="7"/>
  <c r="D1012" i="7"/>
  <c r="E1012" i="7"/>
  <c r="F1012" i="7"/>
  <c r="G1012" i="7"/>
  <c r="H1012" i="7"/>
  <c r="I1012" i="7"/>
  <c r="A1013" i="7"/>
  <c r="B1013" i="7"/>
  <c r="C1013" i="7"/>
  <c r="D1013" i="7"/>
  <c r="E1013" i="7"/>
  <c r="F1013" i="7"/>
  <c r="G1013" i="7"/>
  <c r="H1013" i="7"/>
  <c r="I1013" i="7"/>
  <c r="A1014" i="7"/>
  <c r="B1014" i="7"/>
  <c r="C1014" i="7"/>
  <c r="D1014" i="7"/>
  <c r="E1014" i="7"/>
  <c r="F1014" i="7"/>
  <c r="G1014" i="7"/>
  <c r="H1014" i="7"/>
  <c r="I1014" i="7"/>
  <c r="A1015" i="7"/>
  <c r="B1015" i="7"/>
  <c r="C1015" i="7"/>
  <c r="D1015" i="7"/>
  <c r="E1015" i="7"/>
  <c r="F1015" i="7"/>
  <c r="G1015" i="7"/>
  <c r="H1015" i="7"/>
  <c r="I1015" i="7"/>
  <c r="A1016" i="7"/>
  <c r="B1016" i="7"/>
  <c r="C1016" i="7"/>
  <c r="D1016" i="7"/>
  <c r="E1016" i="7"/>
  <c r="F1016" i="7"/>
  <c r="G1016" i="7"/>
  <c r="H1016" i="7"/>
  <c r="I1016" i="7"/>
  <c r="A1017" i="7"/>
  <c r="B1017" i="7"/>
  <c r="C1017" i="7"/>
  <c r="D1017" i="7"/>
  <c r="E1017" i="7"/>
  <c r="F1017" i="7"/>
  <c r="G1017" i="7"/>
  <c r="H1017" i="7"/>
  <c r="I1017" i="7"/>
  <c r="A1018" i="7"/>
  <c r="B1018" i="7"/>
  <c r="C1018" i="7"/>
  <c r="D1018" i="7"/>
  <c r="E1018" i="7"/>
  <c r="F1018" i="7"/>
  <c r="G1018" i="7"/>
  <c r="H1018" i="7"/>
  <c r="I1018" i="7"/>
  <c r="A1019" i="7"/>
  <c r="B1019" i="7"/>
  <c r="C1019" i="7"/>
  <c r="D1019" i="7"/>
  <c r="E1019" i="7"/>
  <c r="F1019" i="7"/>
  <c r="G1019" i="7"/>
  <c r="H1019" i="7"/>
  <c r="I1019" i="7"/>
  <c r="A1020" i="7"/>
  <c r="B1020" i="7"/>
  <c r="C1020" i="7"/>
  <c r="D1020" i="7"/>
  <c r="E1020" i="7"/>
  <c r="F1020" i="7"/>
  <c r="G1020" i="7"/>
  <c r="H1020" i="7"/>
  <c r="I1020" i="7"/>
  <c r="A1021" i="7"/>
  <c r="B1021" i="7"/>
  <c r="C1021" i="7"/>
  <c r="D1021" i="7"/>
  <c r="E1021" i="7"/>
  <c r="F1021" i="7"/>
  <c r="G1021" i="7"/>
  <c r="H1021" i="7"/>
  <c r="I1021" i="7"/>
  <c r="A1022" i="7"/>
  <c r="B1022" i="7"/>
  <c r="C1022" i="7"/>
  <c r="D1022" i="7"/>
  <c r="E1022" i="7"/>
  <c r="F1022" i="7"/>
  <c r="G1022" i="7"/>
  <c r="H1022" i="7"/>
  <c r="I1022" i="7"/>
  <c r="A1023" i="7"/>
  <c r="B1023" i="7"/>
  <c r="C1023" i="7"/>
  <c r="D1023" i="7"/>
  <c r="E1023" i="7"/>
  <c r="F1023" i="7"/>
  <c r="G1023" i="7"/>
  <c r="H1023" i="7"/>
  <c r="I1023" i="7"/>
  <c r="A1024" i="7"/>
  <c r="B1024" i="7"/>
  <c r="C1024" i="7"/>
  <c r="D1024" i="7"/>
  <c r="E1024" i="7"/>
  <c r="F1024" i="7"/>
  <c r="G1024" i="7"/>
  <c r="H1024" i="7"/>
  <c r="I1024" i="7"/>
  <c r="A1025" i="7"/>
  <c r="B1025" i="7"/>
  <c r="C1025" i="7"/>
  <c r="D1025" i="7"/>
  <c r="E1025" i="7"/>
  <c r="F1025" i="7"/>
  <c r="G1025" i="7"/>
  <c r="H1025" i="7"/>
  <c r="I1025" i="7"/>
  <c r="A1026" i="7"/>
  <c r="B1026" i="7"/>
  <c r="C1026" i="7"/>
  <c r="D1026" i="7"/>
  <c r="E1026" i="7"/>
  <c r="F1026" i="7"/>
  <c r="G1026" i="7"/>
  <c r="H1026" i="7"/>
  <c r="I1026" i="7"/>
  <c r="A1027" i="7"/>
  <c r="B1027" i="7"/>
  <c r="C1027" i="7"/>
  <c r="D1027" i="7"/>
  <c r="E1027" i="7"/>
  <c r="F1027" i="7"/>
  <c r="G1027" i="7"/>
  <c r="H1027" i="7"/>
  <c r="I1027" i="7"/>
  <c r="A1028" i="7"/>
  <c r="B1028" i="7"/>
  <c r="C1028" i="7"/>
  <c r="D1028" i="7"/>
  <c r="E1028" i="7"/>
  <c r="F1028" i="7"/>
  <c r="G1028" i="7"/>
  <c r="H1028" i="7"/>
  <c r="I1028" i="7"/>
  <c r="A1029" i="7"/>
  <c r="B1029" i="7"/>
  <c r="C1029" i="7"/>
  <c r="D1029" i="7"/>
  <c r="E1029" i="7"/>
  <c r="F1029" i="7"/>
  <c r="G1029" i="7"/>
  <c r="H1029" i="7"/>
  <c r="I1029" i="7"/>
  <c r="A1030" i="7"/>
  <c r="B1030" i="7"/>
  <c r="C1030" i="7"/>
  <c r="D1030" i="7"/>
  <c r="E1030" i="7"/>
  <c r="F1030" i="7"/>
  <c r="G1030" i="7"/>
  <c r="H1030" i="7"/>
  <c r="I1030" i="7"/>
  <c r="A1031" i="7"/>
  <c r="B1031" i="7"/>
  <c r="C1031" i="7"/>
  <c r="D1031" i="7"/>
  <c r="E1031" i="7"/>
  <c r="F1031" i="7"/>
  <c r="G1031" i="7"/>
  <c r="H1031" i="7"/>
  <c r="I1031" i="7"/>
  <c r="A1032" i="7"/>
  <c r="B1032" i="7"/>
  <c r="C1032" i="7"/>
  <c r="D1032" i="7"/>
  <c r="E1032" i="7"/>
  <c r="F1032" i="7"/>
  <c r="G1032" i="7"/>
  <c r="H1032" i="7"/>
  <c r="I1032" i="7"/>
  <c r="A1033" i="7"/>
  <c r="B1033" i="7"/>
  <c r="C1033" i="7"/>
  <c r="D1033" i="7"/>
  <c r="E1033" i="7"/>
  <c r="F1033" i="7"/>
  <c r="G1033" i="7"/>
  <c r="H1033" i="7"/>
  <c r="I1033" i="7"/>
  <c r="A1034" i="7"/>
  <c r="B1034" i="7"/>
  <c r="C1034" i="7"/>
  <c r="D1034" i="7"/>
  <c r="E1034" i="7"/>
  <c r="F1034" i="7"/>
  <c r="G1034" i="7"/>
  <c r="H1034" i="7"/>
  <c r="I1034" i="7"/>
  <c r="A1035" i="7"/>
  <c r="B1035" i="7"/>
  <c r="C1035" i="7"/>
  <c r="D1035" i="7"/>
  <c r="E1035" i="7"/>
  <c r="F1035" i="7"/>
  <c r="G1035" i="7"/>
  <c r="H1035" i="7"/>
  <c r="I1035" i="7"/>
  <c r="A1036" i="7"/>
  <c r="B1036" i="7"/>
  <c r="C1036" i="7"/>
  <c r="D1036" i="7"/>
  <c r="E1036" i="7"/>
  <c r="F1036" i="7"/>
  <c r="G1036" i="7"/>
  <c r="H1036" i="7"/>
  <c r="I1036" i="7"/>
  <c r="A1037" i="7"/>
  <c r="B1037" i="7"/>
  <c r="C1037" i="7"/>
  <c r="D1037" i="7"/>
  <c r="E1037" i="7"/>
  <c r="F1037" i="7"/>
  <c r="G1037" i="7"/>
  <c r="H1037" i="7"/>
  <c r="I1037" i="7"/>
  <c r="A1038" i="7"/>
  <c r="B1038" i="7"/>
  <c r="C1038" i="7"/>
  <c r="D1038" i="7"/>
  <c r="E1038" i="7"/>
  <c r="F1038" i="7"/>
  <c r="G1038" i="7"/>
  <c r="H1038" i="7"/>
  <c r="I1038" i="7"/>
  <c r="A1039" i="7"/>
  <c r="B1039" i="7"/>
  <c r="C1039" i="7"/>
  <c r="D1039" i="7"/>
  <c r="E1039" i="7"/>
  <c r="F1039" i="7"/>
  <c r="G1039" i="7"/>
  <c r="H1039" i="7"/>
  <c r="I1039" i="7"/>
  <c r="A1040" i="7"/>
  <c r="B1040" i="7"/>
  <c r="C1040" i="7"/>
  <c r="D1040" i="7"/>
  <c r="E1040" i="7"/>
  <c r="F1040" i="7"/>
  <c r="G1040" i="7"/>
  <c r="H1040" i="7"/>
  <c r="I1040" i="7"/>
  <c r="A1041" i="7"/>
  <c r="B1041" i="7"/>
  <c r="C1041" i="7"/>
  <c r="D1041" i="7"/>
  <c r="E1041" i="7"/>
  <c r="F1041" i="7"/>
  <c r="G1041" i="7"/>
  <c r="H1041" i="7"/>
  <c r="I1041" i="7"/>
  <c r="A1042" i="7"/>
  <c r="B1042" i="7"/>
  <c r="C1042" i="7"/>
  <c r="D1042" i="7"/>
  <c r="E1042" i="7"/>
  <c r="F1042" i="7"/>
  <c r="G1042" i="7"/>
  <c r="H1042" i="7"/>
  <c r="I1042" i="7"/>
  <c r="A1043" i="7"/>
  <c r="B1043" i="7"/>
  <c r="C1043" i="7"/>
  <c r="D1043" i="7"/>
  <c r="E1043" i="7"/>
  <c r="F1043" i="7"/>
  <c r="G1043" i="7"/>
  <c r="H1043" i="7"/>
  <c r="I1043" i="7"/>
  <c r="A1044" i="7"/>
  <c r="B1044" i="7"/>
  <c r="C1044" i="7"/>
  <c r="D1044" i="7"/>
  <c r="E1044" i="7"/>
  <c r="F1044" i="7"/>
  <c r="G1044" i="7"/>
  <c r="H1044" i="7"/>
  <c r="I1044" i="7"/>
  <c r="A1045" i="7"/>
  <c r="B1045" i="7"/>
  <c r="C1045" i="7"/>
  <c r="D1045" i="7"/>
  <c r="E1045" i="7"/>
  <c r="F1045" i="7"/>
  <c r="G1045" i="7"/>
  <c r="H1045" i="7"/>
  <c r="I1045" i="7"/>
  <c r="A1046" i="7"/>
  <c r="B1046" i="7"/>
  <c r="C1046" i="7"/>
  <c r="D1046" i="7"/>
  <c r="E1046" i="7"/>
  <c r="F1046" i="7"/>
  <c r="G1046" i="7"/>
  <c r="H1046" i="7"/>
  <c r="I1046" i="7"/>
  <c r="A1047" i="7"/>
  <c r="B1047" i="7"/>
  <c r="C1047" i="7"/>
  <c r="D1047" i="7"/>
  <c r="E1047" i="7"/>
  <c r="F1047" i="7"/>
  <c r="G1047" i="7"/>
  <c r="H1047" i="7"/>
  <c r="I1047" i="7"/>
  <c r="A1048" i="7"/>
  <c r="B1048" i="7"/>
  <c r="C1048" i="7"/>
  <c r="D1048" i="7"/>
  <c r="E1048" i="7"/>
  <c r="F1048" i="7"/>
  <c r="G1048" i="7"/>
  <c r="H1048" i="7"/>
  <c r="I1048" i="7"/>
  <c r="A1049" i="7"/>
  <c r="B1049" i="7"/>
  <c r="C1049" i="7"/>
  <c r="D1049" i="7"/>
  <c r="E1049" i="7"/>
  <c r="F1049" i="7"/>
  <c r="G1049" i="7"/>
  <c r="H1049" i="7"/>
  <c r="I1049" i="7"/>
  <c r="A1050" i="7"/>
  <c r="B1050" i="7"/>
  <c r="C1050" i="7"/>
  <c r="D1050" i="7"/>
  <c r="E1050" i="7"/>
  <c r="F1050" i="7"/>
  <c r="G1050" i="7"/>
  <c r="H1050" i="7"/>
  <c r="I1050" i="7"/>
  <c r="A1051" i="7"/>
  <c r="B1051" i="7"/>
  <c r="C1051" i="7"/>
  <c r="D1051" i="7"/>
  <c r="E1051" i="7"/>
  <c r="F1051" i="7"/>
  <c r="G1051" i="7"/>
  <c r="H1051" i="7"/>
  <c r="I1051" i="7"/>
  <c r="A1052" i="7"/>
  <c r="B1052" i="7"/>
  <c r="C1052" i="7"/>
  <c r="D1052" i="7"/>
  <c r="E1052" i="7"/>
  <c r="F1052" i="7"/>
  <c r="G1052" i="7"/>
  <c r="H1052" i="7"/>
  <c r="I1052" i="7"/>
  <c r="A1053" i="7"/>
  <c r="B1053" i="7"/>
  <c r="C1053" i="7"/>
  <c r="D1053" i="7"/>
  <c r="E1053" i="7"/>
  <c r="F1053" i="7"/>
  <c r="G1053" i="7"/>
  <c r="H1053" i="7"/>
  <c r="I1053" i="7"/>
  <c r="A1054" i="7"/>
  <c r="B1054" i="7"/>
  <c r="C1054" i="7"/>
  <c r="D1054" i="7"/>
  <c r="E1054" i="7"/>
  <c r="F1054" i="7"/>
  <c r="G1054" i="7"/>
  <c r="H1054" i="7"/>
  <c r="I1054" i="7"/>
  <c r="A1055" i="7"/>
  <c r="B1055" i="7"/>
  <c r="C1055" i="7"/>
  <c r="D1055" i="7"/>
  <c r="E1055" i="7"/>
  <c r="F1055" i="7"/>
  <c r="G1055" i="7"/>
  <c r="H1055" i="7"/>
  <c r="I1055" i="7"/>
  <c r="A1056" i="7"/>
  <c r="B1056" i="7"/>
  <c r="C1056" i="7"/>
  <c r="D1056" i="7"/>
  <c r="E1056" i="7"/>
  <c r="F1056" i="7"/>
  <c r="G1056" i="7"/>
  <c r="H1056" i="7"/>
  <c r="I1056" i="7"/>
  <c r="A1057" i="7"/>
  <c r="B1057" i="7"/>
  <c r="C1057" i="7"/>
  <c r="D1057" i="7"/>
  <c r="E1057" i="7"/>
  <c r="F1057" i="7"/>
  <c r="G1057" i="7"/>
  <c r="H1057" i="7"/>
  <c r="I1057" i="7"/>
  <c r="A1058" i="7"/>
  <c r="B1058" i="7"/>
  <c r="C1058" i="7"/>
  <c r="D1058" i="7"/>
  <c r="E1058" i="7"/>
  <c r="F1058" i="7"/>
  <c r="G1058" i="7"/>
  <c r="H1058" i="7"/>
  <c r="I1058" i="7"/>
  <c r="A1059" i="7"/>
  <c r="B1059" i="7"/>
  <c r="C1059" i="7"/>
  <c r="D1059" i="7"/>
  <c r="E1059" i="7"/>
  <c r="F1059" i="7"/>
  <c r="G1059" i="7"/>
  <c r="H1059" i="7"/>
  <c r="I1059" i="7"/>
  <c r="A1060" i="7"/>
  <c r="B1060" i="7"/>
  <c r="C1060" i="7"/>
  <c r="D1060" i="7"/>
  <c r="E1060" i="7"/>
  <c r="F1060" i="7"/>
  <c r="G1060" i="7"/>
  <c r="H1060" i="7"/>
  <c r="I1060" i="7"/>
  <c r="A1061" i="7"/>
  <c r="B1061" i="7"/>
  <c r="C1061" i="7"/>
  <c r="D1061" i="7"/>
  <c r="E1061" i="7"/>
  <c r="F1061" i="7"/>
  <c r="G1061" i="7"/>
  <c r="H1061" i="7"/>
  <c r="I1061" i="7"/>
  <c r="A1062" i="7"/>
  <c r="B1062" i="7"/>
  <c r="C1062" i="7"/>
  <c r="D1062" i="7"/>
  <c r="E1062" i="7"/>
  <c r="F1062" i="7"/>
  <c r="G1062" i="7"/>
  <c r="H1062" i="7"/>
  <c r="I1062" i="7"/>
  <c r="A1063" i="7"/>
  <c r="B1063" i="7"/>
  <c r="C1063" i="7"/>
  <c r="D1063" i="7"/>
  <c r="E1063" i="7"/>
  <c r="F1063" i="7"/>
  <c r="G1063" i="7"/>
  <c r="H1063" i="7"/>
  <c r="I1063" i="7"/>
  <c r="A1064" i="7"/>
  <c r="B1064" i="7"/>
  <c r="C1064" i="7"/>
  <c r="D1064" i="7"/>
  <c r="E1064" i="7"/>
  <c r="F1064" i="7"/>
  <c r="G1064" i="7"/>
  <c r="H1064" i="7"/>
  <c r="I1064" i="7"/>
  <c r="A1065" i="7"/>
  <c r="B1065" i="7"/>
  <c r="C1065" i="7"/>
  <c r="D1065" i="7"/>
  <c r="E1065" i="7"/>
  <c r="F1065" i="7"/>
  <c r="G1065" i="7"/>
  <c r="H1065" i="7"/>
  <c r="I1065" i="7"/>
  <c r="A1066" i="7"/>
  <c r="B1066" i="7"/>
  <c r="C1066" i="7"/>
  <c r="D1066" i="7"/>
  <c r="E1066" i="7"/>
  <c r="F1066" i="7"/>
  <c r="G1066" i="7"/>
  <c r="H1066" i="7"/>
  <c r="I1066" i="7"/>
  <c r="A1067" i="7"/>
  <c r="B1067" i="7"/>
  <c r="C1067" i="7"/>
  <c r="D1067" i="7"/>
  <c r="E1067" i="7"/>
  <c r="F1067" i="7"/>
  <c r="G1067" i="7"/>
  <c r="H1067" i="7"/>
  <c r="I1067" i="7"/>
  <c r="A1068" i="7"/>
  <c r="B1068" i="7"/>
  <c r="C1068" i="7"/>
  <c r="D1068" i="7"/>
  <c r="E1068" i="7"/>
  <c r="F1068" i="7"/>
  <c r="G1068" i="7"/>
  <c r="H1068" i="7"/>
  <c r="I1068" i="7"/>
  <c r="A1069" i="7"/>
  <c r="B1069" i="7"/>
  <c r="C1069" i="7"/>
  <c r="D1069" i="7"/>
  <c r="E1069" i="7"/>
  <c r="F1069" i="7"/>
  <c r="G1069" i="7"/>
  <c r="H1069" i="7"/>
  <c r="I1069" i="7"/>
  <c r="A1070" i="7"/>
  <c r="B1070" i="7"/>
  <c r="C1070" i="7"/>
  <c r="D1070" i="7"/>
  <c r="E1070" i="7"/>
  <c r="F1070" i="7"/>
  <c r="G1070" i="7"/>
  <c r="H1070" i="7"/>
  <c r="I1070" i="7"/>
  <c r="A1071" i="7"/>
  <c r="B1071" i="7"/>
  <c r="C1071" i="7"/>
  <c r="D1071" i="7"/>
  <c r="E1071" i="7"/>
  <c r="F1071" i="7"/>
  <c r="G1071" i="7"/>
  <c r="H1071" i="7"/>
  <c r="I1071" i="7"/>
  <c r="A1072" i="7"/>
  <c r="B1072" i="7"/>
  <c r="C1072" i="7"/>
  <c r="D1072" i="7"/>
  <c r="E1072" i="7"/>
  <c r="F1072" i="7"/>
  <c r="G1072" i="7"/>
  <c r="H1072" i="7"/>
  <c r="I1072" i="7"/>
  <c r="A1073" i="7"/>
  <c r="B1073" i="7"/>
  <c r="C1073" i="7"/>
  <c r="D1073" i="7"/>
  <c r="E1073" i="7"/>
  <c r="F1073" i="7"/>
  <c r="G1073" i="7"/>
  <c r="H1073" i="7"/>
  <c r="I1073" i="7"/>
  <c r="A1074" i="7"/>
  <c r="B1074" i="7"/>
  <c r="C1074" i="7"/>
  <c r="D1074" i="7"/>
  <c r="E1074" i="7"/>
  <c r="F1074" i="7"/>
  <c r="G1074" i="7"/>
  <c r="H1074" i="7"/>
  <c r="I1074" i="7"/>
  <c r="A1075" i="7"/>
  <c r="B1075" i="7"/>
  <c r="C1075" i="7"/>
  <c r="D1075" i="7"/>
  <c r="E1075" i="7"/>
  <c r="F1075" i="7"/>
  <c r="G1075" i="7"/>
  <c r="H1075" i="7"/>
  <c r="I1075" i="7"/>
  <c r="A1076" i="7"/>
  <c r="B1076" i="7"/>
  <c r="C1076" i="7"/>
  <c r="D1076" i="7"/>
  <c r="E1076" i="7"/>
  <c r="F1076" i="7"/>
  <c r="G1076" i="7"/>
  <c r="H1076" i="7"/>
  <c r="I1076" i="7"/>
  <c r="A1077" i="7"/>
  <c r="B1077" i="7"/>
  <c r="C1077" i="7"/>
  <c r="D1077" i="7"/>
  <c r="E1077" i="7"/>
  <c r="F1077" i="7"/>
  <c r="G1077" i="7"/>
  <c r="H1077" i="7"/>
  <c r="I1077" i="7"/>
  <c r="A1078" i="7"/>
  <c r="B1078" i="7"/>
  <c r="C1078" i="7"/>
  <c r="D1078" i="7"/>
  <c r="E1078" i="7"/>
  <c r="F1078" i="7"/>
  <c r="G1078" i="7"/>
  <c r="H1078" i="7"/>
  <c r="I1078" i="7"/>
  <c r="A1079" i="7"/>
  <c r="B1079" i="7"/>
  <c r="C1079" i="7"/>
  <c r="D1079" i="7"/>
  <c r="E1079" i="7"/>
  <c r="F1079" i="7"/>
  <c r="G1079" i="7"/>
  <c r="H1079" i="7"/>
  <c r="I1079" i="7"/>
  <c r="A1080" i="7"/>
  <c r="B1080" i="7"/>
  <c r="C1080" i="7"/>
  <c r="D1080" i="7"/>
  <c r="E1080" i="7"/>
  <c r="F1080" i="7"/>
  <c r="G1080" i="7"/>
  <c r="H1080" i="7"/>
  <c r="I1080" i="7"/>
  <c r="A1081" i="7"/>
  <c r="B1081" i="7"/>
  <c r="C1081" i="7"/>
  <c r="D1081" i="7"/>
  <c r="E1081" i="7"/>
  <c r="F1081" i="7"/>
  <c r="G1081" i="7"/>
  <c r="H1081" i="7"/>
  <c r="I1081" i="7"/>
  <c r="A1082" i="7"/>
  <c r="B1082" i="7"/>
  <c r="C1082" i="7"/>
  <c r="D1082" i="7"/>
  <c r="E1082" i="7"/>
  <c r="F1082" i="7"/>
  <c r="G1082" i="7"/>
  <c r="H1082" i="7"/>
  <c r="I1082" i="7"/>
  <c r="A1083" i="7"/>
  <c r="B1083" i="7"/>
  <c r="C1083" i="7"/>
  <c r="D1083" i="7"/>
  <c r="E1083" i="7"/>
  <c r="F1083" i="7"/>
  <c r="G1083" i="7"/>
  <c r="H1083" i="7"/>
  <c r="I1083" i="7"/>
  <c r="A1084" i="7"/>
  <c r="B1084" i="7"/>
  <c r="C1084" i="7"/>
  <c r="D1084" i="7"/>
  <c r="E1084" i="7"/>
  <c r="F1084" i="7"/>
  <c r="G1084" i="7"/>
  <c r="H1084" i="7"/>
  <c r="I1084" i="7"/>
  <c r="A1085" i="7"/>
  <c r="B1085" i="7"/>
  <c r="C1085" i="7"/>
  <c r="D1085" i="7"/>
  <c r="E1085" i="7"/>
  <c r="F1085" i="7"/>
  <c r="G1085" i="7"/>
  <c r="H1085" i="7"/>
  <c r="I1085" i="7"/>
  <c r="A1086" i="7"/>
  <c r="B1086" i="7"/>
  <c r="C1086" i="7"/>
  <c r="D1086" i="7"/>
  <c r="E1086" i="7"/>
  <c r="F1086" i="7"/>
  <c r="G1086" i="7"/>
  <c r="H1086" i="7"/>
  <c r="I1086" i="7"/>
  <c r="A1087" i="7"/>
  <c r="B1087" i="7"/>
  <c r="C1087" i="7"/>
  <c r="D1087" i="7"/>
  <c r="E1087" i="7"/>
  <c r="F1087" i="7"/>
  <c r="G1087" i="7"/>
  <c r="H1087" i="7"/>
  <c r="I1087" i="7"/>
  <c r="A1088" i="7"/>
  <c r="B1088" i="7"/>
  <c r="C1088" i="7"/>
  <c r="D1088" i="7"/>
  <c r="E1088" i="7"/>
  <c r="F1088" i="7"/>
  <c r="G1088" i="7"/>
  <c r="H1088" i="7"/>
  <c r="I1088" i="7"/>
  <c r="A1089" i="7"/>
  <c r="B1089" i="7"/>
  <c r="C1089" i="7"/>
  <c r="D1089" i="7"/>
  <c r="E1089" i="7"/>
  <c r="F1089" i="7"/>
  <c r="G1089" i="7"/>
  <c r="H1089" i="7"/>
  <c r="I1089" i="7"/>
  <c r="A1090" i="7"/>
  <c r="B1090" i="7"/>
  <c r="C1090" i="7"/>
  <c r="D1090" i="7"/>
  <c r="E1090" i="7"/>
  <c r="F1090" i="7"/>
  <c r="G1090" i="7"/>
  <c r="H1090" i="7"/>
  <c r="I1090" i="7"/>
  <c r="A1091" i="7"/>
  <c r="B1091" i="7"/>
  <c r="C1091" i="7"/>
  <c r="D1091" i="7"/>
  <c r="E1091" i="7"/>
  <c r="F1091" i="7"/>
  <c r="G1091" i="7"/>
  <c r="H1091" i="7"/>
  <c r="I1091" i="7"/>
  <c r="A1092" i="7"/>
  <c r="B1092" i="7"/>
  <c r="C1092" i="7"/>
  <c r="D1092" i="7"/>
  <c r="E1092" i="7"/>
  <c r="F1092" i="7"/>
  <c r="G1092" i="7"/>
  <c r="H1092" i="7"/>
  <c r="I1092" i="7"/>
  <c r="A1093" i="7"/>
  <c r="B1093" i="7"/>
  <c r="C1093" i="7"/>
  <c r="D1093" i="7"/>
  <c r="E1093" i="7"/>
  <c r="F1093" i="7"/>
  <c r="G1093" i="7"/>
  <c r="H1093" i="7"/>
  <c r="I1093" i="7"/>
  <c r="A1094" i="7"/>
  <c r="B1094" i="7"/>
  <c r="C1094" i="7"/>
  <c r="D1094" i="7"/>
  <c r="E1094" i="7"/>
  <c r="F1094" i="7"/>
  <c r="G1094" i="7"/>
  <c r="H1094" i="7"/>
  <c r="I1094" i="7"/>
  <c r="A1095" i="7"/>
  <c r="B1095" i="7"/>
  <c r="C1095" i="7"/>
  <c r="D1095" i="7"/>
  <c r="E1095" i="7"/>
  <c r="F1095" i="7"/>
  <c r="G1095" i="7"/>
  <c r="H1095" i="7"/>
  <c r="I1095" i="7"/>
  <c r="A1096" i="7"/>
  <c r="B1096" i="7"/>
  <c r="C1096" i="7"/>
  <c r="D1096" i="7"/>
  <c r="E1096" i="7"/>
  <c r="F1096" i="7"/>
  <c r="G1096" i="7"/>
  <c r="H1096" i="7"/>
  <c r="I1096" i="7"/>
  <c r="A1097" i="7"/>
  <c r="B1097" i="7"/>
  <c r="C1097" i="7"/>
  <c r="D1097" i="7"/>
  <c r="E1097" i="7"/>
  <c r="F1097" i="7"/>
  <c r="G1097" i="7"/>
  <c r="H1097" i="7"/>
  <c r="I1097" i="7"/>
  <c r="A1098" i="7"/>
  <c r="B1098" i="7"/>
  <c r="C1098" i="7"/>
  <c r="D1098" i="7"/>
  <c r="E1098" i="7"/>
  <c r="F1098" i="7"/>
  <c r="G1098" i="7"/>
  <c r="H1098" i="7"/>
  <c r="I1098" i="7"/>
  <c r="A1099" i="7"/>
  <c r="B1099" i="7"/>
  <c r="C1099" i="7"/>
  <c r="D1099" i="7"/>
  <c r="E1099" i="7"/>
  <c r="F1099" i="7"/>
  <c r="G1099" i="7"/>
  <c r="H1099" i="7"/>
  <c r="I1099" i="7"/>
  <c r="A1100" i="7"/>
  <c r="B1100" i="7"/>
  <c r="C1100" i="7"/>
  <c r="D1100" i="7"/>
  <c r="E1100" i="7"/>
  <c r="F1100" i="7"/>
  <c r="G1100" i="7"/>
  <c r="H1100" i="7"/>
  <c r="I1100" i="7"/>
  <c r="A1101" i="7"/>
  <c r="B1101" i="7"/>
  <c r="C1101" i="7"/>
  <c r="D1101" i="7"/>
  <c r="E1101" i="7"/>
  <c r="F1101" i="7"/>
  <c r="G1101" i="7"/>
  <c r="H1101" i="7"/>
  <c r="I1101" i="7"/>
  <c r="A1102" i="7"/>
  <c r="B1102" i="7"/>
  <c r="C1102" i="7"/>
  <c r="D1102" i="7"/>
  <c r="E1102" i="7"/>
  <c r="F1102" i="7"/>
  <c r="G1102" i="7"/>
  <c r="H1102" i="7"/>
  <c r="I1102" i="7"/>
  <c r="A1103" i="7"/>
  <c r="B1103" i="7"/>
  <c r="C1103" i="7"/>
  <c r="D1103" i="7"/>
  <c r="E1103" i="7"/>
  <c r="F1103" i="7"/>
  <c r="G1103" i="7"/>
  <c r="H1103" i="7"/>
  <c r="I1103" i="7"/>
  <c r="A1104" i="7"/>
  <c r="B1104" i="7"/>
  <c r="C1104" i="7"/>
  <c r="D1104" i="7"/>
  <c r="E1104" i="7"/>
  <c r="F1104" i="7"/>
  <c r="G1104" i="7"/>
  <c r="H1104" i="7"/>
  <c r="I1104" i="7"/>
  <c r="A1105" i="7"/>
  <c r="B1105" i="7"/>
  <c r="C1105" i="7"/>
  <c r="D1105" i="7"/>
  <c r="E1105" i="7"/>
  <c r="F1105" i="7"/>
  <c r="G1105" i="7"/>
  <c r="H1105" i="7"/>
  <c r="I1105" i="7"/>
  <c r="A1106" i="7"/>
  <c r="B1106" i="7"/>
  <c r="C1106" i="7"/>
  <c r="D1106" i="7"/>
  <c r="E1106" i="7"/>
  <c r="F1106" i="7"/>
  <c r="G1106" i="7"/>
  <c r="H1106" i="7"/>
  <c r="I1106" i="7"/>
  <c r="A1107" i="7"/>
  <c r="B1107" i="7"/>
  <c r="C1107" i="7"/>
  <c r="D1107" i="7"/>
  <c r="E1107" i="7"/>
  <c r="F1107" i="7"/>
  <c r="G1107" i="7"/>
  <c r="H1107" i="7"/>
  <c r="I1107" i="7"/>
  <c r="A1108" i="7"/>
  <c r="B1108" i="7"/>
  <c r="C1108" i="7"/>
  <c r="D1108" i="7"/>
  <c r="E1108" i="7"/>
  <c r="F1108" i="7"/>
  <c r="G1108" i="7"/>
  <c r="H1108" i="7"/>
  <c r="I1108" i="7"/>
  <c r="A1109" i="7"/>
  <c r="B1109" i="7"/>
  <c r="C1109" i="7"/>
  <c r="D1109" i="7"/>
  <c r="E1109" i="7"/>
  <c r="F1109" i="7"/>
  <c r="G1109" i="7"/>
  <c r="H1109" i="7"/>
  <c r="I1109" i="7"/>
  <c r="A1110" i="7"/>
  <c r="B1110" i="7"/>
  <c r="C1110" i="7"/>
  <c r="D1110" i="7"/>
  <c r="E1110" i="7"/>
  <c r="F1110" i="7"/>
  <c r="G1110" i="7"/>
  <c r="H1110" i="7"/>
  <c r="I1110" i="7"/>
  <c r="A1111" i="7"/>
  <c r="B1111" i="7"/>
  <c r="C1111" i="7"/>
  <c r="D1111" i="7"/>
  <c r="E1111" i="7"/>
  <c r="F1111" i="7"/>
  <c r="G1111" i="7"/>
  <c r="H1111" i="7"/>
  <c r="I1111" i="7"/>
  <c r="A1112" i="7"/>
  <c r="B1112" i="7"/>
  <c r="C1112" i="7"/>
  <c r="D1112" i="7"/>
  <c r="E1112" i="7"/>
  <c r="F1112" i="7"/>
  <c r="G1112" i="7"/>
  <c r="H1112" i="7"/>
  <c r="I1112" i="7"/>
  <c r="A1113" i="7"/>
  <c r="B1113" i="7"/>
  <c r="C1113" i="7"/>
  <c r="D1113" i="7"/>
  <c r="E1113" i="7"/>
  <c r="F1113" i="7"/>
  <c r="G1113" i="7"/>
  <c r="H1113" i="7"/>
  <c r="I1113" i="7"/>
  <c r="A1114" i="7"/>
  <c r="B1114" i="7"/>
  <c r="C1114" i="7"/>
  <c r="D1114" i="7"/>
  <c r="E1114" i="7"/>
  <c r="F1114" i="7"/>
  <c r="G1114" i="7"/>
  <c r="H1114" i="7"/>
  <c r="I1114" i="7"/>
  <c r="A1115" i="7"/>
  <c r="B1115" i="7"/>
  <c r="C1115" i="7"/>
  <c r="D1115" i="7"/>
  <c r="E1115" i="7"/>
  <c r="F1115" i="7"/>
  <c r="G1115" i="7"/>
  <c r="H1115" i="7"/>
  <c r="I1115" i="7"/>
  <c r="A1116" i="7"/>
  <c r="B1116" i="7"/>
  <c r="C1116" i="7"/>
  <c r="D1116" i="7"/>
  <c r="E1116" i="7"/>
  <c r="F1116" i="7"/>
  <c r="G1116" i="7"/>
  <c r="H1116" i="7"/>
  <c r="I1116" i="7"/>
  <c r="A1117" i="7"/>
  <c r="B1117" i="7"/>
  <c r="C1117" i="7"/>
  <c r="D1117" i="7"/>
  <c r="E1117" i="7"/>
  <c r="F1117" i="7"/>
  <c r="G1117" i="7"/>
  <c r="H1117" i="7"/>
  <c r="I1117" i="7"/>
  <c r="A1118" i="7"/>
  <c r="B1118" i="7"/>
  <c r="C1118" i="7"/>
  <c r="D1118" i="7"/>
  <c r="E1118" i="7"/>
  <c r="F1118" i="7"/>
  <c r="G1118" i="7"/>
  <c r="H1118" i="7"/>
  <c r="I1118" i="7"/>
  <c r="A1119" i="7"/>
  <c r="B1119" i="7"/>
  <c r="C1119" i="7"/>
  <c r="D1119" i="7"/>
  <c r="E1119" i="7"/>
  <c r="F1119" i="7"/>
  <c r="G1119" i="7"/>
  <c r="H1119" i="7"/>
  <c r="I1119" i="7"/>
  <c r="A1120" i="7"/>
  <c r="B1120" i="7"/>
  <c r="C1120" i="7"/>
  <c r="D1120" i="7"/>
  <c r="E1120" i="7"/>
  <c r="F1120" i="7"/>
  <c r="G1120" i="7"/>
  <c r="H1120" i="7"/>
  <c r="I1120" i="7"/>
  <c r="A1121" i="7"/>
  <c r="B1121" i="7"/>
  <c r="C1121" i="7"/>
  <c r="D1121" i="7"/>
  <c r="E1121" i="7"/>
  <c r="F1121" i="7"/>
  <c r="G1121" i="7"/>
  <c r="H1121" i="7"/>
  <c r="I1121" i="7"/>
  <c r="A1122" i="7"/>
  <c r="B1122" i="7"/>
  <c r="C1122" i="7"/>
  <c r="D1122" i="7"/>
  <c r="E1122" i="7"/>
  <c r="F1122" i="7"/>
  <c r="G1122" i="7"/>
  <c r="H1122" i="7"/>
  <c r="I1122" i="7"/>
  <c r="A1123" i="7"/>
  <c r="B1123" i="7"/>
  <c r="C1123" i="7"/>
  <c r="D1123" i="7"/>
  <c r="E1123" i="7"/>
  <c r="F1123" i="7"/>
  <c r="G1123" i="7"/>
  <c r="H1123" i="7"/>
  <c r="I1123" i="7"/>
  <c r="A1124" i="7"/>
  <c r="B1124" i="7"/>
  <c r="C1124" i="7"/>
  <c r="D1124" i="7"/>
  <c r="E1124" i="7"/>
  <c r="F1124" i="7"/>
  <c r="G1124" i="7"/>
  <c r="H1124" i="7"/>
  <c r="I1124" i="7"/>
  <c r="A1125" i="7"/>
  <c r="B1125" i="7"/>
  <c r="C1125" i="7"/>
  <c r="D1125" i="7"/>
  <c r="E1125" i="7"/>
  <c r="F1125" i="7"/>
  <c r="G1125" i="7"/>
  <c r="H1125" i="7"/>
  <c r="I1125" i="7"/>
  <c r="A1126" i="7"/>
  <c r="B1126" i="7"/>
  <c r="C1126" i="7"/>
  <c r="D1126" i="7"/>
  <c r="E1126" i="7"/>
  <c r="F1126" i="7"/>
  <c r="G1126" i="7"/>
  <c r="H1126" i="7"/>
  <c r="I1126" i="7"/>
  <c r="A1127" i="7"/>
  <c r="B1127" i="7"/>
  <c r="C1127" i="7"/>
  <c r="D1127" i="7"/>
  <c r="E1127" i="7"/>
  <c r="F1127" i="7"/>
  <c r="G1127" i="7"/>
  <c r="H1127" i="7"/>
  <c r="I1127" i="7"/>
  <c r="A1128" i="7"/>
  <c r="B1128" i="7"/>
  <c r="C1128" i="7"/>
  <c r="D1128" i="7"/>
  <c r="E1128" i="7"/>
  <c r="F1128" i="7"/>
  <c r="G1128" i="7"/>
  <c r="H1128" i="7"/>
  <c r="I1128" i="7"/>
  <c r="A1129" i="7"/>
  <c r="B1129" i="7"/>
  <c r="C1129" i="7"/>
  <c r="D1129" i="7"/>
  <c r="E1129" i="7"/>
  <c r="F1129" i="7"/>
  <c r="G1129" i="7"/>
  <c r="H1129" i="7"/>
  <c r="I1129" i="7"/>
  <c r="A1130" i="7"/>
  <c r="B1130" i="7"/>
  <c r="C1130" i="7"/>
  <c r="D1130" i="7"/>
  <c r="E1130" i="7"/>
  <c r="F1130" i="7"/>
  <c r="G1130" i="7"/>
  <c r="H1130" i="7"/>
  <c r="I1130" i="7"/>
  <c r="A1131" i="7"/>
  <c r="B1131" i="7"/>
  <c r="C1131" i="7"/>
  <c r="D1131" i="7"/>
  <c r="E1131" i="7"/>
  <c r="F1131" i="7"/>
  <c r="G1131" i="7"/>
  <c r="H1131" i="7"/>
  <c r="I1131" i="7"/>
  <c r="A1132" i="7"/>
  <c r="B1132" i="7"/>
  <c r="C1132" i="7"/>
  <c r="D1132" i="7"/>
  <c r="E1132" i="7"/>
  <c r="F1132" i="7"/>
  <c r="G1132" i="7"/>
  <c r="H1132" i="7"/>
  <c r="I1132" i="7"/>
  <c r="A1133" i="7"/>
  <c r="B1133" i="7"/>
  <c r="C1133" i="7"/>
  <c r="D1133" i="7"/>
  <c r="E1133" i="7"/>
  <c r="F1133" i="7"/>
  <c r="G1133" i="7"/>
  <c r="H1133" i="7"/>
  <c r="I1133" i="7"/>
  <c r="A1134" i="7"/>
  <c r="B1134" i="7"/>
  <c r="C1134" i="7"/>
  <c r="D1134" i="7"/>
  <c r="E1134" i="7"/>
  <c r="F1134" i="7"/>
  <c r="G1134" i="7"/>
  <c r="H1134" i="7"/>
  <c r="I1134" i="7"/>
  <c r="A1135" i="7"/>
  <c r="B1135" i="7"/>
  <c r="C1135" i="7"/>
  <c r="D1135" i="7"/>
  <c r="E1135" i="7"/>
  <c r="F1135" i="7"/>
  <c r="G1135" i="7"/>
  <c r="H1135" i="7"/>
  <c r="I1135" i="7"/>
  <c r="A1136" i="7"/>
  <c r="B1136" i="7"/>
  <c r="C1136" i="7"/>
  <c r="D1136" i="7"/>
  <c r="E1136" i="7"/>
  <c r="F1136" i="7"/>
  <c r="G1136" i="7"/>
  <c r="H1136" i="7"/>
  <c r="I1136" i="7"/>
  <c r="A1137" i="7"/>
  <c r="B1137" i="7"/>
  <c r="C1137" i="7"/>
  <c r="D1137" i="7"/>
  <c r="E1137" i="7"/>
  <c r="F1137" i="7"/>
  <c r="G1137" i="7"/>
  <c r="H1137" i="7"/>
  <c r="I1137" i="7"/>
  <c r="A1138" i="7"/>
  <c r="B1138" i="7"/>
  <c r="C1138" i="7"/>
  <c r="D1138" i="7"/>
  <c r="E1138" i="7"/>
  <c r="F1138" i="7"/>
  <c r="G1138" i="7"/>
  <c r="H1138" i="7"/>
  <c r="I1138" i="7"/>
  <c r="A1139" i="7"/>
  <c r="B1139" i="7"/>
  <c r="C1139" i="7"/>
  <c r="D1139" i="7"/>
  <c r="E1139" i="7"/>
  <c r="F1139" i="7"/>
  <c r="G1139" i="7"/>
  <c r="H1139" i="7"/>
  <c r="I1139" i="7"/>
  <c r="A1140" i="7"/>
  <c r="B1140" i="7"/>
  <c r="C1140" i="7"/>
  <c r="D1140" i="7"/>
  <c r="E1140" i="7"/>
  <c r="F1140" i="7"/>
  <c r="G1140" i="7"/>
  <c r="H1140" i="7"/>
  <c r="I1140" i="7"/>
  <c r="A1141" i="7"/>
  <c r="B1141" i="7"/>
  <c r="C1141" i="7"/>
  <c r="D1141" i="7"/>
  <c r="E1141" i="7"/>
  <c r="F1141" i="7"/>
  <c r="G1141" i="7"/>
  <c r="H1141" i="7"/>
  <c r="I1141" i="7"/>
  <c r="A1142" i="7"/>
  <c r="B1142" i="7"/>
  <c r="C1142" i="7"/>
  <c r="D1142" i="7"/>
  <c r="E1142" i="7"/>
  <c r="F1142" i="7"/>
  <c r="G1142" i="7"/>
  <c r="H1142" i="7"/>
  <c r="I1142" i="7"/>
  <c r="A1143" i="7"/>
  <c r="B1143" i="7"/>
  <c r="C1143" i="7"/>
  <c r="D1143" i="7"/>
  <c r="E1143" i="7"/>
  <c r="F1143" i="7"/>
  <c r="G1143" i="7"/>
  <c r="H1143" i="7"/>
  <c r="I1143" i="7"/>
  <c r="A1144" i="7"/>
  <c r="B1144" i="7"/>
  <c r="C1144" i="7"/>
  <c r="D1144" i="7"/>
  <c r="E1144" i="7"/>
  <c r="F1144" i="7"/>
  <c r="G1144" i="7"/>
  <c r="H1144" i="7"/>
  <c r="I1144" i="7"/>
  <c r="A1145" i="7"/>
  <c r="B1145" i="7"/>
  <c r="C1145" i="7"/>
  <c r="D1145" i="7"/>
  <c r="E1145" i="7"/>
  <c r="F1145" i="7"/>
  <c r="G1145" i="7"/>
  <c r="H1145" i="7"/>
  <c r="I1145" i="7"/>
  <c r="A1146" i="7"/>
  <c r="B1146" i="7"/>
  <c r="C1146" i="7"/>
  <c r="D1146" i="7"/>
  <c r="E1146" i="7"/>
  <c r="F1146" i="7"/>
  <c r="G1146" i="7"/>
  <c r="H1146" i="7"/>
  <c r="I1146" i="7"/>
  <c r="A1147" i="7"/>
  <c r="B1147" i="7"/>
  <c r="C1147" i="7"/>
  <c r="D1147" i="7"/>
  <c r="E1147" i="7"/>
  <c r="F1147" i="7"/>
  <c r="G1147" i="7"/>
  <c r="H1147" i="7"/>
  <c r="I1147" i="7"/>
  <c r="A1148" i="7"/>
  <c r="B1148" i="7"/>
  <c r="C1148" i="7"/>
  <c r="D1148" i="7"/>
  <c r="E1148" i="7"/>
  <c r="F1148" i="7"/>
  <c r="G1148" i="7"/>
  <c r="H1148" i="7"/>
  <c r="I1148" i="7"/>
  <c r="A1149" i="7"/>
  <c r="B1149" i="7"/>
  <c r="C1149" i="7"/>
  <c r="D1149" i="7"/>
  <c r="E1149" i="7"/>
  <c r="F1149" i="7"/>
  <c r="G1149" i="7"/>
  <c r="H1149" i="7"/>
  <c r="I1149" i="7"/>
  <c r="A1150" i="7"/>
  <c r="B1150" i="7"/>
  <c r="C1150" i="7"/>
  <c r="D1150" i="7"/>
  <c r="E1150" i="7"/>
  <c r="F1150" i="7"/>
  <c r="G1150" i="7"/>
  <c r="H1150" i="7"/>
  <c r="I1150" i="7"/>
  <c r="A1151" i="7"/>
  <c r="B1151" i="7"/>
  <c r="C1151" i="7"/>
  <c r="D1151" i="7"/>
  <c r="E1151" i="7"/>
  <c r="F1151" i="7"/>
  <c r="G1151" i="7"/>
  <c r="H1151" i="7"/>
  <c r="I1151" i="7"/>
  <c r="A1152" i="7"/>
  <c r="B1152" i="7"/>
  <c r="C1152" i="7"/>
  <c r="D1152" i="7"/>
  <c r="E1152" i="7"/>
  <c r="F1152" i="7"/>
  <c r="G1152" i="7"/>
  <c r="H1152" i="7"/>
  <c r="I1152" i="7"/>
  <c r="A1153" i="7"/>
  <c r="B1153" i="7"/>
  <c r="C1153" i="7"/>
  <c r="D1153" i="7"/>
  <c r="E1153" i="7"/>
  <c r="F1153" i="7"/>
  <c r="G1153" i="7"/>
  <c r="H1153" i="7"/>
  <c r="I1153" i="7"/>
  <c r="A1154" i="7"/>
  <c r="B1154" i="7"/>
  <c r="C1154" i="7"/>
  <c r="D1154" i="7"/>
  <c r="E1154" i="7"/>
  <c r="F1154" i="7"/>
  <c r="G1154" i="7"/>
  <c r="H1154" i="7"/>
  <c r="I1154" i="7"/>
  <c r="A1155" i="7"/>
  <c r="B1155" i="7"/>
  <c r="C1155" i="7"/>
  <c r="D1155" i="7"/>
  <c r="E1155" i="7"/>
  <c r="F1155" i="7"/>
  <c r="G1155" i="7"/>
  <c r="H1155" i="7"/>
  <c r="I1155" i="7"/>
  <c r="A1156" i="7"/>
  <c r="B1156" i="7"/>
  <c r="C1156" i="7"/>
  <c r="D1156" i="7"/>
  <c r="E1156" i="7"/>
  <c r="F1156" i="7"/>
  <c r="G1156" i="7"/>
  <c r="H1156" i="7"/>
  <c r="I1156" i="7"/>
  <c r="A1157" i="7"/>
  <c r="B1157" i="7"/>
  <c r="C1157" i="7"/>
  <c r="D1157" i="7"/>
  <c r="E1157" i="7"/>
  <c r="F1157" i="7"/>
  <c r="G1157" i="7"/>
  <c r="H1157" i="7"/>
  <c r="I1157" i="7"/>
  <c r="A1158" i="7"/>
  <c r="B1158" i="7"/>
  <c r="C1158" i="7"/>
  <c r="D1158" i="7"/>
  <c r="E1158" i="7"/>
  <c r="F1158" i="7"/>
  <c r="G1158" i="7"/>
  <c r="H1158" i="7"/>
  <c r="I1158" i="7"/>
  <c r="A1159" i="7"/>
  <c r="B1159" i="7"/>
  <c r="C1159" i="7"/>
  <c r="D1159" i="7"/>
  <c r="E1159" i="7"/>
  <c r="F1159" i="7"/>
  <c r="G1159" i="7"/>
  <c r="H1159" i="7"/>
  <c r="I1159" i="7"/>
  <c r="A1160" i="7"/>
  <c r="B1160" i="7"/>
  <c r="C1160" i="7"/>
  <c r="D1160" i="7"/>
  <c r="E1160" i="7"/>
  <c r="F1160" i="7"/>
  <c r="G1160" i="7"/>
  <c r="H1160" i="7"/>
  <c r="I1160" i="7"/>
  <c r="A1161" i="7"/>
  <c r="B1161" i="7"/>
  <c r="C1161" i="7"/>
  <c r="D1161" i="7"/>
  <c r="E1161" i="7"/>
  <c r="F1161" i="7"/>
  <c r="G1161" i="7"/>
  <c r="H1161" i="7"/>
  <c r="I1161" i="7"/>
  <c r="A1162" i="7"/>
  <c r="B1162" i="7"/>
  <c r="C1162" i="7"/>
  <c r="D1162" i="7"/>
  <c r="E1162" i="7"/>
  <c r="F1162" i="7"/>
  <c r="G1162" i="7"/>
  <c r="H1162" i="7"/>
  <c r="I1162" i="7"/>
  <c r="A1163" i="7"/>
  <c r="B1163" i="7"/>
  <c r="C1163" i="7"/>
  <c r="D1163" i="7"/>
  <c r="E1163" i="7"/>
  <c r="F1163" i="7"/>
  <c r="G1163" i="7"/>
  <c r="H1163" i="7"/>
  <c r="I1163" i="7"/>
  <c r="A1164" i="7"/>
  <c r="B1164" i="7"/>
  <c r="C1164" i="7"/>
  <c r="D1164" i="7"/>
  <c r="E1164" i="7"/>
  <c r="F1164" i="7"/>
  <c r="G1164" i="7"/>
  <c r="H1164" i="7"/>
  <c r="I1164" i="7"/>
  <c r="A1165" i="7"/>
  <c r="B1165" i="7"/>
  <c r="C1165" i="7"/>
  <c r="D1165" i="7"/>
  <c r="E1165" i="7"/>
  <c r="F1165" i="7"/>
  <c r="G1165" i="7"/>
  <c r="H1165" i="7"/>
  <c r="I1165" i="7"/>
  <c r="A1166" i="7"/>
  <c r="B1166" i="7"/>
  <c r="C1166" i="7"/>
  <c r="D1166" i="7"/>
  <c r="E1166" i="7"/>
  <c r="F1166" i="7"/>
  <c r="G1166" i="7"/>
  <c r="H1166" i="7"/>
  <c r="I1166" i="7"/>
  <c r="A1167" i="7"/>
  <c r="B1167" i="7"/>
  <c r="C1167" i="7"/>
  <c r="D1167" i="7"/>
  <c r="E1167" i="7"/>
  <c r="F1167" i="7"/>
  <c r="G1167" i="7"/>
  <c r="H1167" i="7"/>
  <c r="I1167" i="7"/>
  <c r="A1168" i="7"/>
  <c r="B1168" i="7"/>
  <c r="C1168" i="7"/>
  <c r="D1168" i="7"/>
  <c r="E1168" i="7"/>
  <c r="F1168" i="7"/>
  <c r="G1168" i="7"/>
  <c r="H1168" i="7"/>
  <c r="I1168" i="7"/>
  <c r="A1169" i="7"/>
  <c r="B1169" i="7"/>
  <c r="C1169" i="7"/>
  <c r="D1169" i="7"/>
  <c r="E1169" i="7"/>
  <c r="F1169" i="7"/>
  <c r="G1169" i="7"/>
  <c r="H1169" i="7"/>
  <c r="I1169" i="7"/>
  <c r="A1170" i="7"/>
  <c r="B1170" i="7"/>
  <c r="C1170" i="7"/>
  <c r="D1170" i="7"/>
  <c r="E1170" i="7"/>
  <c r="F1170" i="7"/>
  <c r="G1170" i="7"/>
  <c r="H1170" i="7"/>
  <c r="I1170" i="7"/>
  <c r="A1171" i="7"/>
  <c r="B1171" i="7"/>
  <c r="C1171" i="7"/>
  <c r="D1171" i="7"/>
  <c r="E1171" i="7"/>
  <c r="F1171" i="7"/>
  <c r="G1171" i="7"/>
  <c r="H1171" i="7"/>
  <c r="I1171" i="7"/>
  <c r="A1172" i="7"/>
  <c r="B1172" i="7"/>
  <c r="C1172" i="7"/>
  <c r="D1172" i="7"/>
  <c r="E1172" i="7"/>
  <c r="F1172" i="7"/>
  <c r="G1172" i="7"/>
  <c r="H1172" i="7"/>
  <c r="I1172" i="7"/>
  <c r="A1173" i="7"/>
  <c r="B1173" i="7"/>
  <c r="C1173" i="7"/>
  <c r="D1173" i="7"/>
  <c r="E1173" i="7"/>
  <c r="F1173" i="7"/>
  <c r="G1173" i="7"/>
  <c r="H1173" i="7"/>
  <c r="I1173" i="7"/>
  <c r="A1174" i="7"/>
  <c r="B1174" i="7"/>
  <c r="C1174" i="7"/>
  <c r="D1174" i="7"/>
  <c r="E1174" i="7"/>
  <c r="F1174" i="7"/>
  <c r="G1174" i="7"/>
  <c r="H1174" i="7"/>
  <c r="I1174" i="7"/>
  <c r="A1175" i="7"/>
  <c r="B1175" i="7"/>
  <c r="C1175" i="7"/>
  <c r="D1175" i="7"/>
  <c r="E1175" i="7"/>
  <c r="F1175" i="7"/>
  <c r="G1175" i="7"/>
  <c r="H1175" i="7"/>
  <c r="I1175" i="7"/>
  <c r="A1176" i="7"/>
  <c r="B1176" i="7"/>
  <c r="C1176" i="7"/>
  <c r="D1176" i="7"/>
  <c r="E1176" i="7"/>
  <c r="F1176" i="7"/>
  <c r="G1176" i="7"/>
  <c r="H1176" i="7"/>
  <c r="I1176" i="7"/>
  <c r="A1177" i="7"/>
  <c r="B1177" i="7"/>
  <c r="C1177" i="7"/>
  <c r="D1177" i="7"/>
  <c r="E1177" i="7"/>
  <c r="F1177" i="7"/>
  <c r="G1177" i="7"/>
  <c r="H1177" i="7"/>
  <c r="I1177" i="7"/>
  <c r="A1178" i="7"/>
  <c r="B1178" i="7"/>
  <c r="C1178" i="7"/>
  <c r="D1178" i="7"/>
  <c r="E1178" i="7"/>
  <c r="F1178" i="7"/>
  <c r="G1178" i="7"/>
  <c r="H1178" i="7"/>
  <c r="I1178" i="7"/>
  <c r="A1179" i="7"/>
  <c r="B1179" i="7"/>
  <c r="C1179" i="7"/>
  <c r="D1179" i="7"/>
  <c r="E1179" i="7"/>
  <c r="F1179" i="7"/>
  <c r="G1179" i="7"/>
  <c r="H1179" i="7"/>
  <c r="I1179" i="7"/>
  <c r="A1180" i="7"/>
  <c r="B1180" i="7"/>
  <c r="C1180" i="7"/>
  <c r="D1180" i="7"/>
  <c r="E1180" i="7"/>
  <c r="F1180" i="7"/>
  <c r="G1180" i="7"/>
  <c r="H1180" i="7"/>
  <c r="I1180" i="7"/>
  <c r="A1181" i="7"/>
  <c r="B1181" i="7"/>
  <c r="C1181" i="7"/>
  <c r="D1181" i="7"/>
  <c r="E1181" i="7"/>
  <c r="F1181" i="7"/>
  <c r="G1181" i="7"/>
  <c r="H1181" i="7"/>
  <c r="I1181" i="7"/>
  <c r="A1182" i="7"/>
  <c r="B1182" i="7"/>
  <c r="C1182" i="7"/>
  <c r="D1182" i="7"/>
  <c r="E1182" i="7"/>
  <c r="F1182" i="7"/>
  <c r="G1182" i="7"/>
  <c r="H1182" i="7"/>
  <c r="I1182" i="7"/>
  <c r="A1183" i="7"/>
  <c r="B1183" i="7"/>
  <c r="C1183" i="7"/>
  <c r="D1183" i="7"/>
  <c r="E1183" i="7"/>
  <c r="F1183" i="7"/>
  <c r="G1183" i="7"/>
  <c r="H1183" i="7"/>
  <c r="I1183" i="7"/>
  <c r="A1184" i="7"/>
  <c r="B1184" i="7"/>
  <c r="C1184" i="7"/>
  <c r="D1184" i="7"/>
  <c r="E1184" i="7"/>
  <c r="F1184" i="7"/>
  <c r="G1184" i="7"/>
  <c r="H1184" i="7"/>
  <c r="I1184" i="7"/>
  <c r="A1185" i="7"/>
  <c r="B1185" i="7"/>
  <c r="C1185" i="7"/>
  <c r="D1185" i="7"/>
  <c r="E1185" i="7"/>
  <c r="F1185" i="7"/>
  <c r="G1185" i="7"/>
  <c r="H1185" i="7"/>
  <c r="I1185" i="7"/>
  <c r="A1186" i="7"/>
  <c r="B1186" i="7"/>
  <c r="C1186" i="7"/>
  <c r="D1186" i="7"/>
  <c r="E1186" i="7"/>
  <c r="F1186" i="7"/>
  <c r="G1186" i="7"/>
  <c r="H1186" i="7"/>
  <c r="I1186" i="7"/>
  <c r="A1187" i="7"/>
  <c r="B1187" i="7"/>
  <c r="C1187" i="7"/>
  <c r="D1187" i="7"/>
  <c r="E1187" i="7"/>
  <c r="F1187" i="7"/>
  <c r="G1187" i="7"/>
  <c r="H1187" i="7"/>
  <c r="I1187" i="7"/>
  <c r="A1188" i="7"/>
  <c r="B1188" i="7"/>
  <c r="C1188" i="7"/>
  <c r="D1188" i="7"/>
  <c r="E1188" i="7"/>
  <c r="F1188" i="7"/>
  <c r="G1188" i="7"/>
  <c r="H1188" i="7"/>
  <c r="I1188" i="7"/>
  <c r="A1189" i="7"/>
  <c r="B1189" i="7"/>
  <c r="C1189" i="7"/>
  <c r="D1189" i="7"/>
  <c r="E1189" i="7"/>
  <c r="F1189" i="7"/>
  <c r="G1189" i="7"/>
  <c r="H1189" i="7"/>
  <c r="I1189" i="7"/>
  <c r="A1190" i="7"/>
  <c r="B1190" i="7"/>
  <c r="C1190" i="7"/>
  <c r="D1190" i="7"/>
  <c r="E1190" i="7"/>
  <c r="F1190" i="7"/>
  <c r="G1190" i="7"/>
  <c r="H1190" i="7"/>
  <c r="I1190" i="7"/>
  <c r="A1191" i="7"/>
  <c r="B1191" i="7"/>
  <c r="C1191" i="7"/>
  <c r="D1191" i="7"/>
  <c r="E1191" i="7"/>
  <c r="F1191" i="7"/>
  <c r="G1191" i="7"/>
  <c r="H1191" i="7"/>
  <c r="I1191" i="7"/>
  <c r="A1192" i="7"/>
  <c r="B1192" i="7"/>
  <c r="C1192" i="7"/>
  <c r="D1192" i="7"/>
  <c r="E1192" i="7"/>
  <c r="F1192" i="7"/>
  <c r="G1192" i="7"/>
  <c r="H1192" i="7"/>
  <c r="I1192" i="7"/>
  <c r="A1193" i="7"/>
  <c r="B1193" i="7"/>
  <c r="C1193" i="7"/>
  <c r="D1193" i="7"/>
  <c r="E1193" i="7"/>
  <c r="F1193" i="7"/>
  <c r="G1193" i="7"/>
  <c r="H1193" i="7"/>
  <c r="I1193" i="7"/>
  <c r="A1194" i="7"/>
  <c r="B1194" i="7"/>
  <c r="C1194" i="7"/>
  <c r="D1194" i="7"/>
  <c r="E1194" i="7"/>
  <c r="F1194" i="7"/>
  <c r="G1194" i="7"/>
  <c r="H1194" i="7"/>
  <c r="I1194" i="7"/>
  <c r="A1195" i="7"/>
  <c r="B1195" i="7"/>
  <c r="C1195" i="7"/>
  <c r="D1195" i="7"/>
  <c r="E1195" i="7"/>
  <c r="F1195" i="7"/>
  <c r="G1195" i="7"/>
  <c r="H1195" i="7"/>
  <c r="I1195" i="7"/>
  <c r="A1196" i="7"/>
  <c r="B1196" i="7"/>
  <c r="C1196" i="7"/>
  <c r="D1196" i="7"/>
  <c r="E1196" i="7"/>
  <c r="F1196" i="7"/>
  <c r="G1196" i="7"/>
  <c r="H1196" i="7"/>
  <c r="I1196" i="7"/>
  <c r="A1197" i="7"/>
  <c r="B1197" i="7"/>
  <c r="C1197" i="7"/>
  <c r="D1197" i="7"/>
  <c r="E1197" i="7"/>
  <c r="F1197" i="7"/>
  <c r="G1197" i="7"/>
  <c r="H1197" i="7"/>
  <c r="I1197" i="7"/>
  <c r="A1198" i="7"/>
  <c r="B1198" i="7"/>
  <c r="C1198" i="7"/>
  <c r="D1198" i="7"/>
  <c r="E1198" i="7"/>
  <c r="F1198" i="7"/>
  <c r="G1198" i="7"/>
  <c r="H1198" i="7"/>
  <c r="I1198" i="7"/>
  <c r="A1199" i="7"/>
  <c r="B1199" i="7"/>
  <c r="C1199" i="7"/>
  <c r="D1199" i="7"/>
  <c r="E1199" i="7"/>
  <c r="F1199" i="7"/>
  <c r="G1199" i="7"/>
  <c r="H1199" i="7"/>
  <c r="I1199" i="7"/>
  <c r="A1200" i="7"/>
  <c r="B1200" i="7"/>
  <c r="C1200" i="7"/>
  <c r="D1200" i="7"/>
  <c r="E1200" i="7"/>
  <c r="F1200" i="7"/>
  <c r="G1200" i="7"/>
  <c r="H1200" i="7"/>
  <c r="I1200" i="7"/>
  <c r="A1201" i="7"/>
  <c r="B1201" i="7"/>
  <c r="C1201" i="7"/>
  <c r="D1201" i="7"/>
  <c r="E1201" i="7"/>
  <c r="F1201" i="7"/>
  <c r="G1201" i="7"/>
  <c r="H1201" i="7"/>
  <c r="I1201" i="7"/>
  <c r="A1202" i="7"/>
  <c r="B1202" i="7"/>
  <c r="C1202" i="7"/>
  <c r="D1202" i="7"/>
  <c r="E1202" i="7"/>
  <c r="F1202" i="7"/>
  <c r="G1202" i="7"/>
  <c r="H1202" i="7"/>
  <c r="I1202" i="7"/>
  <c r="A1203" i="7"/>
  <c r="B1203" i="7"/>
  <c r="C1203" i="7"/>
  <c r="D1203" i="7"/>
  <c r="E1203" i="7"/>
  <c r="F1203" i="7"/>
  <c r="G1203" i="7"/>
  <c r="H1203" i="7"/>
  <c r="I1203" i="7"/>
  <c r="A1204" i="7"/>
  <c r="B1204" i="7"/>
  <c r="C1204" i="7"/>
  <c r="D1204" i="7"/>
  <c r="E1204" i="7"/>
  <c r="F1204" i="7"/>
  <c r="G1204" i="7"/>
  <c r="H1204" i="7"/>
  <c r="I1204" i="7"/>
  <c r="A1205" i="7"/>
  <c r="B1205" i="7"/>
  <c r="C1205" i="7"/>
  <c r="D1205" i="7"/>
  <c r="E1205" i="7"/>
  <c r="F1205" i="7"/>
  <c r="G1205" i="7"/>
  <c r="H1205" i="7"/>
  <c r="I1205" i="7"/>
  <c r="A1206" i="7"/>
  <c r="B1206" i="7"/>
  <c r="C1206" i="7"/>
  <c r="D1206" i="7"/>
  <c r="E1206" i="7"/>
  <c r="F1206" i="7"/>
  <c r="G1206" i="7"/>
  <c r="H1206" i="7"/>
  <c r="I1206" i="7"/>
  <c r="A1207" i="7"/>
  <c r="B1207" i="7"/>
  <c r="C1207" i="7"/>
  <c r="D1207" i="7"/>
  <c r="E1207" i="7"/>
  <c r="F1207" i="7"/>
  <c r="G1207" i="7"/>
  <c r="H1207" i="7"/>
  <c r="I1207" i="7"/>
  <c r="A1208" i="7"/>
  <c r="B1208" i="7"/>
  <c r="C1208" i="7"/>
  <c r="D1208" i="7"/>
  <c r="E1208" i="7"/>
  <c r="F1208" i="7"/>
  <c r="G1208" i="7"/>
  <c r="H1208" i="7"/>
  <c r="I1208" i="7"/>
  <c r="A1209" i="7"/>
  <c r="B1209" i="7"/>
  <c r="C1209" i="7"/>
  <c r="D1209" i="7"/>
  <c r="E1209" i="7"/>
  <c r="F1209" i="7"/>
  <c r="G1209" i="7"/>
  <c r="H1209" i="7"/>
  <c r="I1209" i="7"/>
  <c r="A1210" i="7"/>
  <c r="B1210" i="7"/>
  <c r="C1210" i="7"/>
  <c r="D1210" i="7"/>
  <c r="E1210" i="7"/>
  <c r="F1210" i="7"/>
  <c r="G1210" i="7"/>
  <c r="H1210" i="7"/>
  <c r="I1210" i="7"/>
  <c r="A1211" i="7"/>
  <c r="B1211" i="7"/>
  <c r="C1211" i="7"/>
  <c r="D1211" i="7"/>
  <c r="E1211" i="7"/>
  <c r="F1211" i="7"/>
  <c r="G1211" i="7"/>
  <c r="H1211" i="7"/>
  <c r="I1211" i="7"/>
  <c r="A1212" i="7"/>
  <c r="B1212" i="7"/>
  <c r="C1212" i="7"/>
  <c r="D1212" i="7"/>
  <c r="E1212" i="7"/>
  <c r="F1212" i="7"/>
  <c r="G1212" i="7"/>
  <c r="H1212" i="7"/>
  <c r="I1212" i="7"/>
  <c r="A1213" i="7"/>
  <c r="B1213" i="7"/>
  <c r="C1213" i="7"/>
  <c r="D1213" i="7"/>
  <c r="E1213" i="7"/>
  <c r="F1213" i="7"/>
  <c r="G1213" i="7"/>
  <c r="H1213" i="7"/>
  <c r="I1213" i="7"/>
  <c r="A1214" i="7"/>
  <c r="B1214" i="7"/>
  <c r="C1214" i="7"/>
  <c r="D1214" i="7"/>
  <c r="E1214" i="7"/>
  <c r="F1214" i="7"/>
  <c r="G1214" i="7"/>
  <c r="H1214" i="7"/>
  <c r="I1214" i="7"/>
  <c r="A1215" i="7"/>
  <c r="B1215" i="7"/>
  <c r="C1215" i="7"/>
  <c r="D1215" i="7"/>
  <c r="E1215" i="7"/>
  <c r="F1215" i="7"/>
  <c r="G1215" i="7"/>
  <c r="H1215" i="7"/>
  <c r="I1215" i="7"/>
  <c r="A1216" i="7"/>
  <c r="B1216" i="7"/>
  <c r="C1216" i="7"/>
  <c r="D1216" i="7"/>
  <c r="E1216" i="7"/>
  <c r="F1216" i="7"/>
  <c r="G1216" i="7"/>
  <c r="H1216" i="7"/>
  <c r="I1216" i="7"/>
  <c r="A1217" i="7"/>
  <c r="B1217" i="7"/>
  <c r="C1217" i="7"/>
  <c r="D1217" i="7"/>
  <c r="E1217" i="7"/>
  <c r="F1217" i="7"/>
  <c r="G1217" i="7"/>
  <c r="H1217" i="7"/>
  <c r="I1217" i="7"/>
  <c r="A1218" i="7"/>
  <c r="B1218" i="7"/>
  <c r="C1218" i="7"/>
  <c r="D1218" i="7"/>
  <c r="E1218" i="7"/>
  <c r="F1218" i="7"/>
  <c r="G1218" i="7"/>
  <c r="H1218" i="7"/>
  <c r="I1218" i="7"/>
  <c r="A1219" i="7"/>
  <c r="B1219" i="7"/>
  <c r="C1219" i="7"/>
  <c r="D1219" i="7"/>
  <c r="E1219" i="7"/>
  <c r="F1219" i="7"/>
  <c r="G1219" i="7"/>
  <c r="H1219" i="7"/>
  <c r="I1219" i="7"/>
  <c r="A1220" i="7"/>
  <c r="B1220" i="7"/>
  <c r="C1220" i="7"/>
  <c r="D1220" i="7"/>
  <c r="E1220" i="7"/>
  <c r="F1220" i="7"/>
  <c r="G1220" i="7"/>
  <c r="H1220" i="7"/>
  <c r="I1220" i="7"/>
  <c r="A1221" i="7"/>
  <c r="B1221" i="7"/>
  <c r="C1221" i="7"/>
  <c r="D1221" i="7"/>
  <c r="E1221" i="7"/>
  <c r="F1221" i="7"/>
  <c r="G1221" i="7"/>
  <c r="H1221" i="7"/>
  <c r="I1221" i="7"/>
  <c r="A1222" i="7"/>
  <c r="B1222" i="7"/>
  <c r="C1222" i="7"/>
  <c r="D1222" i="7"/>
  <c r="E1222" i="7"/>
  <c r="F1222" i="7"/>
  <c r="G1222" i="7"/>
  <c r="H1222" i="7"/>
  <c r="I1222" i="7"/>
  <c r="A1223" i="7"/>
  <c r="B1223" i="7"/>
  <c r="C1223" i="7"/>
  <c r="D1223" i="7"/>
  <c r="E1223" i="7"/>
  <c r="F1223" i="7"/>
  <c r="G1223" i="7"/>
  <c r="H1223" i="7"/>
  <c r="I1223" i="7"/>
  <c r="A1224" i="7"/>
  <c r="B1224" i="7"/>
  <c r="C1224" i="7"/>
  <c r="D1224" i="7"/>
  <c r="E1224" i="7"/>
  <c r="F1224" i="7"/>
  <c r="G1224" i="7"/>
  <c r="H1224" i="7"/>
  <c r="I1224" i="7"/>
  <c r="A1225" i="7"/>
  <c r="B1225" i="7"/>
  <c r="C1225" i="7"/>
  <c r="D1225" i="7"/>
  <c r="E1225" i="7"/>
  <c r="F1225" i="7"/>
  <c r="G1225" i="7"/>
  <c r="H1225" i="7"/>
  <c r="I1225" i="7"/>
  <c r="A1226" i="7"/>
  <c r="B1226" i="7"/>
  <c r="C1226" i="7"/>
  <c r="D1226" i="7"/>
  <c r="E1226" i="7"/>
  <c r="F1226" i="7"/>
  <c r="G1226" i="7"/>
  <c r="H1226" i="7"/>
  <c r="I1226" i="7"/>
  <c r="A1227" i="7"/>
  <c r="B1227" i="7"/>
  <c r="C1227" i="7"/>
  <c r="D1227" i="7"/>
  <c r="E1227" i="7"/>
  <c r="F1227" i="7"/>
  <c r="G1227" i="7"/>
  <c r="H1227" i="7"/>
  <c r="I1227" i="7"/>
  <c r="A1228" i="7"/>
  <c r="B1228" i="7"/>
  <c r="C1228" i="7"/>
  <c r="D1228" i="7"/>
  <c r="E1228" i="7"/>
  <c r="F1228" i="7"/>
  <c r="G1228" i="7"/>
  <c r="H1228" i="7"/>
  <c r="I1228" i="7"/>
  <c r="A1229" i="7"/>
  <c r="B1229" i="7"/>
  <c r="C1229" i="7"/>
  <c r="D1229" i="7"/>
  <c r="E1229" i="7"/>
  <c r="F1229" i="7"/>
  <c r="G1229" i="7"/>
  <c r="H1229" i="7"/>
  <c r="I1229" i="7"/>
  <c r="A1230" i="7"/>
  <c r="B1230" i="7"/>
  <c r="C1230" i="7"/>
  <c r="D1230" i="7"/>
  <c r="E1230" i="7"/>
  <c r="F1230" i="7"/>
  <c r="G1230" i="7"/>
  <c r="H1230" i="7"/>
  <c r="I1230" i="7"/>
  <c r="A1231" i="7"/>
  <c r="B1231" i="7"/>
  <c r="C1231" i="7"/>
  <c r="D1231" i="7"/>
  <c r="E1231" i="7"/>
  <c r="F1231" i="7"/>
  <c r="G1231" i="7"/>
  <c r="H1231" i="7"/>
  <c r="I1231" i="7"/>
  <c r="A1232" i="7"/>
  <c r="B1232" i="7"/>
  <c r="C1232" i="7"/>
  <c r="D1232" i="7"/>
  <c r="E1232" i="7"/>
  <c r="F1232" i="7"/>
  <c r="G1232" i="7"/>
  <c r="H1232" i="7"/>
  <c r="I1232" i="7"/>
  <c r="A1233" i="7"/>
  <c r="B1233" i="7"/>
  <c r="C1233" i="7"/>
  <c r="D1233" i="7"/>
  <c r="E1233" i="7"/>
  <c r="F1233" i="7"/>
  <c r="G1233" i="7"/>
  <c r="H1233" i="7"/>
  <c r="I1233" i="7"/>
  <c r="A1234" i="7"/>
  <c r="B1234" i="7"/>
  <c r="C1234" i="7"/>
  <c r="D1234" i="7"/>
  <c r="E1234" i="7"/>
  <c r="F1234" i="7"/>
  <c r="G1234" i="7"/>
  <c r="H1234" i="7"/>
  <c r="I1234" i="7"/>
  <c r="A1235" i="7"/>
  <c r="B1235" i="7"/>
  <c r="C1235" i="7"/>
  <c r="D1235" i="7"/>
  <c r="E1235" i="7"/>
  <c r="F1235" i="7"/>
  <c r="G1235" i="7"/>
  <c r="H1235" i="7"/>
  <c r="I1235" i="7"/>
  <c r="A1236" i="7"/>
  <c r="B1236" i="7"/>
  <c r="C1236" i="7"/>
  <c r="D1236" i="7"/>
  <c r="E1236" i="7"/>
  <c r="F1236" i="7"/>
  <c r="G1236" i="7"/>
  <c r="H1236" i="7"/>
  <c r="I1236" i="7"/>
  <c r="A1237" i="7"/>
  <c r="B1237" i="7"/>
  <c r="C1237" i="7"/>
  <c r="D1237" i="7"/>
  <c r="E1237" i="7"/>
  <c r="F1237" i="7"/>
  <c r="G1237" i="7"/>
  <c r="H1237" i="7"/>
  <c r="I1237" i="7"/>
  <c r="A1238" i="7"/>
  <c r="B1238" i="7"/>
  <c r="C1238" i="7"/>
  <c r="D1238" i="7"/>
  <c r="E1238" i="7"/>
  <c r="F1238" i="7"/>
  <c r="G1238" i="7"/>
  <c r="H1238" i="7"/>
  <c r="I1238" i="7"/>
  <c r="A1239" i="7"/>
  <c r="B1239" i="7"/>
  <c r="C1239" i="7"/>
  <c r="D1239" i="7"/>
  <c r="E1239" i="7"/>
  <c r="F1239" i="7"/>
  <c r="G1239" i="7"/>
  <c r="H1239" i="7"/>
  <c r="I1239" i="7"/>
  <c r="A1240" i="7"/>
  <c r="B1240" i="7"/>
  <c r="C1240" i="7"/>
  <c r="D1240" i="7"/>
  <c r="E1240" i="7"/>
  <c r="F1240" i="7"/>
  <c r="G1240" i="7"/>
  <c r="H1240" i="7"/>
  <c r="I1240" i="7"/>
  <c r="A1241" i="7"/>
  <c r="B1241" i="7"/>
  <c r="C1241" i="7"/>
  <c r="D1241" i="7"/>
  <c r="E1241" i="7"/>
  <c r="F1241" i="7"/>
  <c r="G1241" i="7"/>
  <c r="H1241" i="7"/>
  <c r="I1241" i="7"/>
  <c r="A1242" i="7"/>
  <c r="B1242" i="7"/>
  <c r="C1242" i="7"/>
  <c r="D1242" i="7"/>
  <c r="E1242" i="7"/>
  <c r="F1242" i="7"/>
  <c r="G1242" i="7"/>
  <c r="H1242" i="7"/>
  <c r="I1242" i="7"/>
  <c r="A1243" i="7"/>
  <c r="B1243" i="7"/>
  <c r="C1243" i="7"/>
  <c r="D1243" i="7"/>
  <c r="E1243" i="7"/>
  <c r="F1243" i="7"/>
  <c r="G1243" i="7"/>
  <c r="H1243" i="7"/>
  <c r="I1243" i="7"/>
  <c r="A1244" i="7"/>
  <c r="B1244" i="7"/>
  <c r="C1244" i="7"/>
  <c r="D1244" i="7"/>
  <c r="E1244" i="7"/>
  <c r="F1244" i="7"/>
  <c r="G1244" i="7"/>
  <c r="H1244" i="7"/>
  <c r="I1244" i="7"/>
  <c r="A1245" i="7"/>
  <c r="B1245" i="7"/>
  <c r="C1245" i="7"/>
  <c r="D1245" i="7"/>
  <c r="E1245" i="7"/>
  <c r="F1245" i="7"/>
  <c r="G1245" i="7"/>
  <c r="H1245" i="7"/>
  <c r="I1245" i="7"/>
  <c r="A1246" i="7"/>
  <c r="B1246" i="7"/>
  <c r="C1246" i="7"/>
  <c r="D1246" i="7"/>
  <c r="E1246" i="7"/>
  <c r="F1246" i="7"/>
  <c r="G1246" i="7"/>
  <c r="H1246" i="7"/>
  <c r="I1246" i="7"/>
  <c r="A1247" i="7"/>
  <c r="B1247" i="7"/>
  <c r="C1247" i="7"/>
  <c r="D1247" i="7"/>
  <c r="E1247" i="7"/>
  <c r="F1247" i="7"/>
  <c r="G1247" i="7"/>
  <c r="H1247" i="7"/>
  <c r="I1247" i="7"/>
  <c r="A1248" i="7"/>
  <c r="B1248" i="7"/>
  <c r="C1248" i="7"/>
  <c r="D1248" i="7"/>
  <c r="E1248" i="7"/>
  <c r="F1248" i="7"/>
  <c r="G1248" i="7"/>
  <c r="H1248" i="7"/>
  <c r="I1248" i="7"/>
  <c r="A1249" i="7"/>
  <c r="B1249" i="7"/>
  <c r="C1249" i="7"/>
  <c r="D1249" i="7"/>
  <c r="E1249" i="7"/>
  <c r="F1249" i="7"/>
  <c r="G1249" i="7"/>
  <c r="H1249" i="7"/>
  <c r="I1249" i="7"/>
  <c r="A1250" i="7"/>
  <c r="B1250" i="7"/>
  <c r="C1250" i="7"/>
  <c r="D1250" i="7"/>
  <c r="E1250" i="7"/>
  <c r="F1250" i="7"/>
  <c r="G1250" i="7"/>
  <c r="H1250" i="7"/>
  <c r="I1250" i="7"/>
  <c r="A1251" i="7"/>
  <c r="B1251" i="7"/>
  <c r="C1251" i="7"/>
  <c r="D1251" i="7"/>
  <c r="E1251" i="7"/>
  <c r="F1251" i="7"/>
  <c r="G1251" i="7"/>
  <c r="H1251" i="7"/>
  <c r="I1251" i="7"/>
  <c r="A1252" i="7"/>
  <c r="B1252" i="7"/>
  <c r="C1252" i="7"/>
  <c r="D1252" i="7"/>
  <c r="E1252" i="7"/>
  <c r="F1252" i="7"/>
  <c r="G1252" i="7"/>
  <c r="H1252" i="7"/>
  <c r="I1252" i="7"/>
  <c r="A1253" i="7"/>
  <c r="B1253" i="7"/>
  <c r="C1253" i="7"/>
  <c r="D1253" i="7"/>
  <c r="E1253" i="7"/>
  <c r="F1253" i="7"/>
  <c r="G1253" i="7"/>
  <c r="H1253" i="7"/>
  <c r="I1253" i="7"/>
  <c r="A1254" i="7"/>
  <c r="B1254" i="7"/>
  <c r="C1254" i="7"/>
  <c r="D1254" i="7"/>
  <c r="E1254" i="7"/>
  <c r="F1254" i="7"/>
  <c r="G1254" i="7"/>
  <c r="H1254" i="7"/>
  <c r="I1254" i="7"/>
  <c r="A1255" i="7"/>
  <c r="B1255" i="7"/>
  <c r="C1255" i="7"/>
  <c r="D1255" i="7"/>
  <c r="E1255" i="7"/>
  <c r="F1255" i="7"/>
  <c r="G1255" i="7"/>
  <c r="H1255" i="7"/>
  <c r="I1255" i="7"/>
  <c r="A1256" i="7"/>
  <c r="B1256" i="7"/>
  <c r="C1256" i="7"/>
  <c r="D1256" i="7"/>
  <c r="E1256" i="7"/>
  <c r="F1256" i="7"/>
  <c r="G1256" i="7"/>
  <c r="H1256" i="7"/>
  <c r="I1256" i="7"/>
  <c r="A1257" i="7"/>
  <c r="B1257" i="7"/>
  <c r="C1257" i="7"/>
  <c r="D1257" i="7"/>
  <c r="E1257" i="7"/>
  <c r="F1257" i="7"/>
  <c r="G1257" i="7"/>
  <c r="H1257" i="7"/>
  <c r="I1257" i="7"/>
  <c r="A1258" i="7"/>
  <c r="B1258" i="7"/>
  <c r="C1258" i="7"/>
  <c r="D1258" i="7"/>
  <c r="E1258" i="7"/>
  <c r="F1258" i="7"/>
  <c r="G1258" i="7"/>
  <c r="H1258" i="7"/>
  <c r="I1258" i="7"/>
  <c r="A1259" i="7"/>
  <c r="B1259" i="7"/>
  <c r="C1259" i="7"/>
  <c r="D1259" i="7"/>
  <c r="E1259" i="7"/>
  <c r="F1259" i="7"/>
  <c r="G1259" i="7"/>
  <c r="H1259" i="7"/>
  <c r="I1259" i="7"/>
  <c r="A1260" i="7"/>
  <c r="B1260" i="7"/>
  <c r="C1260" i="7"/>
  <c r="D1260" i="7"/>
  <c r="E1260" i="7"/>
  <c r="F1260" i="7"/>
  <c r="G1260" i="7"/>
  <c r="H1260" i="7"/>
  <c r="I1260" i="7"/>
  <c r="A1261" i="7"/>
  <c r="B1261" i="7"/>
  <c r="C1261" i="7"/>
  <c r="D1261" i="7"/>
  <c r="E1261" i="7"/>
  <c r="F1261" i="7"/>
  <c r="G1261" i="7"/>
  <c r="H1261" i="7"/>
  <c r="I1261" i="7"/>
  <c r="A1262" i="7"/>
  <c r="B1262" i="7"/>
  <c r="C1262" i="7"/>
  <c r="D1262" i="7"/>
  <c r="E1262" i="7"/>
  <c r="F1262" i="7"/>
  <c r="G1262" i="7"/>
  <c r="H1262" i="7"/>
  <c r="I1262" i="7"/>
  <c r="A1263" i="7"/>
  <c r="B1263" i="7"/>
  <c r="C1263" i="7"/>
  <c r="D1263" i="7"/>
  <c r="E1263" i="7"/>
  <c r="F1263" i="7"/>
  <c r="G1263" i="7"/>
  <c r="H1263" i="7"/>
  <c r="I1263" i="7"/>
  <c r="A1264" i="7"/>
  <c r="B1264" i="7"/>
  <c r="C1264" i="7"/>
  <c r="D1264" i="7"/>
  <c r="E1264" i="7"/>
  <c r="F1264" i="7"/>
  <c r="G1264" i="7"/>
  <c r="H1264" i="7"/>
  <c r="I1264" i="7"/>
  <c r="A1265" i="7"/>
  <c r="B1265" i="7"/>
  <c r="C1265" i="7"/>
  <c r="D1265" i="7"/>
  <c r="E1265" i="7"/>
  <c r="F1265" i="7"/>
  <c r="G1265" i="7"/>
  <c r="H1265" i="7"/>
  <c r="I1265" i="7"/>
  <c r="A1266" i="7"/>
  <c r="B1266" i="7"/>
  <c r="C1266" i="7"/>
  <c r="D1266" i="7"/>
  <c r="E1266" i="7"/>
  <c r="F1266" i="7"/>
  <c r="G1266" i="7"/>
  <c r="H1266" i="7"/>
  <c r="I1266" i="7"/>
  <c r="A1267" i="7"/>
  <c r="B1267" i="7"/>
  <c r="C1267" i="7"/>
  <c r="D1267" i="7"/>
  <c r="E1267" i="7"/>
  <c r="F1267" i="7"/>
  <c r="G1267" i="7"/>
  <c r="H1267" i="7"/>
  <c r="I1267" i="7"/>
  <c r="A1268" i="7"/>
  <c r="B1268" i="7"/>
  <c r="C1268" i="7"/>
  <c r="D1268" i="7"/>
  <c r="E1268" i="7"/>
  <c r="F1268" i="7"/>
  <c r="G1268" i="7"/>
  <c r="H1268" i="7"/>
  <c r="I1268" i="7"/>
  <c r="A1269" i="7"/>
  <c r="B1269" i="7"/>
  <c r="C1269" i="7"/>
  <c r="D1269" i="7"/>
  <c r="E1269" i="7"/>
  <c r="F1269" i="7"/>
  <c r="G1269" i="7"/>
  <c r="H1269" i="7"/>
  <c r="I1269" i="7"/>
  <c r="A1270" i="7"/>
  <c r="B1270" i="7"/>
  <c r="C1270" i="7"/>
  <c r="D1270" i="7"/>
  <c r="E1270" i="7"/>
  <c r="F1270" i="7"/>
  <c r="G1270" i="7"/>
  <c r="H1270" i="7"/>
  <c r="I1270" i="7"/>
  <c r="A1271" i="7"/>
  <c r="B1271" i="7"/>
  <c r="C1271" i="7"/>
  <c r="D1271" i="7"/>
  <c r="E1271" i="7"/>
  <c r="F1271" i="7"/>
  <c r="G1271" i="7"/>
  <c r="H1271" i="7"/>
  <c r="I1271" i="7"/>
  <c r="A1272" i="7"/>
  <c r="B1272" i="7"/>
  <c r="C1272" i="7"/>
  <c r="D1272" i="7"/>
  <c r="E1272" i="7"/>
  <c r="F1272" i="7"/>
  <c r="G1272" i="7"/>
  <c r="H1272" i="7"/>
  <c r="I1272" i="7"/>
  <c r="A1273" i="7"/>
  <c r="B1273" i="7"/>
  <c r="C1273" i="7"/>
  <c r="D1273" i="7"/>
  <c r="E1273" i="7"/>
  <c r="F1273" i="7"/>
  <c r="G1273" i="7"/>
  <c r="H1273" i="7"/>
  <c r="I1273" i="7"/>
  <c r="A1274" i="7"/>
  <c r="B1274" i="7"/>
  <c r="C1274" i="7"/>
  <c r="D1274" i="7"/>
  <c r="E1274" i="7"/>
  <c r="F1274" i="7"/>
  <c r="G1274" i="7"/>
  <c r="H1274" i="7"/>
  <c r="I1274" i="7"/>
  <c r="A1275" i="7"/>
  <c r="B1275" i="7"/>
  <c r="C1275" i="7"/>
  <c r="D1275" i="7"/>
  <c r="E1275" i="7"/>
  <c r="F1275" i="7"/>
  <c r="G1275" i="7"/>
  <c r="H1275" i="7"/>
  <c r="I1275" i="7"/>
  <c r="A1276" i="7"/>
  <c r="B1276" i="7"/>
  <c r="C1276" i="7"/>
  <c r="D1276" i="7"/>
  <c r="E1276" i="7"/>
  <c r="F1276" i="7"/>
  <c r="G1276" i="7"/>
  <c r="H1276" i="7"/>
  <c r="I1276" i="7"/>
  <c r="A1277" i="7"/>
  <c r="B1277" i="7"/>
  <c r="C1277" i="7"/>
  <c r="D1277" i="7"/>
  <c r="E1277" i="7"/>
  <c r="F1277" i="7"/>
  <c r="G1277" i="7"/>
  <c r="H1277" i="7"/>
  <c r="I1277" i="7"/>
  <c r="A1278" i="7"/>
  <c r="B1278" i="7"/>
  <c r="C1278" i="7"/>
  <c r="D1278" i="7"/>
  <c r="E1278" i="7"/>
  <c r="F1278" i="7"/>
  <c r="G1278" i="7"/>
  <c r="H1278" i="7"/>
  <c r="I1278" i="7"/>
  <c r="A1279" i="7"/>
  <c r="B1279" i="7"/>
  <c r="C1279" i="7"/>
  <c r="D1279" i="7"/>
  <c r="E1279" i="7"/>
  <c r="F1279" i="7"/>
  <c r="G1279" i="7"/>
  <c r="H1279" i="7"/>
  <c r="I1279" i="7"/>
  <c r="A1280" i="7"/>
  <c r="B1280" i="7"/>
  <c r="C1280" i="7"/>
  <c r="D1280" i="7"/>
  <c r="E1280" i="7"/>
  <c r="F1280" i="7"/>
  <c r="G1280" i="7"/>
  <c r="H1280" i="7"/>
  <c r="I1280" i="7"/>
  <c r="A1281" i="7"/>
  <c r="B1281" i="7"/>
  <c r="C1281" i="7"/>
  <c r="D1281" i="7"/>
  <c r="E1281" i="7"/>
  <c r="F1281" i="7"/>
  <c r="G1281" i="7"/>
  <c r="H1281" i="7"/>
  <c r="I1281" i="7"/>
  <c r="A1282" i="7"/>
  <c r="B1282" i="7"/>
  <c r="C1282" i="7"/>
  <c r="D1282" i="7"/>
  <c r="E1282" i="7"/>
  <c r="F1282" i="7"/>
  <c r="G1282" i="7"/>
  <c r="H1282" i="7"/>
  <c r="I1282" i="7"/>
  <c r="A1283" i="7"/>
  <c r="B1283" i="7"/>
  <c r="C1283" i="7"/>
  <c r="D1283" i="7"/>
  <c r="E1283" i="7"/>
  <c r="F1283" i="7"/>
  <c r="G1283" i="7"/>
  <c r="H1283" i="7"/>
  <c r="I1283" i="7"/>
  <c r="A1284" i="7"/>
  <c r="B1284" i="7"/>
  <c r="C1284" i="7"/>
  <c r="D1284" i="7"/>
  <c r="E1284" i="7"/>
  <c r="F1284" i="7"/>
  <c r="G1284" i="7"/>
  <c r="H1284" i="7"/>
  <c r="I1284" i="7"/>
  <c r="A1285" i="7"/>
  <c r="B1285" i="7"/>
  <c r="C1285" i="7"/>
  <c r="D1285" i="7"/>
  <c r="E1285" i="7"/>
  <c r="F1285" i="7"/>
  <c r="G1285" i="7"/>
  <c r="H1285" i="7"/>
  <c r="I1285" i="7"/>
  <c r="A1286" i="7"/>
  <c r="B1286" i="7"/>
  <c r="C1286" i="7"/>
  <c r="D1286" i="7"/>
  <c r="E1286" i="7"/>
  <c r="F1286" i="7"/>
  <c r="G1286" i="7"/>
  <c r="H1286" i="7"/>
  <c r="I1286" i="7"/>
  <c r="A1287" i="7"/>
  <c r="B1287" i="7"/>
  <c r="C1287" i="7"/>
  <c r="D1287" i="7"/>
  <c r="E1287" i="7"/>
  <c r="F1287" i="7"/>
  <c r="G1287" i="7"/>
  <c r="H1287" i="7"/>
  <c r="I1287" i="7"/>
  <c r="A1288" i="7"/>
  <c r="B1288" i="7"/>
  <c r="C1288" i="7"/>
  <c r="D1288" i="7"/>
  <c r="E1288" i="7"/>
  <c r="F1288" i="7"/>
  <c r="G1288" i="7"/>
  <c r="H1288" i="7"/>
  <c r="I1288" i="7"/>
  <c r="A1289" i="7"/>
  <c r="B1289" i="7"/>
  <c r="C1289" i="7"/>
  <c r="D1289" i="7"/>
  <c r="E1289" i="7"/>
  <c r="F1289" i="7"/>
  <c r="G1289" i="7"/>
  <c r="H1289" i="7"/>
  <c r="I1289" i="7"/>
  <c r="A1290" i="7"/>
  <c r="B1290" i="7"/>
  <c r="C1290" i="7"/>
  <c r="D1290" i="7"/>
  <c r="E1290" i="7"/>
  <c r="F1290" i="7"/>
  <c r="G1290" i="7"/>
  <c r="H1290" i="7"/>
  <c r="I1290" i="7"/>
  <c r="A1291" i="7"/>
  <c r="B1291" i="7"/>
  <c r="C1291" i="7"/>
  <c r="D1291" i="7"/>
  <c r="E1291" i="7"/>
  <c r="F1291" i="7"/>
  <c r="G1291" i="7"/>
  <c r="H1291" i="7"/>
  <c r="I1291" i="7"/>
  <c r="A1292" i="7"/>
  <c r="B1292" i="7"/>
  <c r="C1292" i="7"/>
  <c r="D1292" i="7"/>
  <c r="E1292" i="7"/>
  <c r="F1292" i="7"/>
  <c r="G1292" i="7"/>
  <c r="H1292" i="7"/>
  <c r="I1292" i="7"/>
  <c r="A1293" i="7"/>
  <c r="B1293" i="7"/>
  <c r="C1293" i="7"/>
  <c r="D1293" i="7"/>
  <c r="E1293" i="7"/>
  <c r="F1293" i="7"/>
  <c r="G1293" i="7"/>
  <c r="H1293" i="7"/>
  <c r="I1293" i="7"/>
  <c r="A1294" i="7"/>
  <c r="B1294" i="7"/>
  <c r="C1294" i="7"/>
  <c r="D1294" i="7"/>
  <c r="E1294" i="7"/>
  <c r="F1294" i="7"/>
  <c r="G1294" i="7"/>
  <c r="H1294" i="7"/>
  <c r="I1294" i="7"/>
  <c r="A1295" i="7"/>
  <c r="B1295" i="7"/>
  <c r="C1295" i="7"/>
  <c r="D1295" i="7"/>
  <c r="E1295" i="7"/>
  <c r="F1295" i="7"/>
  <c r="G1295" i="7"/>
  <c r="H1295" i="7"/>
  <c r="I1295" i="7"/>
  <c r="A1296" i="7"/>
  <c r="B1296" i="7"/>
  <c r="C1296" i="7"/>
  <c r="D1296" i="7"/>
  <c r="E1296" i="7"/>
  <c r="F1296" i="7"/>
  <c r="G1296" i="7"/>
  <c r="H1296" i="7"/>
  <c r="I1296" i="7"/>
  <c r="A1297" i="7"/>
  <c r="B1297" i="7"/>
  <c r="C1297" i="7"/>
  <c r="D1297" i="7"/>
  <c r="E1297" i="7"/>
  <c r="F1297" i="7"/>
  <c r="G1297" i="7"/>
  <c r="H1297" i="7"/>
  <c r="I1297" i="7"/>
  <c r="A1298" i="7"/>
  <c r="B1298" i="7"/>
  <c r="C1298" i="7"/>
  <c r="D1298" i="7"/>
  <c r="E1298" i="7"/>
  <c r="F1298" i="7"/>
  <c r="G1298" i="7"/>
  <c r="H1298" i="7"/>
  <c r="I1298" i="7"/>
  <c r="A1299" i="7"/>
  <c r="B1299" i="7"/>
  <c r="C1299" i="7"/>
  <c r="D1299" i="7"/>
  <c r="E1299" i="7"/>
  <c r="F1299" i="7"/>
  <c r="G1299" i="7"/>
  <c r="H1299" i="7"/>
  <c r="I1299" i="7"/>
  <c r="A1300" i="7"/>
  <c r="B1300" i="7"/>
  <c r="C1300" i="7"/>
  <c r="D1300" i="7"/>
  <c r="E1300" i="7"/>
  <c r="F1300" i="7"/>
  <c r="G1300" i="7"/>
  <c r="H1300" i="7"/>
  <c r="I1300" i="7"/>
  <c r="A1301" i="7"/>
  <c r="B1301" i="7"/>
  <c r="C1301" i="7"/>
  <c r="D1301" i="7"/>
  <c r="E1301" i="7"/>
  <c r="F1301" i="7"/>
  <c r="G1301" i="7"/>
  <c r="H1301" i="7"/>
  <c r="I1301" i="7"/>
  <c r="A1302" i="7"/>
  <c r="B1302" i="7"/>
  <c r="C1302" i="7"/>
  <c r="D1302" i="7"/>
  <c r="E1302" i="7"/>
  <c r="F1302" i="7"/>
  <c r="G1302" i="7"/>
  <c r="H1302" i="7"/>
  <c r="I1302" i="7"/>
  <c r="A1303" i="7"/>
  <c r="B1303" i="7"/>
  <c r="C1303" i="7"/>
  <c r="D1303" i="7"/>
  <c r="E1303" i="7"/>
  <c r="F1303" i="7"/>
  <c r="G1303" i="7"/>
  <c r="H1303" i="7"/>
  <c r="I1303" i="7"/>
  <c r="A1304" i="7"/>
  <c r="B1304" i="7"/>
  <c r="C1304" i="7"/>
  <c r="D1304" i="7"/>
  <c r="E1304" i="7"/>
  <c r="F1304" i="7"/>
  <c r="G1304" i="7"/>
  <c r="H1304" i="7"/>
  <c r="I1304" i="7"/>
  <c r="A1305" i="7"/>
  <c r="B1305" i="7"/>
  <c r="C1305" i="7"/>
  <c r="D1305" i="7"/>
  <c r="E1305" i="7"/>
  <c r="F1305" i="7"/>
  <c r="G1305" i="7"/>
  <c r="H1305" i="7"/>
  <c r="I1305" i="7"/>
  <c r="A1306" i="7"/>
  <c r="B1306" i="7"/>
  <c r="C1306" i="7"/>
  <c r="D1306" i="7"/>
  <c r="E1306" i="7"/>
  <c r="F1306" i="7"/>
  <c r="G1306" i="7"/>
  <c r="H1306" i="7"/>
  <c r="I1306" i="7"/>
  <c r="A1307" i="7"/>
  <c r="B1307" i="7"/>
  <c r="C1307" i="7"/>
  <c r="D1307" i="7"/>
  <c r="E1307" i="7"/>
  <c r="F1307" i="7"/>
  <c r="G1307" i="7"/>
  <c r="H1307" i="7"/>
  <c r="I1307" i="7"/>
  <c r="A1308" i="7"/>
  <c r="B1308" i="7"/>
  <c r="C1308" i="7"/>
  <c r="D1308" i="7"/>
  <c r="E1308" i="7"/>
  <c r="F1308" i="7"/>
  <c r="G1308" i="7"/>
  <c r="H1308" i="7"/>
  <c r="I1308" i="7"/>
  <c r="A1309" i="7"/>
  <c r="B1309" i="7"/>
  <c r="C1309" i="7"/>
  <c r="D1309" i="7"/>
  <c r="E1309" i="7"/>
  <c r="F1309" i="7"/>
  <c r="G1309" i="7"/>
  <c r="H1309" i="7"/>
  <c r="I1309" i="7"/>
  <c r="A1310" i="7"/>
  <c r="B1310" i="7"/>
  <c r="C1310" i="7"/>
  <c r="D1310" i="7"/>
  <c r="E1310" i="7"/>
  <c r="F1310" i="7"/>
  <c r="G1310" i="7"/>
  <c r="H1310" i="7"/>
  <c r="I1310" i="7"/>
  <c r="A1311" i="7"/>
  <c r="B1311" i="7"/>
  <c r="C1311" i="7"/>
  <c r="D1311" i="7"/>
  <c r="E1311" i="7"/>
  <c r="F1311" i="7"/>
  <c r="G1311" i="7"/>
  <c r="H1311" i="7"/>
  <c r="I1311" i="7"/>
  <c r="A1312" i="7"/>
  <c r="B1312" i="7"/>
  <c r="C1312" i="7"/>
  <c r="D1312" i="7"/>
  <c r="E1312" i="7"/>
  <c r="F1312" i="7"/>
  <c r="G1312" i="7"/>
  <c r="H1312" i="7"/>
  <c r="I1312" i="7"/>
  <c r="A1313" i="7"/>
  <c r="B1313" i="7"/>
  <c r="C1313" i="7"/>
  <c r="D1313" i="7"/>
  <c r="E1313" i="7"/>
  <c r="F1313" i="7"/>
  <c r="G1313" i="7"/>
  <c r="H1313" i="7"/>
  <c r="I1313" i="7"/>
  <c r="A1314" i="7"/>
  <c r="B1314" i="7"/>
  <c r="C1314" i="7"/>
  <c r="D1314" i="7"/>
  <c r="E1314" i="7"/>
  <c r="F1314" i="7"/>
  <c r="G1314" i="7"/>
  <c r="H1314" i="7"/>
  <c r="I1314" i="7"/>
  <c r="A1315" i="7"/>
  <c r="B1315" i="7"/>
  <c r="C1315" i="7"/>
  <c r="D1315" i="7"/>
  <c r="E1315" i="7"/>
  <c r="F1315" i="7"/>
  <c r="G1315" i="7"/>
  <c r="H1315" i="7"/>
  <c r="I1315" i="7"/>
  <c r="A1316" i="7"/>
  <c r="B1316" i="7"/>
  <c r="C1316" i="7"/>
  <c r="D1316" i="7"/>
  <c r="E1316" i="7"/>
  <c r="F1316" i="7"/>
  <c r="G1316" i="7"/>
  <c r="H1316" i="7"/>
  <c r="I1316" i="7"/>
  <c r="A1317" i="7"/>
  <c r="B1317" i="7"/>
  <c r="C1317" i="7"/>
  <c r="D1317" i="7"/>
  <c r="E1317" i="7"/>
  <c r="F1317" i="7"/>
  <c r="G1317" i="7"/>
  <c r="H1317" i="7"/>
  <c r="I1317" i="7"/>
  <c r="A1318" i="7"/>
  <c r="B1318" i="7"/>
  <c r="C1318" i="7"/>
  <c r="D1318" i="7"/>
  <c r="E1318" i="7"/>
  <c r="F1318" i="7"/>
  <c r="G1318" i="7"/>
  <c r="H1318" i="7"/>
  <c r="I1318" i="7"/>
  <c r="A1319" i="7"/>
  <c r="B1319" i="7"/>
  <c r="C1319" i="7"/>
  <c r="D1319" i="7"/>
  <c r="E1319" i="7"/>
  <c r="F1319" i="7"/>
  <c r="G1319" i="7"/>
  <c r="H1319" i="7"/>
  <c r="I1319" i="7"/>
  <c r="A1320" i="7"/>
  <c r="B1320" i="7"/>
  <c r="C1320" i="7"/>
  <c r="D1320" i="7"/>
  <c r="E1320" i="7"/>
  <c r="F1320" i="7"/>
  <c r="G1320" i="7"/>
  <c r="H1320" i="7"/>
  <c r="I1320" i="7"/>
  <c r="A1321" i="7"/>
  <c r="B1321" i="7"/>
  <c r="C1321" i="7"/>
  <c r="D1321" i="7"/>
  <c r="E1321" i="7"/>
  <c r="F1321" i="7"/>
  <c r="G1321" i="7"/>
  <c r="H1321" i="7"/>
  <c r="I1321" i="7"/>
  <c r="A1322" i="7"/>
  <c r="B1322" i="7"/>
  <c r="C1322" i="7"/>
  <c r="D1322" i="7"/>
  <c r="E1322" i="7"/>
  <c r="F1322" i="7"/>
  <c r="G1322" i="7"/>
  <c r="H1322" i="7"/>
  <c r="I1322" i="7"/>
  <c r="A1323" i="7"/>
  <c r="B1323" i="7"/>
  <c r="C1323" i="7"/>
  <c r="D1323" i="7"/>
  <c r="E1323" i="7"/>
  <c r="F1323" i="7"/>
  <c r="G1323" i="7"/>
  <c r="H1323" i="7"/>
  <c r="I1323" i="7"/>
  <c r="A1324" i="7"/>
  <c r="B1324" i="7"/>
  <c r="C1324" i="7"/>
  <c r="D1324" i="7"/>
  <c r="E1324" i="7"/>
  <c r="F1324" i="7"/>
  <c r="G1324" i="7"/>
  <c r="H1324" i="7"/>
  <c r="I1324" i="7"/>
  <c r="A1325" i="7"/>
  <c r="B1325" i="7"/>
  <c r="C1325" i="7"/>
  <c r="D1325" i="7"/>
  <c r="E1325" i="7"/>
  <c r="F1325" i="7"/>
  <c r="G1325" i="7"/>
  <c r="H1325" i="7"/>
  <c r="I1325" i="7"/>
  <c r="A1326" i="7"/>
  <c r="B1326" i="7"/>
  <c r="C1326" i="7"/>
  <c r="D1326" i="7"/>
  <c r="E1326" i="7"/>
  <c r="F1326" i="7"/>
  <c r="G1326" i="7"/>
  <c r="H1326" i="7"/>
  <c r="I1326" i="7"/>
  <c r="A1327" i="7"/>
  <c r="B1327" i="7"/>
  <c r="C1327" i="7"/>
  <c r="D1327" i="7"/>
  <c r="E1327" i="7"/>
  <c r="F1327" i="7"/>
  <c r="G1327" i="7"/>
  <c r="H1327" i="7"/>
  <c r="I1327" i="7"/>
  <c r="A1328" i="7"/>
  <c r="B1328" i="7"/>
  <c r="C1328" i="7"/>
  <c r="D1328" i="7"/>
  <c r="E1328" i="7"/>
  <c r="F1328" i="7"/>
  <c r="G1328" i="7"/>
  <c r="H1328" i="7"/>
  <c r="I1328" i="7"/>
  <c r="A1329" i="7"/>
  <c r="B1329" i="7"/>
  <c r="C1329" i="7"/>
  <c r="D1329" i="7"/>
  <c r="E1329" i="7"/>
  <c r="F1329" i="7"/>
  <c r="G1329" i="7"/>
  <c r="H1329" i="7"/>
  <c r="I1329" i="7"/>
  <c r="A1330" i="7"/>
  <c r="B1330" i="7"/>
  <c r="C1330" i="7"/>
  <c r="D1330" i="7"/>
  <c r="E1330" i="7"/>
  <c r="F1330" i="7"/>
  <c r="G1330" i="7"/>
  <c r="H1330" i="7"/>
  <c r="I1330" i="7"/>
  <c r="A1331" i="7"/>
  <c r="B1331" i="7"/>
  <c r="C1331" i="7"/>
  <c r="D1331" i="7"/>
  <c r="E1331" i="7"/>
  <c r="F1331" i="7"/>
  <c r="G1331" i="7"/>
  <c r="H1331" i="7"/>
  <c r="I1331" i="7"/>
  <c r="A1332" i="7"/>
  <c r="B1332" i="7"/>
  <c r="C1332" i="7"/>
  <c r="D1332" i="7"/>
  <c r="E1332" i="7"/>
  <c r="F1332" i="7"/>
  <c r="G1332" i="7"/>
  <c r="H1332" i="7"/>
  <c r="I1332" i="7"/>
  <c r="A1333" i="7"/>
  <c r="B1333" i="7"/>
  <c r="C1333" i="7"/>
  <c r="D1333" i="7"/>
  <c r="E1333" i="7"/>
  <c r="F1333" i="7"/>
  <c r="G1333" i="7"/>
  <c r="H1333" i="7"/>
  <c r="I1333" i="7"/>
  <c r="A1334" i="7"/>
  <c r="B1334" i="7"/>
  <c r="C1334" i="7"/>
  <c r="D1334" i="7"/>
  <c r="E1334" i="7"/>
  <c r="F1334" i="7"/>
  <c r="G1334" i="7"/>
  <c r="H1334" i="7"/>
  <c r="I1334" i="7"/>
  <c r="A1335" i="7"/>
  <c r="B1335" i="7"/>
  <c r="C1335" i="7"/>
  <c r="D1335" i="7"/>
  <c r="E1335" i="7"/>
  <c r="F1335" i="7"/>
  <c r="G1335" i="7"/>
  <c r="H1335" i="7"/>
  <c r="I1335" i="7"/>
  <c r="A1336" i="7"/>
  <c r="B1336" i="7"/>
  <c r="C1336" i="7"/>
  <c r="D1336" i="7"/>
  <c r="E1336" i="7"/>
  <c r="F1336" i="7"/>
  <c r="G1336" i="7"/>
  <c r="H1336" i="7"/>
  <c r="I1336" i="7"/>
  <c r="A1337" i="7"/>
  <c r="B1337" i="7"/>
  <c r="C1337" i="7"/>
  <c r="D1337" i="7"/>
  <c r="E1337" i="7"/>
  <c r="F1337" i="7"/>
  <c r="G1337" i="7"/>
  <c r="H1337" i="7"/>
  <c r="I1337" i="7"/>
  <c r="A1338" i="7"/>
  <c r="B1338" i="7"/>
  <c r="C1338" i="7"/>
  <c r="D1338" i="7"/>
  <c r="E1338" i="7"/>
  <c r="F1338" i="7"/>
  <c r="G1338" i="7"/>
  <c r="H1338" i="7"/>
  <c r="I1338" i="7"/>
  <c r="A1339" i="7"/>
  <c r="B1339" i="7"/>
  <c r="C1339" i="7"/>
  <c r="D1339" i="7"/>
  <c r="E1339" i="7"/>
  <c r="F1339" i="7"/>
  <c r="G1339" i="7"/>
  <c r="H1339" i="7"/>
  <c r="I1339" i="7"/>
  <c r="A1340" i="7"/>
  <c r="B1340" i="7"/>
  <c r="C1340" i="7"/>
  <c r="D1340" i="7"/>
  <c r="E1340" i="7"/>
  <c r="F1340" i="7"/>
  <c r="G1340" i="7"/>
  <c r="H1340" i="7"/>
  <c r="I1340" i="7"/>
  <c r="A1341" i="7"/>
  <c r="B1341" i="7"/>
  <c r="C1341" i="7"/>
  <c r="D1341" i="7"/>
  <c r="E1341" i="7"/>
  <c r="F1341" i="7"/>
  <c r="G1341" i="7"/>
  <c r="H1341" i="7"/>
  <c r="I1341" i="7"/>
  <c r="A1342" i="7"/>
  <c r="B1342" i="7"/>
  <c r="C1342" i="7"/>
  <c r="D1342" i="7"/>
  <c r="E1342" i="7"/>
  <c r="F1342" i="7"/>
  <c r="G1342" i="7"/>
  <c r="H1342" i="7"/>
  <c r="I1342" i="7"/>
  <c r="A1343" i="7"/>
  <c r="B1343" i="7"/>
  <c r="C1343" i="7"/>
  <c r="D1343" i="7"/>
  <c r="E1343" i="7"/>
  <c r="F1343" i="7"/>
  <c r="G1343" i="7"/>
  <c r="H1343" i="7"/>
  <c r="I1343" i="7"/>
  <c r="A1344" i="7"/>
  <c r="B1344" i="7"/>
  <c r="C1344" i="7"/>
  <c r="D1344" i="7"/>
  <c r="E1344" i="7"/>
  <c r="F1344" i="7"/>
  <c r="G1344" i="7"/>
  <c r="H1344" i="7"/>
  <c r="I1344" i="7"/>
  <c r="A1345" i="7"/>
  <c r="B1345" i="7"/>
  <c r="C1345" i="7"/>
  <c r="D1345" i="7"/>
  <c r="E1345" i="7"/>
  <c r="F1345" i="7"/>
  <c r="G1345" i="7"/>
  <c r="H1345" i="7"/>
  <c r="I1345" i="7"/>
  <c r="A1346" i="7"/>
  <c r="B1346" i="7"/>
  <c r="C1346" i="7"/>
  <c r="D1346" i="7"/>
  <c r="E1346" i="7"/>
  <c r="F1346" i="7"/>
  <c r="G1346" i="7"/>
  <c r="H1346" i="7"/>
  <c r="I1346" i="7"/>
  <c r="A1347" i="7"/>
  <c r="B1347" i="7"/>
  <c r="C1347" i="7"/>
  <c r="D1347" i="7"/>
  <c r="E1347" i="7"/>
  <c r="F1347" i="7"/>
  <c r="G1347" i="7"/>
  <c r="H1347" i="7"/>
  <c r="I1347" i="7"/>
  <c r="A1348" i="7"/>
  <c r="B1348" i="7"/>
  <c r="C1348" i="7"/>
  <c r="D1348" i="7"/>
  <c r="E1348" i="7"/>
  <c r="F1348" i="7"/>
  <c r="G1348" i="7"/>
  <c r="H1348" i="7"/>
  <c r="I1348" i="7"/>
  <c r="A1349" i="7"/>
  <c r="B1349" i="7"/>
  <c r="C1349" i="7"/>
  <c r="D1349" i="7"/>
  <c r="E1349" i="7"/>
  <c r="F1349" i="7"/>
  <c r="G1349" i="7"/>
  <c r="H1349" i="7"/>
  <c r="I1349" i="7"/>
  <c r="A1350" i="7"/>
  <c r="B1350" i="7"/>
  <c r="C1350" i="7"/>
  <c r="D1350" i="7"/>
  <c r="E1350" i="7"/>
  <c r="F1350" i="7"/>
  <c r="G1350" i="7"/>
  <c r="H1350" i="7"/>
  <c r="I1350" i="7"/>
  <c r="A1351" i="7"/>
  <c r="B1351" i="7"/>
  <c r="C1351" i="7"/>
  <c r="D1351" i="7"/>
  <c r="E1351" i="7"/>
  <c r="F1351" i="7"/>
  <c r="G1351" i="7"/>
  <c r="H1351" i="7"/>
  <c r="I1351" i="7"/>
  <c r="A1352" i="7"/>
  <c r="B1352" i="7"/>
  <c r="C1352" i="7"/>
  <c r="D1352" i="7"/>
  <c r="E1352" i="7"/>
  <c r="F1352" i="7"/>
  <c r="G1352" i="7"/>
  <c r="H1352" i="7"/>
  <c r="I1352" i="7"/>
  <c r="A1353" i="7"/>
  <c r="B1353" i="7"/>
  <c r="C1353" i="7"/>
  <c r="D1353" i="7"/>
  <c r="E1353" i="7"/>
  <c r="F1353" i="7"/>
  <c r="G1353" i="7"/>
  <c r="H1353" i="7"/>
  <c r="I1353" i="7"/>
  <c r="A1354" i="7"/>
  <c r="B1354" i="7"/>
  <c r="C1354" i="7"/>
  <c r="D1354" i="7"/>
  <c r="E1354" i="7"/>
  <c r="F1354" i="7"/>
  <c r="G1354" i="7"/>
  <c r="H1354" i="7"/>
  <c r="I1354" i="7"/>
  <c r="A1355" i="7"/>
  <c r="B1355" i="7"/>
  <c r="C1355" i="7"/>
  <c r="D1355" i="7"/>
  <c r="E1355" i="7"/>
  <c r="F1355" i="7"/>
  <c r="G1355" i="7"/>
  <c r="H1355" i="7"/>
  <c r="I1355" i="7"/>
  <c r="A1356" i="7"/>
  <c r="B1356" i="7"/>
  <c r="C1356" i="7"/>
  <c r="D1356" i="7"/>
  <c r="E1356" i="7"/>
  <c r="F1356" i="7"/>
  <c r="G1356" i="7"/>
  <c r="H1356" i="7"/>
  <c r="I1356" i="7"/>
  <c r="A1357" i="7"/>
  <c r="B1357" i="7"/>
  <c r="C1357" i="7"/>
  <c r="D1357" i="7"/>
  <c r="E1357" i="7"/>
  <c r="F1357" i="7"/>
  <c r="G1357" i="7"/>
  <c r="H1357" i="7"/>
  <c r="I1357" i="7"/>
  <c r="A1358" i="7"/>
  <c r="B1358" i="7"/>
  <c r="C1358" i="7"/>
  <c r="D1358" i="7"/>
  <c r="E1358" i="7"/>
  <c r="F1358" i="7"/>
  <c r="G1358" i="7"/>
  <c r="H1358" i="7"/>
  <c r="I1358" i="7"/>
  <c r="A1359" i="7"/>
  <c r="B1359" i="7"/>
  <c r="C1359" i="7"/>
  <c r="D1359" i="7"/>
  <c r="E1359" i="7"/>
  <c r="F1359" i="7"/>
  <c r="G1359" i="7"/>
  <c r="H1359" i="7"/>
  <c r="I1359" i="7"/>
  <c r="A1360" i="7"/>
  <c r="B1360" i="7"/>
  <c r="C1360" i="7"/>
  <c r="D1360" i="7"/>
  <c r="E1360" i="7"/>
  <c r="F1360" i="7"/>
  <c r="G1360" i="7"/>
  <c r="H1360" i="7"/>
  <c r="I1360" i="7"/>
  <c r="A1361" i="7"/>
  <c r="B1361" i="7"/>
  <c r="C1361" i="7"/>
  <c r="D1361" i="7"/>
  <c r="E1361" i="7"/>
  <c r="F1361" i="7"/>
  <c r="G1361" i="7"/>
  <c r="H1361" i="7"/>
  <c r="I1361" i="7"/>
  <c r="A1362" i="7"/>
  <c r="B1362" i="7"/>
  <c r="C1362" i="7"/>
  <c r="D1362" i="7"/>
  <c r="E1362" i="7"/>
  <c r="F1362" i="7"/>
  <c r="G1362" i="7"/>
  <c r="H1362" i="7"/>
  <c r="I1362" i="7"/>
  <c r="A1363" i="7"/>
  <c r="B1363" i="7"/>
  <c r="C1363" i="7"/>
  <c r="D1363" i="7"/>
  <c r="E1363" i="7"/>
  <c r="F1363" i="7"/>
  <c r="G1363" i="7"/>
  <c r="H1363" i="7"/>
  <c r="I1363" i="7"/>
  <c r="A1364" i="7"/>
  <c r="B1364" i="7"/>
  <c r="C1364" i="7"/>
  <c r="D1364" i="7"/>
  <c r="E1364" i="7"/>
  <c r="F1364" i="7"/>
  <c r="G1364" i="7"/>
  <c r="H1364" i="7"/>
  <c r="I1364" i="7"/>
  <c r="A1365" i="7"/>
  <c r="B1365" i="7"/>
  <c r="C1365" i="7"/>
  <c r="D1365" i="7"/>
  <c r="E1365" i="7"/>
  <c r="F1365" i="7"/>
  <c r="G1365" i="7"/>
  <c r="H1365" i="7"/>
  <c r="I1365" i="7"/>
  <c r="A1366" i="7"/>
  <c r="B1366" i="7"/>
  <c r="C1366" i="7"/>
  <c r="D1366" i="7"/>
  <c r="E1366" i="7"/>
  <c r="F1366" i="7"/>
  <c r="G1366" i="7"/>
  <c r="H1366" i="7"/>
  <c r="I1366" i="7"/>
  <c r="A1367" i="7"/>
  <c r="B1367" i="7"/>
  <c r="C1367" i="7"/>
  <c r="D1367" i="7"/>
  <c r="E1367" i="7"/>
  <c r="F1367" i="7"/>
  <c r="G1367" i="7"/>
  <c r="H1367" i="7"/>
  <c r="I1367" i="7"/>
  <c r="A1368" i="7"/>
  <c r="B1368" i="7"/>
  <c r="C1368" i="7"/>
  <c r="D1368" i="7"/>
  <c r="E1368" i="7"/>
  <c r="F1368" i="7"/>
  <c r="G1368" i="7"/>
  <c r="H1368" i="7"/>
  <c r="I1368" i="7"/>
  <c r="A1369" i="7"/>
  <c r="B1369" i="7"/>
  <c r="C1369" i="7"/>
  <c r="D1369" i="7"/>
  <c r="E1369" i="7"/>
  <c r="F1369" i="7"/>
  <c r="G1369" i="7"/>
  <c r="H1369" i="7"/>
  <c r="I1369" i="7"/>
  <c r="A1370" i="7"/>
  <c r="B1370" i="7"/>
  <c r="C1370" i="7"/>
  <c r="D1370" i="7"/>
  <c r="E1370" i="7"/>
  <c r="F1370" i="7"/>
  <c r="G1370" i="7"/>
  <c r="H1370" i="7"/>
  <c r="I1370" i="7"/>
  <c r="A1371" i="7"/>
  <c r="B1371" i="7"/>
  <c r="C1371" i="7"/>
  <c r="D1371" i="7"/>
  <c r="E1371" i="7"/>
  <c r="F1371" i="7"/>
  <c r="G1371" i="7"/>
  <c r="H1371" i="7"/>
  <c r="I1371" i="7"/>
  <c r="A1372" i="7"/>
  <c r="B1372" i="7"/>
  <c r="C1372" i="7"/>
  <c r="D1372" i="7"/>
  <c r="E1372" i="7"/>
  <c r="F1372" i="7"/>
  <c r="G1372" i="7"/>
  <c r="H1372" i="7"/>
  <c r="I1372" i="7"/>
  <c r="A1373" i="7"/>
  <c r="B1373" i="7"/>
  <c r="C1373" i="7"/>
  <c r="D1373" i="7"/>
  <c r="E1373" i="7"/>
  <c r="F1373" i="7"/>
  <c r="G1373" i="7"/>
  <c r="H1373" i="7"/>
  <c r="I1373" i="7"/>
  <c r="A1374" i="7"/>
  <c r="B1374" i="7"/>
  <c r="C1374" i="7"/>
  <c r="D1374" i="7"/>
  <c r="E1374" i="7"/>
  <c r="F1374" i="7"/>
  <c r="G1374" i="7"/>
  <c r="H1374" i="7"/>
  <c r="I1374" i="7"/>
  <c r="A1375" i="7"/>
  <c r="B1375" i="7"/>
  <c r="C1375" i="7"/>
  <c r="D1375" i="7"/>
  <c r="E1375" i="7"/>
  <c r="F1375" i="7"/>
  <c r="G1375" i="7"/>
  <c r="H1375" i="7"/>
  <c r="I1375" i="7"/>
  <c r="A1376" i="7"/>
  <c r="B1376" i="7"/>
  <c r="C1376" i="7"/>
  <c r="D1376" i="7"/>
  <c r="E1376" i="7"/>
  <c r="F1376" i="7"/>
  <c r="G1376" i="7"/>
  <c r="H1376" i="7"/>
  <c r="I1376" i="7"/>
  <c r="A1377" i="7"/>
  <c r="B1377" i="7"/>
  <c r="C1377" i="7"/>
  <c r="D1377" i="7"/>
  <c r="E1377" i="7"/>
  <c r="F1377" i="7"/>
  <c r="G1377" i="7"/>
  <c r="H1377" i="7"/>
  <c r="I1377" i="7"/>
  <c r="A1378" i="7"/>
  <c r="B1378" i="7"/>
  <c r="C1378" i="7"/>
  <c r="D1378" i="7"/>
  <c r="E1378" i="7"/>
  <c r="F1378" i="7"/>
  <c r="G1378" i="7"/>
  <c r="H1378" i="7"/>
  <c r="I1378" i="7"/>
  <c r="A1379" i="7"/>
  <c r="B1379" i="7"/>
  <c r="C1379" i="7"/>
  <c r="D1379" i="7"/>
  <c r="E1379" i="7"/>
  <c r="F1379" i="7"/>
  <c r="G1379" i="7"/>
  <c r="H1379" i="7"/>
  <c r="I1379" i="7"/>
  <c r="A1380" i="7"/>
  <c r="B1380" i="7"/>
  <c r="C1380" i="7"/>
  <c r="D1380" i="7"/>
  <c r="E1380" i="7"/>
  <c r="F1380" i="7"/>
  <c r="G1380" i="7"/>
  <c r="H1380" i="7"/>
  <c r="I1380" i="7"/>
  <c r="A1381" i="7"/>
  <c r="B1381" i="7"/>
  <c r="C1381" i="7"/>
  <c r="D1381" i="7"/>
  <c r="E1381" i="7"/>
  <c r="F1381" i="7"/>
  <c r="G1381" i="7"/>
  <c r="H1381" i="7"/>
  <c r="I1381" i="7"/>
  <c r="A1382" i="7"/>
  <c r="B1382" i="7"/>
  <c r="C1382" i="7"/>
  <c r="D1382" i="7"/>
  <c r="E1382" i="7"/>
  <c r="F1382" i="7"/>
  <c r="G1382" i="7"/>
  <c r="H1382" i="7"/>
  <c r="I1382" i="7"/>
  <c r="A1383" i="7"/>
  <c r="B1383" i="7"/>
  <c r="C1383" i="7"/>
  <c r="D1383" i="7"/>
  <c r="E1383" i="7"/>
  <c r="F1383" i="7"/>
  <c r="G1383" i="7"/>
  <c r="H1383" i="7"/>
  <c r="I1383" i="7"/>
  <c r="A1384" i="7"/>
  <c r="B1384" i="7"/>
  <c r="C1384" i="7"/>
  <c r="D1384" i="7"/>
  <c r="E1384" i="7"/>
  <c r="F1384" i="7"/>
  <c r="G1384" i="7"/>
  <c r="H1384" i="7"/>
  <c r="I1384" i="7"/>
  <c r="A1385" i="7"/>
  <c r="B1385" i="7"/>
  <c r="C1385" i="7"/>
  <c r="D1385" i="7"/>
  <c r="E1385" i="7"/>
  <c r="F1385" i="7"/>
  <c r="G1385" i="7"/>
  <c r="H1385" i="7"/>
  <c r="I1385" i="7"/>
  <c r="A1386" i="7"/>
  <c r="B1386" i="7"/>
  <c r="C1386" i="7"/>
  <c r="D1386" i="7"/>
  <c r="E1386" i="7"/>
  <c r="F1386" i="7"/>
  <c r="G1386" i="7"/>
  <c r="H1386" i="7"/>
  <c r="I1386" i="7"/>
  <c r="A1387" i="7"/>
  <c r="B1387" i="7"/>
  <c r="C1387" i="7"/>
  <c r="D1387" i="7"/>
  <c r="E1387" i="7"/>
  <c r="F1387" i="7"/>
  <c r="G1387" i="7"/>
  <c r="H1387" i="7"/>
  <c r="I1387" i="7"/>
  <c r="A1388" i="7"/>
  <c r="B1388" i="7"/>
  <c r="C1388" i="7"/>
  <c r="D1388" i="7"/>
  <c r="E1388" i="7"/>
  <c r="F1388" i="7"/>
  <c r="G1388" i="7"/>
  <c r="H1388" i="7"/>
  <c r="I1388" i="7"/>
  <c r="A1389" i="7"/>
  <c r="B1389" i="7"/>
  <c r="C1389" i="7"/>
  <c r="D1389" i="7"/>
  <c r="E1389" i="7"/>
  <c r="F1389" i="7"/>
  <c r="G1389" i="7"/>
  <c r="H1389" i="7"/>
  <c r="I1389" i="7"/>
  <c r="A1390" i="7"/>
  <c r="B1390" i="7"/>
  <c r="C1390" i="7"/>
  <c r="D1390" i="7"/>
  <c r="E1390" i="7"/>
  <c r="F1390" i="7"/>
  <c r="G1390" i="7"/>
  <c r="H1390" i="7"/>
  <c r="I1390" i="7"/>
  <c r="A1391" i="7"/>
  <c r="B1391" i="7"/>
  <c r="C1391" i="7"/>
  <c r="D1391" i="7"/>
  <c r="E1391" i="7"/>
  <c r="F1391" i="7"/>
  <c r="G1391" i="7"/>
  <c r="H1391" i="7"/>
  <c r="I1391" i="7"/>
  <c r="A1392" i="7"/>
  <c r="B1392" i="7"/>
  <c r="C1392" i="7"/>
  <c r="D1392" i="7"/>
  <c r="E1392" i="7"/>
  <c r="F1392" i="7"/>
  <c r="G1392" i="7"/>
  <c r="H1392" i="7"/>
  <c r="I1392" i="7"/>
  <c r="A1393" i="7"/>
  <c r="B1393" i="7"/>
  <c r="C1393" i="7"/>
  <c r="D1393" i="7"/>
  <c r="E1393" i="7"/>
  <c r="F1393" i="7"/>
  <c r="G1393" i="7"/>
  <c r="H1393" i="7"/>
  <c r="I1393" i="7"/>
  <c r="A1394" i="7"/>
  <c r="B1394" i="7"/>
  <c r="C1394" i="7"/>
  <c r="D1394" i="7"/>
  <c r="E1394" i="7"/>
  <c r="F1394" i="7"/>
  <c r="G1394" i="7"/>
  <c r="H1394" i="7"/>
  <c r="I1394" i="7"/>
  <c r="A1395" i="7"/>
  <c r="B1395" i="7"/>
  <c r="C1395" i="7"/>
  <c r="D1395" i="7"/>
  <c r="E1395" i="7"/>
  <c r="F1395" i="7"/>
  <c r="G1395" i="7"/>
  <c r="H1395" i="7"/>
  <c r="I1395" i="7"/>
  <c r="A1396" i="7"/>
  <c r="B1396" i="7"/>
  <c r="C1396" i="7"/>
  <c r="D1396" i="7"/>
  <c r="E1396" i="7"/>
  <c r="F1396" i="7"/>
  <c r="G1396" i="7"/>
  <c r="H1396" i="7"/>
  <c r="I1396" i="7"/>
  <c r="A1397" i="7"/>
  <c r="B1397" i="7"/>
  <c r="C1397" i="7"/>
  <c r="D1397" i="7"/>
  <c r="E1397" i="7"/>
  <c r="F1397" i="7"/>
  <c r="G1397" i="7"/>
  <c r="H1397" i="7"/>
  <c r="I1397" i="7"/>
  <c r="A1398" i="7"/>
  <c r="B1398" i="7"/>
  <c r="C1398" i="7"/>
  <c r="D1398" i="7"/>
  <c r="E1398" i="7"/>
  <c r="F1398" i="7"/>
  <c r="G1398" i="7"/>
  <c r="H1398" i="7"/>
  <c r="I1398" i="7"/>
  <c r="A1399" i="7"/>
  <c r="B1399" i="7"/>
  <c r="C1399" i="7"/>
  <c r="D1399" i="7"/>
  <c r="E1399" i="7"/>
  <c r="F1399" i="7"/>
  <c r="G1399" i="7"/>
  <c r="H1399" i="7"/>
  <c r="I1399" i="7"/>
  <c r="A1400" i="7"/>
  <c r="B1400" i="7"/>
  <c r="C1400" i="7"/>
  <c r="D1400" i="7"/>
  <c r="E1400" i="7"/>
  <c r="F1400" i="7"/>
  <c r="G1400" i="7"/>
  <c r="H1400" i="7"/>
  <c r="I1400" i="7"/>
  <c r="A1401" i="7"/>
  <c r="B1401" i="7"/>
  <c r="C1401" i="7"/>
  <c r="D1401" i="7"/>
  <c r="E1401" i="7"/>
  <c r="F1401" i="7"/>
  <c r="G1401" i="7"/>
  <c r="H1401" i="7"/>
  <c r="I1401" i="7"/>
  <c r="A1402" i="7"/>
  <c r="B1402" i="7"/>
  <c r="C1402" i="7"/>
  <c r="D1402" i="7"/>
  <c r="E1402" i="7"/>
  <c r="F1402" i="7"/>
  <c r="G1402" i="7"/>
  <c r="H1402" i="7"/>
  <c r="I1402" i="7"/>
  <c r="A1403" i="7"/>
  <c r="B1403" i="7"/>
  <c r="C1403" i="7"/>
  <c r="D1403" i="7"/>
  <c r="E1403" i="7"/>
  <c r="F1403" i="7"/>
  <c r="G1403" i="7"/>
  <c r="H1403" i="7"/>
  <c r="I1403" i="7"/>
  <c r="A1404" i="7"/>
  <c r="B1404" i="7"/>
  <c r="C1404" i="7"/>
  <c r="D1404" i="7"/>
  <c r="E1404" i="7"/>
  <c r="F1404" i="7"/>
  <c r="G1404" i="7"/>
  <c r="H1404" i="7"/>
  <c r="I1404" i="7"/>
  <c r="A1405" i="7"/>
  <c r="B1405" i="7"/>
  <c r="C1405" i="7"/>
  <c r="D1405" i="7"/>
  <c r="E1405" i="7"/>
  <c r="F1405" i="7"/>
  <c r="G1405" i="7"/>
  <c r="H1405" i="7"/>
  <c r="I1405" i="7"/>
  <c r="A1406" i="7"/>
  <c r="B1406" i="7"/>
  <c r="C1406" i="7"/>
  <c r="D1406" i="7"/>
  <c r="E1406" i="7"/>
  <c r="F1406" i="7"/>
  <c r="G1406" i="7"/>
  <c r="H1406" i="7"/>
  <c r="I1406" i="7"/>
  <c r="A1407" i="7"/>
  <c r="B1407" i="7"/>
  <c r="C1407" i="7"/>
  <c r="D1407" i="7"/>
  <c r="E1407" i="7"/>
  <c r="F1407" i="7"/>
  <c r="G1407" i="7"/>
  <c r="H1407" i="7"/>
  <c r="I1407" i="7"/>
  <c r="A1408" i="7"/>
  <c r="B1408" i="7"/>
  <c r="C1408" i="7"/>
  <c r="D1408" i="7"/>
  <c r="E1408" i="7"/>
  <c r="F1408" i="7"/>
  <c r="G1408" i="7"/>
  <c r="H1408" i="7"/>
  <c r="I1408" i="7"/>
  <c r="A1409" i="7"/>
  <c r="B1409" i="7"/>
  <c r="C1409" i="7"/>
  <c r="D1409" i="7"/>
  <c r="E1409" i="7"/>
  <c r="F1409" i="7"/>
  <c r="G1409" i="7"/>
  <c r="H1409" i="7"/>
  <c r="I1409" i="7"/>
  <c r="A1410" i="7"/>
  <c r="B1410" i="7"/>
  <c r="C1410" i="7"/>
  <c r="D1410" i="7"/>
  <c r="E1410" i="7"/>
  <c r="F1410" i="7"/>
  <c r="G1410" i="7"/>
  <c r="H1410" i="7"/>
  <c r="I1410" i="7"/>
  <c r="A1411" i="7"/>
  <c r="B1411" i="7"/>
  <c r="C1411" i="7"/>
  <c r="D1411" i="7"/>
  <c r="E1411" i="7"/>
  <c r="F1411" i="7"/>
  <c r="G1411" i="7"/>
  <c r="H1411" i="7"/>
  <c r="I1411" i="7"/>
  <c r="A1412" i="7"/>
  <c r="B1412" i="7"/>
  <c r="C1412" i="7"/>
  <c r="D1412" i="7"/>
  <c r="E1412" i="7"/>
  <c r="F1412" i="7"/>
  <c r="G1412" i="7"/>
  <c r="H1412" i="7"/>
  <c r="I1412" i="7"/>
  <c r="A1413" i="7"/>
  <c r="B1413" i="7"/>
  <c r="C1413" i="7"/>
  <c r="D1413" i="7"/>
  <c r="E1413" i="7"/>
  <c r="F1413" i="7"/>
  <c r="G1413" i="7"/>
  <c r="H1413" i="7"/>
  <c r="I1413" i="7"/>
  <c r="A1414" i="7"/>
  <c r="B1414" i="7"/>
  <c r="C1414" i="7"/>
  <c r="D1414" i="7"/>
  <c r="E1414" i="7"/>
  <c r="F1414" i="7"/>
  <c r="G1414" i="7"/>
  <c r="H1414" i="7"/>
  <c r="I1414" i="7"/>
  <c r="A1415" i="7"/>
  <c r="B1415" i="7"/>
  <c r="C1415" i="7"/>
  <c r="D1415" i="7"/>
  <c r="E1415" i="7"/>
  <c r="F1415" i="7"/>
  <c r="G1415" i="7"/>
  <c r="H1415" i="7"/>
  <c r="I1415" i="7"/>
  <c r="A1416" i="7"/>
  <c r="B1416" i="7"/>
  <c r="C1416" i="7"/>
  <c r="D1416" i="7"/>
  <c r="E1416" i="7"/>
  <c r="F1416" i="7"/>
  <c r="G1416" i="7"/>
  <c r="H1416" i="7"/>
  <c r="I1416" i="7"/>
  <c r="A1417" i="7"/>
  <c r="B1417" i="7"/>
  <c r="C1417" i="7"/>
  <c r="D1417" i="7"/>
  <c r="E1417" i="7"/>
  <c r="F1417" i="7"/>
  <c r="G1417" i="7"/>
  <c r="H1417" i="7"/>
  <c r="I1417" i="7"/>
  <c r="A1418" i="7"/>
  <c r="B1418" i="7"/>
  <c r="C1418" i="7"/>
  <c r="D1418" i="7"/>
  <c r="E1418" i="7"/>
  <c r="F1418" i="7"/>
  <c r="G1418" i="7"/>
  <c r="H1418" i="7"/>
  <c r="I1418" i="7"/>
  <c r="A1419" i="7"/>
  <c r="B1419" i="7"/>
  <c r="C1419" i="7"/>
  <c r="D1419" i="7"/>
  <c r="E1419" i="7"/>
  <c r="F1419" i="7"/>
  <c r="G1419" i="7"/>
  <c r="H1419" i="7"/>
  <c r="I1419" i="7"/>
  <c r="A1420" i="7"/>
  <c r="B1420" i="7"/>
  <c r="C1420" i="7"/>
  <c r="D1420" i="7"/>
  <c r="E1420" i="7"/>
  <c r="F1420" i="7"/>
  <c r="G1420" i="7"/>
  <c r="H1420" i="7"/>
  <c r="I1420" i="7"/>
  <c r="A1421" i="7"/>
  <c r="B1421" i="7"/>
  <c r="C1421" i="7"/>
  <c r="D1421" i="7"/>
  <c r="E1421" i="7"/>
  <c r="F1421" i="7"/>
  <c r="G1421" i="7"/>
  <c r="H1421" i="7"/>
  <c r="I1421" i="7"/>
  <c r="A1422" i="7"/>
  <c r="B1422" i="7"/>
  <c r="C1422" i="7"/>
  <c r="D1422" i="7"/>
  <c r="E1422" i="7"/>
  <c r="F1422" i="7"/>
  <c r="G1422" i="7"/>
  <c r="H1422" i="7"/>
  <c r="I1422" i="7"/>
  <c r="A1423" i="7"/>
  <c r="B1423" i="7"/>
  <c r="C1423" i="7"/>
  <c r="D1423" i="7"/>
  <c r="E1423" i="7"/>
  <c r="F1423" i="7"/>
  <c r="G1423" i="7"/>
  <c r="H1423" i="7"/>
  <c r="I1423" i="7"/>
  <c r="A1424" i="7"/>
  <c r="B1424" i="7"/>
  <c r="C1424" i="7"/>
  <c r="D1424" i="7"/>
  <c r="E1424" i="7"/>
  <c r="F1424" i="7"/>
  <c r="G1424" i="7"/>
  <c r="H1424" i="7"/>
  <c r="I1424" i="7"/>
  <c r="A1425" i="7"/>
  <c r="B1425" i="7"/>
  <c r="C1425" i="7"/>
  <c r="D1425" i="7"/>
  <c r="E1425" i="7"/>
  <c r="F1425" i="7"/>
  <c r="G1425" i="7"/>
  <c r="H1425" i="7"/>
  <c r="I1425" i="7"/>
  <c r="A1426" i="7"/>
  <c r="B1426" i="7"/>
  <c r="C1426" i="7"/>
  <c r="D1426" i="7"/>
  <c r="E1426" i="7"/>
  <c r="F1426" i="7"/>
  <c r="G1426" i="7"/>
  <c r="H1426" i="7"/>
  <c r="I1426" i="7"/>
  <c r="A1427" i="7"/>
  <c r="B1427" i="7"/>
  <c r="C1427" i="7"/>
  <c r="D1427" i="7"/>
  <c r="E1427" i="7"/>
  <c r="F1427" i="7"/>
  <c r="G1427" i="7"/>
  <c r="H1427" i="7"/>
  <c r="I1427" i="7"/>
  <c r="A1428" i="7"/>
  <c r="B1428" i="7"/>
  <c r="C1428" i="7"/>
  <c r="D1428" i="7"/>
  <c r="E1428" i="7"/>
  <c r="F1428" i="7"/>
  <c r="G1428" i="7"/>
  <c r="H1428" i="7"/>
  <c r="I1428" i="7"/>
  <c r="A1429" i="7"/>
  <c r="B1429" i="7"/>
  <c r="C1429" i="7"/>
  <c r="D1429" i="7"/>
  <c r="E1429" i="7"/>
  <c r="F1429" i="7"/>
  <c r="G1429" i="7"/>
  <c r="H1429" i="7"/>
  <c r="I1429" i="7"/>
  <c r="A1430" i="7"/>
  <c r="B1430" i="7"/>
  <c r="C1430" i="7"/>
  <c r="D1430" i="7"/>
  <c r="E1430" i="7"/>
  <c r="F1430" i="7"/>
  <c r="G1430" i="7"/>
  <c r="H1430" i="7"/>
  <c r="I1430" i="7"/>
  <c r="A1431" i="7"/>
  <c r="B1431" i="7"/>
  <c r="C1431" i="7"/>
  <c r="D1431" i="7"/>
  <c r="E1431" i="7"/>
  <c r="F1431" i="7"/>
  <c r="G1431" i="7"/>
  <c r="H1431" i="7"/>
  <c r="I1431" i="7"/>
  <c r="A1432" i="7"/>
  <c r="B1432" i="7"/>
  <c r="C1432" i="7"/>
  <c r="D1432" i="7"/>
  <c r="E1432" i="7"/>
  <c r="F1432" i="7"/>
  <c r="G1432" i="7"/>
  <c r="H1432" i="7"/>
  <c r="I1432" i="7"/>
  <c r="A1433" i="7"/>
  <c r="B1433" i="7"/>
  <c r="C1433" i="7"/>
  <c r="D1433" i="7"/>
  <c r="E1433" i="7"/>
  <c r="F1433" i="7"/>
  <c r="G1433" i="7"/>
  <c r="H1433" i="7"/>
  <c r="I1433" i="7"/>
  <c r="A1434" i="7"/>
  <c r="B1434" i="7"/>
  <c r="C1434" i="7"/>
  <c r="D1434" i="7"/>
  <c r="E1434" i="7"/>
  <c r="F1434" i="7"/>
  <c r="G1434" i="7"/>
  <c r="H1434" i="7"/>
  <c r="I1434" i="7"/>
  <c r="A1435" i="7"/>
  <c r="B1435" i="7"/>
  <c r="C1435" i="7"/>
  <c r="D1435" i="7"/>
  <c r="E1435" i="7"/>
  <c r="F1435" i="7"/>
  <c r="G1435" i="7"/>
  <c r="H1435" i="7"/>
  <c r="I1435" i="7"/>
  <c r="A1436" i="7"/>
  <c r="B1436" i="7"/>
  <c r="C1436" i="7"/>
  <c r="D1436" i="7"/>
  <c r="E1436" i="7"/>
  <c r="F1436" i="7"/>
  <c r="G1436" i="7"/>
  <c r="H1436" i="7"/>
  <c r="I1436" i="7"/>
  <c r="A1437" i="7"/>
  <c r="B1437" i="7"/>
  <c r="C1437" i="7"/>
  <c r="D1437" i="7"/>
  <c r="E1437" i="7"/>
  <c r="F1437" i="7"/>
  <c r="G1437" i="7"/>
  <c r="H1437" i="7"/>
  <c r="I1437" i="7"/>
  <c r="A1438" i="7"/>
  <c r="B1438" i="7"/>
  <c r="C1438" i="7"/>
  <c r="D1438" i="7"/>
  <c r="E1438" i="7"/>
  <c r="F1438" i="7"/>
  <c r="G1438" i="7"/>
  <c r="H1438" i="7"/>
  <c r="I1438" i="7"/>
  <c r="A1439" i="7"/>
  <c r="B1439" i="7"/>
  <c r="C1439" i="7"/>
  <c r="D1439" i="7"/>
  <c r="E1439" i="7"/>
  <c r="F1439" i="7"/>
  <c r="G1439" i="7"/>
  <c r="H1439" i="7"/>
  <c r="I1439" i="7"/>
  <c r="A1440" i="7"/>
  <c r="B1440" i="7"/>
  <c r="C1440" i="7"/>
  <c r="D1440" i="7"/>
  <c r="E1440" i="7"/>
  <c r="F1440" i="7"/>
  <c r="G1440" i="7"/>
  <c r="H1440" i="7"/>
  <c r="I1440" i="7"/>
  <c r="A1441" i="7"/>
  <c r="B1441" i="7"/>
  <c r="C1441" i="7"/>
  <c r="D1441" i="7"/>
  <c r="E1441" i="7"/>
  <c r="F1441" i="7"/>
  <c r="G1441" i="7"/>
  <c r="H1441" i="7"/>
  <c r="I1441" i="7"/>
  <c r="A1442" i="7"/>
  <c r="B1442" i="7"/>
  <c r="C1442" i="7"/>
  <c r="D1442" i="7"/>
  <c r="E1442" i="7"/>
  <c r="F1442" i="7"/>
  <c r="G1442" i="7"/>
  <c r="H1442" i="7"/>
  <c r="I1442" i="7"/>
  <c r="A1443" i="7"/>
  <c r="B1443" i="7"/>
  <c r="C1443" i="7"/>
  <c r="D1443" i="7"/>
  <c r="E1443" i="7"/>
  <c r="F1443" i="7"/>
  <c r="G1443" i="7"/>
  <c r="H1443" i="7"/>
  <c r="I1443" i="7"/>
  <c r="A1444" i="7"/>
  <c r="B1444" i="7"/>
  <c r="C1444" i="7"/>
  <c r="D1444" i="7"/>
  <c r="E1444" i="7"/>
  <c r="F1444" i="7"/>
  <c r="G1444" i="7"/>
  <c r="H1444" i="7"/>
  <c r="I1444" i="7"/>
  <c r="A1445" i="7"/>
  <c r="B1445" i="7"/>
  <c r="C1445" i="7"/>
  <c r="D1445" i="7"/>
  <c r="E1445" i="7"/>
  <c r="F1445" i="7"/>
  <c r="G1445" i="7"/>
  <c r="H1445" i="7"/>
  <c r="I1445" i="7"/>
  <c r="A1446" i="7"/>
  <c r="B1446" i="7"/>
  <c r="C1446" i="7"/>
  <c r="D1446" i="7"/>
  <c r="E1446" i="7"/>
  <c r="F1446" i="7"/>
  <c r="G1446" i="7"/>
  <c r="H1446" i="7"/>
  <c r="I1446" i="7"/>
  <c r="A1447" i="7"/>
  <c r="B1447" i="7"/>
  <c r="C1447" i="7"/>
  <c r="D1447" i="7"/>
  <c r="E1447" i="7"/>
  <c r="F1447" i="7"/>
  <c r="G1447" i="7"/>
  <c r="H1447" i="7"/>
  <c r="I1447" i="7"/>
  <c r="A1448" i="7"/>
  <c r="B1448" i="7"/>
  <c r="C1448" i="7"/>
  <c r="D1448" i="7"/>
  <c r="E1448" i="7"/>
  <c r="F1448" i="7"/>
  <c r="G1448" i="7"/>
  <c r="H1448" i="7"/>
  <c r="I1448" i="7"/>
  <c r="A1449" i="7"/>
  <c r="B1449" i="7"/>
  <c r="C1449" i="7"/>
  <c r="D1449" i="7"/>
  <c r="E1449" i="7"/>
  <c r="F1449" i="7"/>
  <c r="G1449" i="7"/>
  <c r="H1449" i="7"/>
  <c r="I1449" i="7"/>
  <c r="A1450" i="7"/>
  <c r="B1450" i="7"/>
  <c r="C1450" i="7"/>
  <c r="D1450" i="7"/>
  <c r="E1450" i="7"/>
  <c r="F1450" i="7"/>
  <c r="G1450" i="7"/>
  <c r="H1450" i="7"/>
  <c r="I1450" i="7"/>
  <c r="A1451" i="7"/>
  <c r="B1451" i="7"/>
  <c r="C1451" i="7"/>
  <c r="D1451" i="7"/>
  <c r="E1451" i="7"/>
  <c r="F1451" i="7"/>
  <c r="G1451" i="7"/>
  <c r="H1451" i="7"/>
  <c r="I1451" i="7"/>
  <c r="A1452" i="7"/>
  <c r="B1452" i="7"/>
  <c r="C1452" i="7"/>
  <c r="D1452" i="7"/>
  <c r="E1452" i="7"/>
  <c r="F1452" i="7"/>
  <c r="G1452" i="7"/>
  <c r="H1452" i="7"/>
  <c r="I1452" i="7"/>
  <c r="A1453" i="7"/>
  <c r="B1453" i="7"/>
  <c r="C1453" i="7"/>
  <c r="D1453" i="7"/>
  <c r="E1453" i="7"/>
  <c r="F1453" i="7"/>
  <c r="G1453" i="7"/>
  <c r="H1453" i="7"/>
  <c r="I1453" i="7"/>
  <c r="A1454" i="7"/>
  <c r="B1454" i="7"/>
  <c r="C1454" i="7"/>
  <c r="D1454" i="7"/>
  <c r="E1454" i="7"/>
  <c r="F1454" i="7"/>
  <c r="G1454" i="7"/>
  <c r="H1454" i="7"/>
  <c r="I1454" i="7"/>
  <c r="A1455" i="7"/>
  <c r="B1455" i="7"/>
  <c r="C1455" i="7"/>
  <c r="D1455" i="7"/>
  <c r="E1455" i="7"/>
  <c r="F1455" i="7"/>
  <c r="G1455" i="7"/>
  <c r="H1455" i="7"/>
  <c r="I1455" i="7"/>
  <c r="A1456" i="7"/>
  <c r="B1456" i="7"/>
  <c r="C1456" i="7"/>
  <c r="D1456" i="7"/>
  <c r="E1456" i="7"/>
  <c r="F1456" i="7"/>
  <c r="G1456" i="7"/>
  <c r="H1456" i="7"/>
  <c r="I1456" i="7"/>
  <c r="A1457" i="7"/>
  <c r="B1457" i="7"/>
  <c r="C1457" i="7"/>
  <c r="D1457" i="7"/>
  <c r="E1457" i="7"/>
  <c r="F1457" i="7"/>
  <c r="G1457" i="7"/>
  <c r="H1457" i="7"/>
  <c r="I1457" i="7"/>
  <c r="A1458" i="7"/>
  <c r="B1458" i="7"/>
  <c r="C1458" i="7"/>
  <c r="D1458" i="7"/>
  <c r="E1458" i="7"/>
  <c r="F1458" i="7"/>
  <c r="G1458" i="7"/>
  <c r="H1458" i="7"/>
  <c r="I1458" i="7"/>
  <c r="A1459" i="7"/>
  <c r="B1459" i="7"/>
  <c r="C1459" i="7"/>
  <c r="D1459" i="7"/>
  <c r="E1459" i="7"/>
  <c r="F1459" i="7"/>
  <c r="G1459" i="7"/>
  <c r="H1459" i="7"/>
  <c r="I1459" i="7"/>
  <c r="A1460" i="7"/>
  <c r="B1460" i="7"/>
  <c r="C1460" i="7"/>
  <c r="D1460" i="7"/>
  <c r="E1460" i="7"/>
  <c r="F1460" i="7"/>
  <c r="G1460" i="7"/>
  <c r="H1460" i="7"/>
  <c r="I1460" i="7"/>
  <c r="A1461" i="7"/>
  <c r="B1461" i="7"/>
  <c r="C1461" i="7"/>
  <c r="D1461" i="7"/>
  <c r="E1461" i="7"/>
  <c r="F1461" i="7"/>
  <c r="G1461" i="7"/>
  <c r="H1461" i="7"/>
  <c r="I1461" i="7"/>
  <c r="A1462" i="7"/>
  <c r="B1462" i="7"/>
  <c r="C1462" i="7"/>
  <c r="D1462" i="7"/>
  <c r="E1462" i="7"/>
  <c r="F1462" i="7"/>
  <c r="G1462" i="7"/>
  <c r="H1462" i="7"/>
  <c r="I1462" i="7"/>
  <c r="A1463" i="7"/>
  <c r="B1463" i="7"/>
  <c r="C1463" i="7"/>
  <c r="D1463" i="7"/>
  <c r="E1463" i="7"/>
  <c r="F1463" i="7"/>
  <c r="G1463" i="7"/>
  <c r="H1463" i="7"/>
  <c r="I1463" i="7"/>
  <c r="A1464" i="7"/>
  <c r="B1464" i="7"/>
  <c r="C1464" i="7"/>
  <c r="D1464" i="7"/>
  <c r="E1464" i="7"/>
  <c r="F1464" i="7"/>
  <c r="G1464" i="7"/>
  <c r="H1464" i="7"/>
  <c r="I1464" i="7"/>
  <c r="A1465" i="7"/>
  <c r="B1465" i="7"/>
  <c r="C1465" i="7"/>
  <c r="D1465" i="7"/>
  <c r="E1465" i="7"/>
  <c r="F1465" i="7"/>
  <c r="G1465" i="7"/>
  <c r="H1465" i="7"/>
  <c r="I1465" i="7"/>
  <c r="A1466" i="7"/>
  <c r="B1466" i="7"/>
  <c r="C1466" i="7"/>
  <c r="D1466" i="7"/>
  <c r="E1466" i="7"/>
  <c r="F1466" i="7"/>
  <c r="G1466" i="7"/>
  <c r="H1466" i="7"/>
  <c r="I1466" i="7"/>
  <c r="A1467" i="7"/>
  <c r="B1467" i="7"/>
  <c r="C1467" i="7"/>
  <c r="D1467" i="7"/>
  <c r="E1467" i="7"/>
  <c r="F1467" i="7"/>
  <c r="G1467" i="7"/>
  <c r="H1467" i="7"/>
  <c r="I1467" i="7"/>
  <c r="A1468" i="7"/>
  <c r="B1468" i="7"/>
  <c r="C1468" i="7"/>
  <c r="D1468" i="7"/>
  <c r="E1468" i="7"/>
  <c r="F1468" i="7"/>
  <c r="G1468" i="7"/>
  <c r="H1468" i="7"/>
  <c r="I1468" i="7"/>
  <c r="A1469" i="7"/>
  <c r="B1469" i="7"/>
  <c r="C1469" i="7"/>
  <c r="D1469" i="7"/>
  <c r="E1469" i="7"/>
  <c r="F1469" i="7"/>
  <c r="G1469" i="7"/>
  <c r="H1469" i="7"/>
  <c r="I1469" i="7"/>
  <c r="A1470" i="7"/>
  <c r="B1470" i="7"/>
  <c r="C1470" i="7"/>
  <c r="D1470" i="7"/>
  <c r="E1470" i="7"/>
  <c r="F1470" i="7"/>
  <c r="G1470" i="7"/>
  <c r="H1470" i="7"/>
  <c r="I1470" i="7"/>
  <c r="A1471" i="7"/>
  <c r="B1471" i="7"/>
  <c r="C1471" i="7"/>
  <c r="D1471" i="7"/>
  <c r="E1471" i="7"/>
  <c r="F1471" i="7"/>
  <c r="G1471" i="7"/>
  <c r="H1471" i="7"/>
  <c r="I1471" i="7"/>
  <c r="A1472" i="7"/>
  <c r="B1472" i="7"/>
  <c r="C1472" i="7"/>
  <c r="D1472" i="7"/>
  <c r="E1472" i="7"/>
  <c r="F1472" i="7"/>
  <c r="G1472" i="7"/>
  <c r="H1472" i="7"/>
  <c r="I1472" i="7"/>
  <c r="A1473" i="7"/>
  <c r="B1473" i="7"/>
  <c r="C1473" i="7"/>
  <c r="D1473" i="7"/>
  <c r="E1473" i="7"/>
  <c r="F1473" i="7"/>
  <c r="G1473" i="7"/>
  <c r="H1473" i="7"/>
  <c r="I1473" i="7"/>
  <c r="A1474" i="7"/>
  <c r="B1474" i="7"/>
  <c r="C1474" i="7"/>
  <c r="D1474" i="7"/>
  <c r="E1474" i="7"/>
  <c r="F1474" i="7"/>
  <c r="G1474" i="7"/>
  <c r="H1474" i="7"/>
  <c r="I1474" i="7"/>
  <c r="A1475" i="7"/>
  <c r="B1475" i="7"/>
  <c r="C1475" i="7"/>
  <c r="D1475" i="7"/>
  <c r="E1475" i="7"/>
  <c r="F1475" i="7"/>
  <c r="G1475" i="7"/>
  <c r="H1475" i="7"/>
  <c r="I1475" i="7"/>
  <c r="A1476" i="7"/>
  <c r="B1476" i="7"/>
  <c r="C1476" i="7"/>
  <c r="D1476" i="7"/>
  <c r="E1476" i="7"/>
  <c r="F1476" i="7"/>
  <c r="G1476" i="7"/>
  <c r="H1476" i="7"/>
  <c r="I1476" i="7"/>
  <c r="A1477" i="7"/>
  <c r="B1477" i="7"/>
  <c r="C1477" i="7"/>
  <c r="D1477" i="7"/>
  <c r="E1477" i="7"/>
  <c r="F1477" i="7"/>
  <c r="G1477" i="7"/>
  <c r="H1477" i="7"/>
  <c r="I1477" i="7"/>
  <c r="A1478" i="7"/>
  <c r="B1478" i="7"/>
  <c r="C1478" i="7"/>
  <c r="D1478" i="7"/>
  <c r="E1478" i="7"/>
  <c r="F1478" i="7"/>
  <c r="G1478" i="7"/>
  <c r="H1478" i="7"/>
  <c r="I1478" i="7"/>
  <c r="A1479" i="7"/>
  <c r="B1479" i="7"/>
  <c r="C1479" i="7"/>
  <c r="D1479" i="7"/>
  <c r="E1479" i="7"/>
  <c r="F1479" i="7"/>
  <c r="G1479" i="7"/>
  <c r="H1479" i="7"/>
  <c r="I1479" i="7"/>
  <c r="A1480" i="7"/>
  <c r="B1480" i="7"/>
  <c r="C1480" i="7"/>
  <c r="D1480" i="7"/>
  <c r="E1480" i="7"/>
  <c r="F1480" i="7"/>
  <c r="G1480" i="7"/>
  <c r="H1480" i="7"/>
  <c r="I1480" i="7"/>
  <c r="A1481" i="7"/>
  <c r="B1481" i="7"/>
  <c r="C1481" i="7"/>
  <c r="D1481" i="7"/>
  <c r="E1481" i="7"/>
  <c r="F1481" i="7"/>
  <c r="G1481" i="7"/>
  <c r="H1481" i="7"/>
  <c r="I1481" i="7"/>
  <c r="A1482" i="7"/>
  <c r="B1482" i="7"/>
  <c r="C1482" i="7"/>
  <c r="D1482" i="7"/>
  <c r="E1482" i="7"/>
  <c r="F1482" i="7"/>
  <c r="G1482" i="7"/>
  <c r="H1482" i="7"/>
  <c r="I1482" i="7"/>
  <c r="A1483" i="7"/>
  <c r="B1483" i="7"/>
  <c r="C1483" i="7"/>
  <c r="D1483" i="7"/>
  <c r="E1483" i="7"/>
  <c r="F1483" i="7"/>
  <c r="G1483" i="7"/>
  <c r="H1483" i="7"/>
  <c r="I1483" i="7"/>
  <c r="A1484" i="7"/>
  <c r="B1484" i="7"/>
  <c r="C1484" i="7"/>
  <c r="D1484" i="7"/>
  <c r="E1484" i="7"/>
  <c r="F1484" i="7"/>
  <c r="G1484" i="7"/>
  <c r="H1484" i="7"/>
  <c r="I1484" i="7"/>
  <c r="A1485" i="7"/>
  <c r="B1485" i="7"/>
  <c r="C1485" i="7"/>
  <c r="D1485" i="7"/>
  <c r="E1485" i="7"/>
  <c r="F1485" i="7"/>
  <c r="G1485" i="7"/>
  <c r="H1485" i="7"/>
  <c r="I1485" i="7"/>
  <c r="A1486" i="7"/>
  <c r="B1486" i="7"/>
  <c r="C1486" i="7"/>
  <c r="D1486" i="7"/>
  <c r="E1486" i="7"/>
  <c r="F1486" i="7"/>
  <c r="G1486" i="7"/>
  <c r="H1486" i="7"/>
  <c r="I1486" i="7"/>
  <c r="A1487" i="7"/>
  <c r="B1487" i="7"/>
  <c r="C1487" i="7"/>
  <c r="D1487" i="7"/>
  <c r="E1487" i="7"/>
  <c r="F1487" i="7"/>
  <c r="G1487" i="7"/>
  <c r="H1487" i="7"/>
  <c r="I1487" i="7"/>
  <c r="A1488" i="7"/>
  <c r="B1488" i="7"/>
  <c r="C1488" i="7"/>
  <c r="D1488" i="7"/>
  <c r="E1488" i="7"/>
  <c r="F1488" i="7"/>
  <c r="G1488" i="7"/>
  <c r="H1488" i="7"/>
  <c r="I1488" i="7"/>
  <c r="A1489" i="7"/>
  <c r="B1489" i="7"/>
  <c r="C1489" i="7"/>
  <c r="D1489" i="7"/>
  <c r="E1489" i="7"/>
  <c r="F1489" i="7"/>
  <c r="G1489" i="7"/>
  <c r="H1489" i="7"/>
  <c r="I1489" i="7"/>
  <c r="A1490" i="7"/>
  <c r="B1490" i="7"/>
  <c r="C1490" i="7"/>
  <c r="D1490" i="7"/>
  <c r="E1490" i="7"/>
  <c r="F1490" i="7"/>
  <c r="G1490" i="7"/>
  <c r="H1490" i="7"/>
  <c r="I1490" i="7"/>
  <c r="A1491" i="7"/>
  <c r="B1491" i="7"/>
  <c r="C1491" i="7"/>
  <c r="D1491" i="7"/>
  <c r="E1491" i="7"/>
  <c r="F1491" i="7"/>
  <c r="G1491" i="7"/>
  <c r="H1491" i="7"/>
  <c r="I1491" i="7"/>
  <c r="A1492" i="7"/>
  <c r="B1492" i="7"/>
  <c r="C1492" i="7"/>
  <c r="D1492" i="7"/>
  <c r="E1492" i="7"/>
  <c r="F1492" i="7"/>
  <c r="G1492" i="7"/>
  <c r="H1492" i="7"/>
  <c r="I1492" i="7"/>
  <c r="A1493" i="7"/>
  <c r="B1493" i="7"/>
  <c r="C1493" i="7"/>
  <c r="D1493" i="7"/>
  <c r="E1493" i="7"/>
  <c r="F1493" i="7"/>
  <c r="G1493" i="7"/>
  <c r="H1493" i="7"/>
  <c r="I1493" i="7"/>
  <c r="A1494" i="7"/>
  <c r="B1494" i="7"/>
  <c r="C1494" i="7"/>
  <c r="D1494" i="7"/>
  <c r="E1494" i="7"/>
  <c r="F1494" i="7"/>
  <c r="G1494" i="7"/>
  <c r="H1494" i="7"/>
  <c r="I1494" i="7"/>
  <c r="A1495" i="7"/>
  <c r="B1495" i="7"/>
  <c r="C1495" i="7"/>
  <c r="D1495" i="7"/>
  <c r="E1495" i="7"/>
  <c r="F1495" i="7"/>
  <c r="G1495" i="7"/>
  <c r="H1495" i="7"/>
  <c r="I1495" i="7"/>
  <c r="A1496" i="7"/>
  <c r="B1496" i="7"/>
  <c r="C1496" i="7"/>
  <c r="D1496" i="7"/>
  <c r="E1496" i="7"/>
  <c r="F1496" i="7"/>
  <c r="G1496" i="7"/>
  <c r="H1496" i="7"/>
  <c r="I1496" i="7"/>
  <c r="A1497" i="7"/>
  <c r="B1497" i="7"/>
  <c r="C1497" i="7"/>
  <c r="D1497" i="7"/>
  <c r="E1497" i="7"/>
  <c r="F1497" i="7"/>
  <c r="G1497" i="7"/>
  <c r="H1497" i="7"/>
  <c r="I1497" i="7"/>
  <c r="A1498" i="7"/>
  <c r="B1498" i="7"/>
  <c r="C1498" i="7"/>
  <c r="D1498" i="7"/>
  <c r="E1498" i="7"/>
  <c r="F1498" i="7"/>
  <c r="G1498" i="7"/>
  <c r="H1498" i="7"/>
  <c r="I1498" i="7"/>
  <c r="A1499" i="7"/>
  <c r="B1499" i="7"/>
  <c r="C1499" i="7"/>
  <c r="D1499" i="7"/>
  <c r="E1499" i="7"/>
  <c r="F1499" i="7"/>
  <c r="G1499" i="7"/>
  <c r="H1499" i="7"/>
  <c r="I1499" i="7"/>
  <c r="A1500" i="7"/>
  <c r="B1500" i="7"/>
  <c r="C1500" i="7"/>
  <c r="D1500" i="7"/>
  <c r="E1500" i="7"/>
  <c r="F1500" i="7"/>
  <c r="G1500" i="7"/>
  <c r="H1500" i="7"/>
  <c r="I1500" i="7"/>
  <c r="A1501" i="7"/>
  <c r="B1501" i="7"/>
  <c r="C1501" i="7"/>
  <c r="D1501" i="7"/>
  <c r="E1501" i="7"/>
  <c r="F1501" i="7"/>
  <c r="G1501" i="7"/>
  <c r="H1501" i="7"/>
  <c r="I1501" i="7"/>
  <c r="A1502" i="7"/>
  <c r="B1502" i="7"/>
  <c r="C1502" i="7"/>
  <c r="D1502" i="7"/>
  <c r="E1502" i="7"/>
  <c r="F1502" i="7"/>
  <c r="G1502" i="7"/>
  <c r="H1502" i="7"/>
  <c r="I1502" i="7"/>
  <c r="A1503" i="7"/>
  <c r="B1503" i="7"/>
  <c r="C1503" i="7"/>
  <c r="D1503" i="7"/>
  <c r="E1503" i="7"/>
  <c r="F1503" i="7"/>
  <c r="G1503" i="7"/>
  <c r="H1503" i="7"/>
  <c r="I1503" i="7"/>
  <c r="A1504" i="7"/>
  <c r="B1504" i="7"/>
  <c r="C1504" i="7"/>
  <c r="D1504" i="7"/>
  <c r="E1504" i="7"/>
  <c r="F1504" i="7"/>
  <c r="G1504" i="7"/>
  <c r="H1504" i="7"/>
  <c r="I1504" i="7"/>
  <c r="A1505" i="7"/>
  <c r="B1505" i="7"/>
  <c r="C1505" i="7"/>
  <c r="D1505" i="7"/>
  <c r="E1505" i="7"/>
  <c r="F1505" i="7"/>
  <c r="G1505" i="7"/>
  <c r="H1505" i="7"/>
  <c r="I1505" i="7"/>
  <c r="A1506" i="7"/>
  <c r="B1506" i="7"/>
  <c r="C1506" i="7"/>
  <c r="D1506" i="7"/>
  <c r="E1506" i="7"/>
  <c r="F1506" i="7"/>
  <c r="G1506" i="7"/>
  <c r="H1506" i="7"/>
  <c r="I1506" i="7"/>
  <c r="A1507" i="7"/>
  <c r="B1507" i="7"/>
  <c r="C1507" i="7"/>
  <c r="D1507" i="7"/>
  <c r="E1507" i="7"/>
  <c r="F1507" i="7"/>
  <c r="G1507" i="7"/>
  <c r="H1507" i="7"/>
  <c r="I1507" i="7"/>
  <c r="A1508" i="7"/>
  <c r="B1508" i="7"/>
  <c r="C1508" i="7"/>
  <c r="D1508" i="7"/>
  <c r="E1508" i="7"/>
  <c r="F1508" i="7"/>
  <c r="G1508" i="7"/>
  <c r="H1508" i="7"/>
  <c r="I1508" i="7"/>
  <c r="A1509" i="7"/>
  <c r="B1509" i="7"/>
  <c r="C1509" i="7"/>
  <c r="D1509" i="7"/>
  <c r="E1509" i="7"/>
  <c r="F1509" i="7"/>
  <c r="G1509" i="7"/>
  <c r="H1509" i="7"/>
  <c r="I1509" i="7"/>
  <c r="A1510" i="7"/>
  <c r="B1510" i="7"/>
  <c r="C1510" i="7"/>
  <c r="D1510" i="7"/>
  <c r="E1510" i="7"/>
  <c r="F1510" i="7"/>
  <c r="G1510" i="7"/>
  <c r="H1510" i="7"/>
  <c r="I1510" i="7"/>
  <c r="A1511" i="7"/>
  <c r="B1511" i="7"/>
  <c r="C1511" i="7"/>
  <c r="D1511" i="7"/>
  <c r="E1511" i="7"/>
  <c r="F1511" i="7"/>
  <c r="G1511" i="7"/>
  <c r="H1511" i="7"/>
  <c r="I1511" i="7"/>
  <c r="A1512" i="7"/>
  <c r="B1512" i="7"/>
  <c r="C1512" i="7"/>
  <c r="D1512" i="7"/>
  <c r="E1512" i="7"/>
  <c r="F1512" i="7"/>
  <c r="G1512" i="7"/>
  <c r="H1512" i="7"/>
  <c r="I1512" i="7"/>
  <c r="A1513" i="7"/>
  <c r="B1513" i="7"/>
  <c r="C1513" i="7"/>
  <c r="D1513" i="7"/>
  <c r="E1513" i="7"/>
  <c r="F1513" i="7"/>
  <c r="G1513" i="7"/>
  <c r="H1513" i="7"/>
  <c r="I1513" i="7"/>
  <c r="A1514" i="7"/>
  <c r="B1514" i="7"/>
  <c r="C1514" i="7"/>
  <c r="D1514" i="7"/>
  <c r="E1514" i="7"/>
  <c r="F1514" i="7"/>
  <c r="G1514" i="7"/>
  <c r="H1514" i="7"/>
  <c r="I1514" i="7"/>
  <c r="A1515" i="7"/>
  <c r="B1515" i="7"/>
  <c r="C1515" i="7"/>
  <c r="D1515" i="7"/>
  <c r="E1515" i="7"/>
  <c r="F1515" i="7"/>
  <c r="G1515" i="7"/>
  <c r="H1515" i="7"/>
  <c r="I1515" i="7"/>
  <c r="A1516" i="7"/>
  <c r="B1516" i="7"/>
  <c r="C1516" i="7"/>
  <c r="D1516" i="7"/>
  <c r="E1516" i="7"/>
  <c r="F1516" i="7"/>
  <c r="G1516" i="7"/>
  <c r="H1516" i="7"/>
  <c r="I1516" i="7"/>
  <c r="A1517" i="7"/>
  <c r="B1517" i="7"/>
  <c r="C1517" i="7"/>
  <c r="D1517" i="7"/>
  <c r="E1517" i="7"/>
  <c r="F1517" i="7"/>
  <c r="G1517" i="7"/>
  <c r="H1517" i="7"/>
  <c r="I1517" i="7"/>
  <c r="A1518" i="7"/>
  <c r="B1518" i="7"/>
  <c r="C1518" i="7"/>
  <c r="D1518" i="7"/>
  <c r="E1518" i="7"/>
  <c r="F1518" i="7"/>
  <c r="G1518" i="7"/>
  <c r="H1518" i="7"/>
  <c r="I1518" i="7"/>
  <c r="A1519" i="7"/>
  <c r="B1519" i="7"/>
  <c r="C1519" i="7"/>
  <c r="D1519" i="7"/>
  <c r="E1519" i="7"/>
  <c r="F1519" i="7"/>
  <c r="G1519" i="7"/>
  <c r="H1519" i="7"/>
  <c r="I1519" i="7"/>
  <c r="A1520" i="7"/>
  <c r="B1520" i="7"/>
  <c r="C1520" i="7"/>
  <c r="D1520" i="7"/>
  <c r="E1520" i="7"/>
  <c r="F1520" i="7"/>
  <c r="G1520" i="7"/>
  <c r="H1520" i="7"/>
  <c r="I1520" i="7"/>
  <c r="A1521" i="7"/>
  <c r="B1521" i="7"/>
  <c r="C1521" i="7"/>
  <c r="D1521" i="7"/>
  <c r="E1521" i="7"/>
  <c r="F1521" i="7"/>
  <c r="G1521" i="7"/>
  <c r="H1521" i="7"/>
  <c r="I1521" i="7"/>
  <c r="A1522" i="7"/>
  <c r="B1522" i="7"/>
  <c r="C1522" i="7"/>
  <c r="D1522" i="7"/>
  <c r="E1522" i="7"/>
  <c r="F1522" i="7"/>
  <c r="G1522" i="7"/>
  <c r="H1522" i="7"/>
  <c r="I1522" i="7"/>
  <c r="A1523" i="7"/>
  <c r="B1523" i="7"/>
  <c r="C1523" i="7"/>
  <c r="D1523" i="7"/>
  <c r="E1523" i="7"/>
  <c r="F1523" i="7"/>
  <c r="G1523" i="7"/>
  <c r="H1523" i="7"/>
  <c r="I1523" i="7"/>
  <c r="A1524" i="7"/>
  <c r="B1524" i="7"/>
  <c r="C1524" i="7"/>
  <c r="D1524" i="7"/>
  <c r="E1524" i="7"/>
  <c r="F1524" i="7"/>
  <c r="G1524" i="7"/>
  <c r="H1524" i="7"/>
  <c r="I1524" i="7"/>
  <c r="A1525" i="7"/>
  <c r="B1525" i="7"/>
  <c r="C1525" i="7"/>
  <c r="D1525" i="7"/>
  <c r="E1525" i="7"/>
  <c r="F1525" i="7"/>
  <c r="G1525" i="7"/>
  <c r="H1525" i="7"/>
  <c r="I1525" i="7"/>
  <c r="A1526" i="7"/>
  <c r="B1526" i="7"/>
  <c r="C1526" i="7"/>
  <c r="D1526" i="7"/>
  <c r="E1526" i="7"/>
  <c r="F1526" i="7"/>
  <c r="G1526" i="7"/>
  <c r="H1526" i="7"/>
  <c r="I1526" i="7"/>
  <c r="A1527" i="7"/>
  <c r="B1527" i="7"/>
  <c r="C1527" i="7"/>
  <c r="D1527" i="7"/>
  <c r="E1527" i="7"/>
  <c r="F1527" i="7"/>
  <c r="G1527" i="7"/>
  <c r="H1527" i="7"/>
  <c r="I1527" i="7"/>
  <c r="A1528" i="7"/>
  <c r="B1528" i="7"/>
  <c r="C1528" i="7"/>
  <c r="D1528" i="7"/>
  <c r="E1528" i="7"/>
  <c r="F1528" i="7"/>
  <c r="G1528" i="7"/>
  <c r="H1528" i="7"/>
  <c r="I1528" i="7"/>
  <c r="A1529" i="7"/>
  <c r="B1529" i="7"/>
  <c r="C1529" i="7"/>
  <c r="D1529" i="7"/>
  <c r="E1529" i="7"/>
  <c r="F1529" i="7"/>
  <c r="G1529" i="7"/>
  <c r="H1529" i="7"/>
  <c r="I1529" i="7"/>
  <c r="A1530" i="7"/>
  <c r="B1530" i="7"/>
  <c r="C1530" i="7"/>
  <c r="D1530" i="7"/>
  <c r="E1530" i="7"/>
  <c r="F1530" i="7"/>
  <c r="G1530" i="7"/>
  <c r="H1530" i="7"/>
  <c r="I1530" i="7"/>
  <c r="A1531" i="7"/>
  <c r="B1531" i="7"/>
  <c r="C1531" i="7"/>
  <c r="D1531" i="7"/>
  <c r="E1531" i="7"/>
  <c r="F1531" i="7"/>
  <c r="G1531" i="7"/>
  <c r="H1531" i="7"/>
  <c r="I1531" i="7"/>
  <c r="A1532" i="7"/>
  <c r="B1532" i="7"/>
  <c r="C1532" i="7"/>
  <c r="D1532" i="7"/>
  <c r="E1532" i="7"/>
  <c r="F1532" i="7"/>
  <c r="G1532" i="7"/>
  <c r="H1532" i="7"/>
  <c r="I1532" i="7"/>
  <c r="A1533" i="7"/>
  <c r="B1533" i="7"/>
  <c r="C1533" i="7"/>
  <c r="D1533" i="7"/>
  <c r="E1533" i="7"/>
  <c r="F1533" i="7"/>
  <c r="G1533" i="7"/>
  <c r="H1533" i="7"/>
  <c r="I1533" i="7"/>
  <c r="A1534" i="7"/>
  <c r="B1534" i="7"/>
  <c r="C1534" i="7"/>
  <c r="D1534" i="7"/>
  <c r="E1534" i="7"/>
  <c r="F1534" i="7"/>
  <c r="G1534" i="7"/>
  <c r="H1534" i="7"/>
  <c r="I1534" i="7"/>
  <c r="A1535" i="7"/>
  <c r="B1535" i="7"/>
  <c r="C1535" i="7"/>
  <c r="D1535" i="7"/>
  <c r="E1535" i="7"/>
  <c r="F1535" i="7"/>
  <c r="G1535" i="7"/>
  <c r="H1535" i="7"/>
  <c r="I1535" i="7"/>
  <c r="A1536" i="7"/>
  <c r="B1536" i="7"/>
  <c r="C1536" i="7"/>
  <c r="D1536" i="7"/>
  <c r="E1536" i="7"/>
  <c r="F1536" i="7"/>
  <c r="G1536" i="7"/>
  <c r="H1536" i="7"/>
  <c r="I1536" i="7"/>
  <c r="A1537" i="7"/>
  <c r="B1537" i="7"/>
  <c r="C1537" i="7"/>
  <c r="D1537" i="7"/>
  <c r="E1537" i="7"/>
  <c r="F1537" i="7"/>
  <c r="G1537" i="7"/>
  <c r="H1537" i="7"/>
  <c r="I1537" i="7"/>
  <c r="A1538" i="7"/>
  <c r="B1538" i="7"/>
  <c r="C1538" i="7"/>
  <c r="D1538" i="7"/>
  <c r="E1538" i="7"/>
  <c r="F1538" i="7"/>
  <c r="G1538" i="7"/>
  <c r="H1538" i="7"/>
  <c r="I1538" i="7"/>
  <c r="A1539" i="7"/>
  <c r="B1539" i="7"/>
  <c r="C1539" i="7"/>
  <c r="D1539" i="7"/>
  <c r="E1539" i="7"/>
  <c r="F1539" i="7"/>
  <c r="G1539" i="7"/>
  <c r="H1539" i="7"/>
  <c r="I1539" i="7"/>
  <c r="A1540" i="7"/>
  <c r="B1540" i="7"/>
  <c r="C1540" i="7"/>
  <c r="D1540" i="7"/>
  <c r="E1540" i="7"/>
  <c r="F1540" i="7"/>
  <c r="G1540" i="7"/>
  <c r="H1540" i="7"/>
  <c r="I1540" i="7"/>
  <c r="A1541" i="7"/>
  <c r="B1541" i="7"/>
  <c r="C1541" i="7"/>
  <c r="D1541" i="7"/>
  <c r="E1541" i="7"/>
  <c r="F1541" i="7"/>
  <c r="G1541" i="7"/>
  <c r="H1541" i="7"/>
  <c r="I1541" i="7"/>
  <c r="A1542" i="7"/>
  <c r="B1542" i="7"/>
  <c r="C1542" i="7"/>
  <c r="D1542" i="7"/>
  <c r="E1542" i="7"/>
  <c r="F1542" i="7"/>
  <c r="G1542" i="7"/>
  <c r="H1542" i="7"/>
  <c r="I1542" i="7"/>
  <c r="A1543" i="7"/>
  <c r="B1543" i="7"/>
  <c r="C1543" i="7"/>
  <c r="D1543" i="7"/>
  <c r="E1543" i="7"/>
  <c r="F1543" i="7"/>
  <c r="G1543" i="7"/>
  <c r="H1543" i="7"/>
  <c r="I1543" i="7"/>
  <c r="A1544" i="7"/>
  <c r="B1544" i="7"/>
  <c r="C1544" i="7"/>
  <c r="D1544" i="7"/>
  <c r="E1544" i="7"/>
  <c r="F1544" i="7"/>
  <c r="G1544" i="7"/>
  <c r="H1544" i="7"/>
  <c r="I1544" i="7"/>
  <c r="A1545" i="7"/>
  <c r="B1545" i="7"/>
  <c r="C1545" i="7"/>
  <c r="D1545" i="7"/>
  <c r="E1545" i="7"/>
  <c r="F1545" i="7"/>
  <c r="G1545" i="7"/>
  <c r="H1545" i="7"/>
  <c r="I1545" i="7"/>
  <c r="A1546" i="7"/>
  <c r="B1546" i="7"/>
  <c r="C1546" i="7"/>
  <c r="D1546" i="7"/>
  <c r="E1546" i="7"/>
  <c r="F1546" i="7"/>
  <c r="G1546" i="7"/>
  <c r="H1546" i="7"/>
  <c r="I1546" i="7"/>
  <c r="A1547" i="7"/>
  <c r="B1547" i="7"/>
  <c r="C1547" i="7"/>
  <c r="D1547" i="7"/>
  <c r="E1547" i="7"/>
  <c r="F1547" i="7"/>
  <c r="G1547" i="7"/>
  <c r="H1547" i="7"/>
  <c r="I1547" i="7"/>
  <c r="A1548" i="7"/>
  <c r="B1548" i="7"/>
  <c r="C1548" i="7"/>
  <c r="D1548" i="7"/>
  <c r="E1548" i="7"/>
  <c r="F1548" i="7"/>
  <c r="G1548" i="7"/>
  <c r="H1548" i="7"/>
  <c r="I1548" i="7"/>
  <c r="A1549" i="7"/>
  <c r="B1549" i="7"/>
  <c r="C1549" i="7"/>
  <c r="D1549" i="7"/>
  <c r="E1549" i="7"/>
  <c r="F1549" i="7"/>
  <c r="G1549" i="7"/>
  <c r="H1549" i="7"/>
  <c r="I1549" i="7"/>
  <c r="A1550" i="7"/>
  <c r="B1550" i="7"/>
  <c r="C1550" i="7"/>
  <c r="D1550" i="7"/>
  <c r="E1550" i="7"/>
  <c r="F1550" i="7"/>
  <c r="G1550" i="7"/>
  <c r="H1550" i="7"/>
  <c r="I1550" i="7"/>
  <c r="A1551" i="7"/>
  <c r="B1551" i="7"/>
  <c r="C1551" i="7"/>
  <c r="D1551" i="7"/>
  <c r="E1551" i="7"/>
  <c r="F1551" i="7"/>
  <c r="G1551" i="7"/>
  <c r="H1551" i="7"/>
  <c r="I1551" i="7"/>
  <c r="A1552" i="7"/>
  <c r="B1552" i="7"/>
  <c r="C1552" i="7"/>
  <c r="D1552" i="7"/>
  <c r="E1552" i="7"/>
  <c r="F1552" i="7"/>
  <c r="G1552" i="7"/>
  <c r="H1552" i="7"/>
  <c r="I1552" i="7"/>
  <c r="A1553" i="7"/>
  <c r="B1553" i="7"/>
  <c r="C1553" i="7"/>
  <c r="D1553" i="7"/>
  <c r="E1553" i="7"/>
  <c r="F1553" i="7"/>
  <c r="G1553" i="7"/>
  <c r="H1553" i="7"/>
  <c r="I1553" i="7"/>
  <c r="A1554" i="7"/>
  <c r="B1554" i="7"/>
  <c r="C1554" i="7"/>
  <c r="D1554" i="7"/>
  <c r="E1554" i="7"/>
  <c r="F1554" i="7"/>
  <c r="G1554" i="7"/>
  <c r="H1554" i="7"/>
  <c r="I1554" i="7"/>
  <c r="A1555" i="7"/>
  <c r="B1555" i="7"/>
  <c r="C1555" i="7"/>
  <c r="D1555" i="7"/>
  <c r="E1555" i="7"/>
  <c r="F1555" i="7"/>
  <c r="G1555" i="7"/>
  <c r="H1555" i="7"/>
  <c r="I1555" i="7"/>
  <c r="A1556" i="7"/>
  <c r="B1556" i="7"/>
  <c r="C1556" i="7"/>
  <c r="D1556" i="7"/>
  <c r="E1556" i="7"/>
  <c r="F1556" i="7"/>
  <c r="G1556" i="7"/>
  <c r="H1556" i="7"/>
  <c r="I1556" i="7"/>
  <c r="A1557" i="7"/>
  <c r="B1557" i="7"/>
  <c r="C1557" i="7"/>
  <c r="D1557" i="7"/>
  <c r="E1557" i="7"/>
  <c r="F1557" i="7"/>
  <c r="G1557" i="7"/>
  <c r="H1557" i="7"/>
  <c r="I1557" i="7"/>
  <c r="A1558" i="7"/>
  <c r="B1558" i="7"/>
  <c r="C1558" i="7"/>
  <c r="D1558" i="7"/>
  <c r="E1558" i="7"/>
  <c r="F1558" i="7"/>
  <c r="G1558" i="7"/>
  <c r="H1558" i="7"/>
  <c r="I1558" i="7"/>
  <c r="A1559" i="7"/>
  <c r="B1559" i="7"/>
  <c r="C1559" i="7"/>
  <c r="D1559" i="7"/>
  <c r="E1559" i="7"/>
  <c r="F1559" i="7"/>
  <c r="G1559" i="7"/>
  <c r="H1559" i="7"/>
  <c r="I1559" i="7"/>
  <c r="A1560" i="7"/>
  <c r="B1560" i="7"/>
  <c r="C1560" i="7"/>
  <c r="D1560" i="7"/>
  <c r="E1560" i="7"/>
  <c r="F1560" i="7"/>
  <c r="G1560" i="7"/>
  <c r="H1560" i="7"/>
  <c r="I1560" i="7"/>
  <c r="A1561" i="7"/>
  <c r="B1561" i="7"/>
  <c r="C1561" i="7"/>
  <c r="D1561" i="7"/>
  <c r="E1561" i="7"/>
  <c r="F1561" i="7"/>
  <c r="G1561" i="7"/>
  <c r="H1561" i="7"/>
  <c r="I1561" i="7"/>
  <c r="A1562" i="7"/>
  <c r="B1562" i="7"/>
  <c r="C1562" i="7"/>
  <c r="D1562" i="7"/>
  <c r="E1562" i="7"/>
  <c r="F1562" i="7"/>
  <c r="G1562" i="7"/>
  <c r="H1562" i="7"/>
  <c r="I1562" i="7"/>
  <c r="A1563" i="7"/>
  <c r="B1563" i="7"/>
  <c r="C1563" i="7"/>
  <c r="D1563" i="7"/>
  <c r="E1563" i="7"/>
  <c r="F1563" i="7"/>
  <c r="G1563" i="7"/>
  <c r="H1563" i="7"/>
  <c r="I1563" i="7"/>
  <c r="A1564" i="7"/>
  <c r="B1564" i="7"/>
  <c r="C1564" i="7"/>
  <c r="D1564" i="7"/>
  <c r="E1564" i="7"/>
  <c r="F1564" i="7"/>
  <c r="G1564" i="7"/>
  <c r="H1564" i="7"/>
  <c r="I1564" i="7"/>
  <c r="A1565" i="7"/>
  <c r="B1565" i="7"/>
  <c r="C1565" i="7"/>
  <c r="D1565" i="7"/>
  <c r="E1565" i="7"/>
  <c r="F1565" i="7"/>
  <c r="G1565" i="7"/>
  <c r="H1565" i="7"/>
  <c r="I1565" i="7"/>
  <c r="A1566" i="7"/>
  <c r="B1566" i="7"/>
  <c r="C1566" i="7"/>
  <c r="D1566" i="7"/>
  <c r="E1566" i="7"/>
  <c r="F1566" i="7"/>
  <c r="G1566" i="7"/>
  <c r="H1566" i="7"/>
  <c r="I1566" i="7"/>
  <c r="A1567" i="7"/>
  <c r="B1567" i="7"/>
  <c r="C1567" i="7"/>
  <c r="D1567" i="7"/>
  <c r="E1567" i="7"/>
  <c r="F1567" i="7"/>
  <c r="G1567" i="7"/>
  <c r="H1567" i="7"/>
  <c r="I1567" i="7"/>
  <c r="A1568" i="7"/>
  <c r="B1568" i="7"/>
  <c r="C1568" i="7"/>
  <c r="D1568" i="7"/>
  <c r="E1568" i="7"/>
  <c r="F1568" i="7"/>
  <c r="G1568" i="7"/>
  <c r="H1568" i="7"/>
  <c r="I1568" i="7"/>
  <c r="A1569" i="7"/>
  <c r="B1569" i="7"/>
  <c r="C1569" i="7"/>
  <c r="D1569" i="7"/>
  <c r="E1569" i="7"/>
  <c r="F1569" i="7"/>
  <c r="G1569" i="7"/>
  <c r="H1569" i="7"/>
  <c r="I1569" i="7"/>
  <c r="A1570" i="7"/>
  <c r="B1570" i="7"/>
  <c r="C1570" i="7"/>
  <c r="D1570" i="7"/>
  <c r="E1570" i="7"/>
  <c r="F1570" i="7"/>
  <c r="G1570" i="7"/>
  <c r="H1570" i="7"/>
  <c r="I1570" i="7"/>
  <c r="A1571" i="7"/>
  <c r="B1571" i="7"/>
  <c r="C1571" i="7"/>
  <c r="D1571" i="7"/>
  <c r="E1571" i="7"/>
  <c r="F1571" i="7"/>
  <c r="G1571" i="7"/>
  <c r="H1571" i="7"/>
  <c r="I1571" i="7"/>
  <c r="A1572" i="7"/>
  <c r="B1572" i="7"/>
  <c r="C1572" i="7"/>
  <c r="D1572" i="7"/>
  <c r="E1572" i="7"/>
  <c r="F1572" i="7"/>
  <c r="G1572" i="7"/>
  <c r="H1572" i="7"/>
  <c r="I1572" i="7"/>
  <c r="A1573" i="7"/>
  <c r="B1573" i="7"/>
  <c r="C1573" i="7"/>
  <c r="D1573" i="7"/>
  <c r="E1573" i="7"/>
  <c r="F1573" i="7"/>
  <c r="G1573" i="7"/>
  <c r="H1573" i="7"/>
  <c r="I1573" i="7"/>
  <c r="A1574" i="7"/>
  <c r="B1574" i="7"/>
  <c r="C1574" i="7"/>
  <c r="D1574" i="7"/>
  <c r="E1574" i="7"/>
  <c r="F1574" i="7"/>
  <c r="G1574" i="7"/>
  <c r="H1574" i="7"/>
  <c r="I1574" i="7"/>
  <c r="A1575" i="7"/>
  <c r="B1575" i="7"/>
  <c r="C1575" i="7"/>
  <c r="D1575" i="7"/>
  <c r="E1575" i="7"/>
  <c r="F1575" i="7"/>
  <c r="G1575" i="7"/>
  <c r="H1575" i="7"/>
  <c r="I1575" i="7"/>
  <c r="A1576" i="7"/>
  <c r="B1576" i="7"/>
  <c r="C1576" i="7"/>
  <c r="D1576" i="7"/>
  <c r="E1576" i="7"/>
  <c r="F1576" i="7"/>
  <c r="G1576" i="7"/>
  <c r="H1576" i="7"/>
  <c r="I1576" i="7"/>
  <c r="A1577" i="7"/>
  <c r="B1577" i="7"/>
  <c r="C1577" i="7"/>
  <c r="D1577" i="7"/>
  <c r="E1577" i="7"/>
  <c r="F1577" i="7"/>
  <c r="G1577" i="7"/>
  <c r="H1577" i="7"/>
  <c r="I1577" i="7"/>
  <c r="A1578" i="7"/>
  <c r="B1578" i="7"/>
  <c r="C1578" i="7"/>
  <c r="D1578" i="7"/>
  <c r="E1578" i="7"/>
  <c r="F1578" i="7"/>
  <c r="G1578" i="7"/>
  <c r="H1578" i="7"/>
  <c r="I1578" i="7"/>
  <c r="A1579" i="7"/>
  <c r="B1579" i="7"/>
  <c r="C1579" i="7"/>
  <c r="D1579" i="7"/>
  <c r="E1579" i="7"/>
  <c r="F1579" i="7"/>
  <c r="G1579" i="7"/>
  <c r="H1579" i="7"/>
  <c r="I1579" i="7"/>
  <c r="A1580" i="7"/>
  <c r="B1580" i="7"/>
  <c r="C1580" i="7"/>
  <c r="D1580" i="7"/>
  <c r="E1580" i="7"/>
  <c r="F1580" i="7"/>
  <c r="G1580" i="7"/>
  <c r="H1580" i="7"/>
  <c r="I1580" i="7"/>
  <c r="A1581" i="7"/>
  <c r="B1581" i="7"/>
  <c r="C1581" i="7"/>
  <c r="D1581" i="7"/>
  <c r="E1581" i="7"/>
  <c r="F1581" i="7"/>
  <c r="G1581" i="7"/>
  <c r="H1581" i="7"/>
  <c r="I1581" i="7"/>
  <c r="A1582" i="7"/>
  <c r="B1582" i="7"/>
  <c r="C1582" i="7"/>
  <c r="D1582" i="7"/>
  <c r="E1582" i="7"/>
  <c r="F1582" i="7"/>
  <c r="G1582" i="7"/>
  <c r="H1582" i="7"/>
  <c r="I1582" i="7"/>
  <c r="A1583" i="7"/>
  <c r="B1583" i="7"/>
  <c r="C1583" i="7"/>
  <c r="D1583" i="7"/>
  <c r="E1583" i="7"/>
  <c r="F1583" i="7"/>
  <c r="G1583" i="7"/>
  <c r="H1583" i="7"/>
  <c r="I1583" i="7"/>
  <c r="A1584" i="7"/>
  <c r="B1584" i="7"/>
  <c r="C1584" i="7"/>
  <c r="D1584" i="7"/>
  <c r="E1584" i="7"/>
  <c r="F1584" i="7"/>
  <c r="G1584" i="7"/>
  <c r="H1584" i="7"/>
  <c r="I1584" i="7"/>
  <c r="A1585" i="7"/>
  <c r="B1585" i="7"/>
  <c r="C1585" i="7"/>
  <c r="D1585" i="7"/>
  <c r="E1585" i="7"/>
  <c r="F1585" i="7"/>
  <c r="G1585" i="7"/>
  <c r="H1585" i="7"/>
  <c r="I1585" i="7"/>
  <c r="A1586" i="7"/>
  <c r="B1586" i="7"/>
  <c r="C1586" i="7"/>
  <c r="D1586" i="7"/>
  <c r="E1586" i="7"/>
  <c r="F1586" i="7"/>
  <c r="G1586" i="7"/>
  <c r="H1586" i="7"/>
  <c r="I1586" i="7"/>
  <c r="A1587" i="7"/>
  <c r="B1587" i="7"/>
  <c r="C1587" i="7"/>
  <c r="D1587" i="7"/>
  <c r="E1587" i="7"/>
  <c r="F1587" i="7"/>
  <c r="G1587" i="7"/>
  <c r="H1587" i="7"/>
  <c r="I1587" i="7"/>
  <c r="A1588" i="7"/>
  <c r="B1588" i="7"/>
  <c r="C1588" i="7"/>
  <c r="D1588" i="7"/>
  <c r="E1588" i="7"/>
  <c r="F1588" i="7"/>
  <c r="G1588" i="7"/>
  <c r="H1588" i="7"/>
  <c r="I1588" i="7"/>
  <c r="A1589" i="7"/>
  <c r="B1589" i="7"/>
  <c r="C1589" i="7"/>
  <c r="D1589" i="7"/>
  <c r="E1589" i="7"/>
  <c r="F1589" i="7"/>
  <c r="G1589" i="7"/>
  <c r="H1589" i="7"/>
  <c r="I1589" i="7"/>
  <c r="A1590" i="7"/>
  <c r="B1590" i="7"/>
  <c r="C1590" i="7"/>
  <c r="D1590" i="7"/>
  <c r="E1590" i="7"/>
  <c r="F1590" i="7"/>
  <c r="G1590" i="7"/>
  <c r="H1590" i="7"/>
  <c r="I1590" i="7"/>
  <c r="A1591" i="7"/>
  <c r="B1591" i="7"/>
  <c r="C1591" i="7"/>
  <c r="D1591" i="7"/>
  <c r="E1591" i="7"/>
  <c r="F1591" i="7"/>
  <c r="G1591" i="7"/>
  <c r="H1591" i="7"/>
  <c r="I1591" i="7"/>
  <c r="A1592" i="7"/>
  <c r="B1592" i="7"/>
  <c r="C1592" i="7"/>
  <c r="D1592" i="7"/>
  <c r="E1592" i="7"/>
  <c r="F1592" i="7"/>
  <c r="G1592" i="7"/>
  <c r="H1592" i="7"/>
  <c r="I1592" i="7"/>
  <c r="A1593" i="7"/>
  <c r="B1593" i="7"/>
  <c r="C1593" i="7"/>
  <c r="D1593" i="7"/>
  <c r="E1593" i="7"/>
  <c r="F1593" i="7"/>
  <c r="G1593" i="7"/>
  <c r="H1593" i="7"/>
  <c r="I1593" i="7"/>
  <c r="A1594" i="7"/>
  <c r="B1594" i="7"/>
  <c r="C1594" i="7"/>
  <c r="D1594" i="7"/>
  <c r="E1594" i="7"/>
  <c r="F1594" i="7"/>
  <c r="G1594" i="7"/>
  <c r="H1594" i="7"/>
  <c r="I1594" i="7"/>
  <c r="A1595" i="7"/>
  <c r="B1595" i="7"/>
  <c r="C1595" i="7"/>
  <c r="D1595" i="7"/>
  <c r="E1595" i="7"/>
  <c r="F1595" i="7"/>
  <c r="G1595" i="7"/>
  <c r="H1595" i="7"/>
  <c r="I1595" i="7"/>
  <c r="A1596" i="7"/>
  <c r="B1596" i="7"/>
  <c r="C1596" i="7"/>
  <c r="D1596" i="7"/>
  <c r="E1596" i="7"/>
  <c r="F1596" i="7"/>
  <c r="G1596" i="7"/>
  <c r="H1596" i="7"/>
  <c r="I1596" i="7"/>
  <c r="A1597" i="7"/>
  <c r="B1597" i="7"/>
  <c r="C1597" i="7"/>
  <c r="D1597" i="7"/>
  <c r="E1597" i="7"/>
  <c r="F1597" i="7"/>
  <c r="G1597" i="7"/>
  <c r="H1597" i="7"/>
  <c r="I1597" i="7"/>
  <c r="A1598" i="7"/>
  <c r="B1598" i="7"/>
  <c r="C1598" i="7"/>
  <c r="D1598" i="7"/>
  <c r="E1598" i="7"/>
  <c r="F1598" i="7"/>
  <c r="G1598" i="7"/>
  <c r="H1598" i="7"/>
  <c r="I1598" i="7"/>
  <c r="A1599" i="7"/>
  <c r="B1599" i="7"/>
  <c r="C1599" i="7"/>
  <c r="D1599" i="7"/>
  <c r="E1599" i="7"/>
  <c r="F1599" i="7"/>
  <c r="G1599" i="7"/>
  <c r="H1599" i="7"/>
  <c r="I1599" i="7"/>
  <c r="A1600" i="7"/>
  <c r="B1600" i="7"/>
  <c r="C1600" i="7"/>
  <c r="D1600" i="7"/>
  <c r="E1600" i="7"/>
  <c r="F1600" i="7"/>
  <c r="G1600" i="7"/>
  <c r="H1600" i="7"/>
  <c r="I1600" i="7"/>
  <c r="A1601" i="7"/>
  <c r="B1601" i="7"/>
  <c r="C1601" i="7"/>
  <c r="D1601" i="7"/>
  <c r="E1601" i="7"/>
  <c r="F1601" i="7"/>
  <c r="G1601" i="7"/>
  <c r="H1601" i="7"/>
  <c r="I1601" i="7"/>
  <c r="A1602" i="7"/>
  <c r="B1602" i="7"/>
  <c r="C1602" i="7"/>
  <c r="D1602" i="7"/>
  <c r="E1602" i="7"/>
  <c r="F1602" i="7"/>
  <c r="G1602" i="7"/>
  <c r="H1602" i="7"/>
  <c r="I1602" i="7"/>
  <c r="A1603" i="7"/>
  <c r="B1603" i="7"/>
  <c r="C1603" i="7"/>
  <c r="D1603" i="7"/>
  <c r="E1603" i="7"/>
  <c r="F1603" i="7"/>
  <c r="G1603" i="7"/>
  <c r="H1603" i="7"/>
  <c r="I1603" i="7"/>
  <c r="A1604" i="7"/>
  <c r="B1604" i="7"/>
  <c r="C1604" i="7"/>
  <c r="D1604" i="7"/>
  <c r="E1604" i="7"/>
  <c r="F1604" i="7"/>
  <c r="G1604" i="7"/>
  <c r="H1604" i="7"/>
  <c r="I1604" i="7"/>
  <c r="A1605" i="7"/>
  <c r="B1605" i="7"/>
  <c r="C1605" i="7"/>
  <c r="D1605" i="7"/>
  <c r="E1605" i="7"/>
  <c r="F1605" i="7"/>
  <c r="G1605" i="7"/>
  <c r="H1605" i="7"/>
  <c r="I1605" i="7"/>
  <c r="A1606" i="7"/>
  <c r="B1606" i="7"/>
  <c r="C1606" i="7"/>
  <c r="D1606" i="7"/>
  <c r="E1606" i="7"/>
  <c r="F1606" i="7"/>
  <c r="G1606" i="7"/>
  <c r="H1606" i="7"/>
  <c r="I1606" i="7"/>
  <c r="A1607" i="7"/>
  <c r="B1607" i="7"/>
  <c r="C1607" i="7"/>
  <c r="D1607" i="7"/>
  <c r="E1607" i="7"/>
  <c r="F1607" i="7"/>
  <c r="G1607" i="7"/>
  <c r="H1607" i="7"/>
  <c r="I1607" i="7"/>
  <c r="A1608" i="7"/>
  <c r="B1608" i="7"/>
  <c r="C1608" i="7"/>
  <c r="D1608" i="7"/>
  <c r="E1608" i="7"/>
  <c r="F1608" i="7"/>
  <c r="G1608" i="7"/>
  <c r="H1608" i="7"/>
  <c r="I1608" i="7"/>
  <c r="A1609" i="7"/>
  <c r="B1609" i="7"/>
  <c r="C1609" i="7"/>
  <c r="D1609" i="7"/>
  <c r="E1609" i="7"/>
  <c r="F1609" i="7"/>
  <c r="G1609" i="7"/>
  <c r="H1609" i="7"/>
  <c r="I1609" i="7"/>
  <c r="A1610" i="7"/>
  <c r="B1610" i="7"/>
  <c r="C1610" i="7"/>
  <c r="D1610" i="7"/>
  <c r="E1610" i="7"/>
  <c r="F1610" i="7"/>
  <c r="G1610" i="7"/>
  <c r="H1610" i="7"/>
  <c r="I1610" i="7"/>
  <c r="A1611" i="7"/>
  <c r="B1611" i="7"/>
  <c r="C1611" i="7"/>
  <c r="D1611" i="7"/>
  <c r="E1611" i="7"/>
  <c r="F1611" i="7"/>
  <c r="G1611" i="7"/>
  <c r="H1611" i="7"/>
  <c r="I1611" i="7"/>
  <c r="A1612" i="7"/>
  <c r="B1612" i="7"/>
  <c r="C1612" i="7"/>
  <c r="D1612" i="7"/>
  <c r="E1612" i="7"/>
  <c r="F1612" i="7"/>
  <c r="G1612" i="7"/>
  <c r="H1612" i="7"/>
  <c r="I1612" i="7"/>
  <c r="A1613" i="7"/>
  <c r="B1613" i="7"/>
  <c r="C1613" i="7"/>
  <c r="D1613" i="7"/>
  <c r="E1613" i="7"/>
  <c r="F1613" i="7"/>
  <c r="G1613" i="7"/>
  <c r="H1613" i="7"/>
  <c r="I1613" i="7"/>
  <c r="A1614" i="7"/>
  <c r="B1614" i="7"/>
  <c r="C1614" i="7"/>
  <c r="D1614" i="7"/>
  <c r="E1614" i="7"/>
  <c r="F1614" i="7"/>
  <c r="G1614" i="7"/>
  <c r="H1614" i="7"/>
  <c r="I1614" i="7"/>
  <c r="A1615" i="7"/>
  <c r="B1615" i="7"/>
  <c r="C1615" i="7"/>
  <c r="D1615" i="7"/>
  <c r="E1615" i="7"/>
  <c r="F1615" i="7"/>
  <c r="G1615" i="7"/>
  <c r="H1615" i="7"/>
  <c r="I1615" i="7"/>
  <c r="A1616" i="7"/>
  <c r="B1616" i="7"/>
  <c r="C1616" i="7"/>
  <c r="D1616" i="7"/>
  <c r="E1616" i="7"/>
  <c r="F1616" i="7"/>
  <c r="G1616" i="7"/>
  <c r="H1616" i="7"/>
  <c r="I1616" i="7"/>
  <c r="A1617" i="7"/>
  <c r="B1617" i="7"/>
  <c r="C1617" i="7"/>
  <c r="D1617" i="7"/>
  <c r="E1617" i="7"/>
  <c r="F1617" i="7"/>
  <c r="G1617" i="7"/>
  <c r="H1617" i="7"/>
  <c r="I1617" i="7"/>
  <c r="A1618" i="7"/>
  <c r="B1618" i="7"/>
  <c r="C1618" i="7"/>
  <c r="D1618" i="7"/>
  <c r="E1618" i="7"/>
  <c r="F1618" i="7"/>
  <c r="G1618" i="7"/>
  <c r="H1618" i="7"/>
  <c r="I1618" i="7"/>
  <c r="A1619" i="7"/>
  <c r="B1619" i="7"/>
  <c r="C1619" i="7"/>
  <c r="D1619" i="7"/>
  <c r="E1619" i="7"/>
  <c r="F1619" i="7"/>
  <c r="G1619" i="7"/>
  <c r="H1619" i="7"/>
  <c r="I1619" i="7"/>
  <c r="A1620" i="7"/>
  <c r="B1620" i="7"/>
  <c r="C1620" i="7"/>
  <c r="D1620" i="7"/>
  <c r="E1620" i="7"/>
  <c r="F1620" i="7"/>
  <c r="G1620" i="7"/>
  <c r="H1620" i="7"/>
  <c r="I1620" i="7"/>
  <c r="A1621" i="7"/>
  <c r="B1621" i="7"/>
  <c r="C1621" i="7"/>
  <c r="D1621" i="7"/>
  <c r="E1621" i="7"/>
  <c r="F1621" i="7"/>
  <c r="G1621" i="7"/>
  <c r="H1621" i="7"/>
  <c r="I1621" i="7"/>
  <c r="A1622" i="7"/>
  <c r="B1622" i="7"/>
  <c r="C1622" i="7"/>
  <c r="D1622" i="7"/>
  <c r="E1622" i="7"/>
  <c r="F1622" i="7"/>
  <c r="G1622" i="7"/>
  <c r="H1622" i="7"/>
  <c r="I1622" i="7"/>
  <c r="A1623" i="7"/>
  <c r="B1623" i="7"/>
  <c r="C1623" i="7"/>
  <c r="D1623" i="7"/>
  <c r="E1623" i="7"/>
  <c r="F1623" i="7"/>
  <c r="G1623" i="7"/>
  <c r="H1623" i="7"/>
  <c r="I1623" i="7"/>
  <c r="A1624" i="7"/>
  <c r="B1624" i="7"/>
  <c r="C1624" i="7"/>
  <c r="D1624" i="7"/>
  <c r="E1624" i="7"/>
  <c r="F1624" i="7"/>
  <c r="G1624" i="7"/>
  <c r="H1624" i="7"/>
  <c r="I1624" i="7"/>
  <c r="A1625" i="7"/>
  <c r="B1625" i="7"/>
  <c r="C1625" i="7"/>
  <c r="D1625" i="7"/>
  <c r="E1625" i="7"/>
  <c r="F1625" i="7"/>
  <c r="G1625" i="7"/>
  <c r="H1625" i="7"/>
  <c r="I1625" i="7"/>
  <c r="A1626" i="7"/>
  <c r="B1626" i="7"/>
  <c r="C1626" i="7"/>
  <c r="D1626" i="7"/>
  <c r="E1626" i="7"/>
  <c r="F1626" i="7"/>
  <c r="G1626" i="7"/>
  <c r="H1626" i="7"/>
  <c r="I1626" i="7"/>
  <c r="A1627" i="7"/>
  <c r="B1627" i="7"/>
  <c r="C1627" i="7"/>
  <c r="D1627" i="7"/>
  <c r="E1627" i="7"/>
  <c r="F1627" i="7"/>
  <c r="G1627" i="7"/>
  <c r="H1627" i="7"/>
  <c r="I1627" i="7"/>
  <c r="A1628" i="7"/>
  <c r="B1628" i="7"/>
  <c r="C1628" i="7"/>
  <c r="D1628" i="7"/>
  <c r="E1628" i="7"/>
  <c r="F1628" i="7"/>
  <c r="G1628" i="7"/>
  <c r="H1628" i="7"/>
  <c r="I1628" i="7"/>
  <c r="A1629" i="7"/>
  <c r="B1629" i="7"/>
  <c r="C1629" i="7"/>
  <c r="D1629" i="7"/>
  <c r="E1629" i="7"/>
  <c r="F1629" i="7"/>
  <c r="G1629" i="7"/>
  <c r="H1629" i="7"/>
  <c r="I1629" i="7"/>
  <c r="A1630" i="7"/>
  <c r="B1630" i="7"/>
  <c r="C1630" i="7"/>
  <c r="D1630" i="7"/>
  <c r="E1630" i="7"/>
  <c r="F1630" i="7"/>
  <c r="G1630" i="7"/>
  <c r="H1630" i="7"/>
  <c r="I1630" i="7"/>
  <c r="A1631" i="7"/>
  <c r="B1631" i="7"/>
  <c r="C1631" i="7"/>
  <c r="D1631" i="7"/>
  <c r="E1631" i="7"/>
  <c r="F1631" i="7"/>
  <c r="G1631" i="7"/>
  <c r="H1631" i="7"/>
  <c r="I1631" i="7"/>
  <c r="A1632" i="7"/>
  <c r="B1632" i="7"/>
  <c r="C1632" i="7"/>
  <c r="D1632" i="7"/>
  <c r="E1632" i="7"/>
  <c r="F1632" i="7"/>
  <c r="G1632" i="7"/>
  <c r="H1632" i="7"/>
  <c r="I1632" i="7"/>
  <c r="A1633" i="7"/>
  <c r="B1633" i="7"/>
  <c r="C1633" i="7"/>
  <c r="D1633" i="7"/>
  <c r="E1633" i="7"/>
  <c r="F1633" i="7"/>
  <c r="G1633" i="7"/>
  <c r="H1633" i="7"/>
  <c r="I1633" i="7"/>
  <c r="A1634" i="7"/>
  <c r="B1634" i="7"/>
  <c r="C1634" i="7"/>
  <c r="D1634" i="7"/>
  <c r="E1634" i="7"/>
  <c r="F1634" i="7"/>
  <c r="G1634" i="7"/>
  <c r="H1634" i="7"/>
  <c r="I1634" i="7"/>
  <c r="A1635" i="7"/>
  <c r="B1635" i="7"/>
  <c r="C1635" i="7"/>
  <c r="D1635" i="7"/>
  <c r="E1635" i="7"/>
  <c r="F1635" i="7"/>
  <c r="G1635" i="7"/>
  <c r="H1635" i="7"/>
  <c r="I1635" i="7"/>
  <c r="A1636" i="7"/>
  <c r="B1636" i="7"/>
  <c r="C1636" i="7"/>
  <c r="D1636" i="7"/>
  <c r="E1636" i="7"/>
  <c r="F1636" i="7"/>
  <c r="G1636" i="7"/>
  <c r="H1636" i="7"/>
  <c r="I1636" i="7"/>
  <c r="A1637" i="7"/>
  <c r="B1637" i="7"/>
  <c r="C1637" i="7"/>
  <c r="D1637" i="7"/>
  <c r="E1637" i="7"/>
  <c r="F1637" i="7"/>
  <c r="G1637" i="7"/>
  <c r="H1637" i="7"/>
  <c r="I1637" i="7"/>
  <c r="A1638" i="7"/>
  <c r="B1638" i="7"/>
  <c r="C1638" i="7"/>
  <c r="D1638" i="7"/>
  <c r="E1638" i="7"/>
  <c r="F1638" i="7"/>
  <c r="G1638" i="7"/>
  <c r="H1638" i="7"/>
  <c r="I1638" i="7"/>
  <c r="A1639" i="7"/>
  <c r="B1639" i="7"/>
  <c r="C1639" i="7"/>
  <c r="D1639" i="7"/>
  <c r="E1639" i="7"/>
  <c r="F1639" i="7"/>
  <c r="G1639" i="7"/>
  <c r="H1639" i="7"/>
  <c r="I1639" i="7"/>
  <c r="A1640" i="7"/>
  <c r="B1640" i="7"/>
  <c r="C1640" i="7"/>
  <c r="D1640" i="7"/>
  <c r="E1640" i="7"/>
  <c r="F1640" i="7"/>
  <c r="G1640" i="7"/>
  <c r="H1640" i="7"/>
  <c r="I1640" i="7"/>
  <c r="A1641" i="7"/>
  <c r="B1641" i="7"/>
  <c r="C1641" i="7"/>
  <c r="D1641" i="7"/>
  <c r="E1641" i="7"/>
  <c r="F1641" i="7"/>
  <c r="G1641" i="7"/>
  <c r="H1641" i="7"/>
  <c r="I1641" i="7"/>
  <c r="A1642" i="7"/>
  <c r="B1642" i="7"/>
  <c r="C1642" i="7"/>
  <c r="D1642" i="7"/>
  <c r="E1642" i="7"/>
  <c r="F1642" i="7"/>
  <c r="G1642" i="7"/>
  <c r="H1642" i="7"/>
  <c r="I1642" i="7"/>
  <c r="A1643" i="7"/>
  <c r="B1643" i="7"/>
  <c r="C1643" i="7"/>
  <c r="D1643" i="7"/>
  <c r="E1643" i="7"/>
  <c r="F1643" i="7"/>
  <c r="G1643" i="7"/>
  <c r="H1643" i="7"/>
  <c r="I1643" i="7"/>
  <c r="A1644" i="7"/>
  <c r="B1644" i="7"/>
  <c r="C1644" i="7"/>
  <c r="D1644" i="7"/>
  <c r="E1644" i="7"/>
  <c r="F1644" i="7"/>
  <c r="G1644" i="7"/>
  <c r="H1644" i="7"/>
  <c r="I1644" i="7"/>
  <c r="A1645" i="7"/>
  <c r="B1645" i="7"/>
  <c r="C1645" i="7"/>
  <c r="D1645" i="7"/>
  <c r="E1645" i="7"/>
  <c r="F1645" i="7"/>
  <c r="G1645" i="7"/>
  <c r="H1645" i="7"/>
  <c r="I1645" i="7"/>
  <c r="A1646" i="7"/>
  <c r="B1646" i="7"/>
  <c r="C1646" i="7"/>
  <c r="D1646" i="7"/>
  <c r="E1646" i="7"/>
  <c r="F1646" i="7"/>
  <c r="G1646" i="7"/>
  <c r="H1646" i="7"/>
  <c r="I1646" i="7"/>
  <c r="A1647" i="7"/>
  <c r="B1647" i="7"/>
  <c r="C1647" i="7"/>
  <c r="D1647" i="7"/>
  <c r="E1647" i="7"/>
  <c r="F1647" i="7"/>
  <c r="G1647" i="7"/>
  <c r="H1647" i="7"/>
  <c r="I1647" i="7"/>
  <c r="A1648" i="7"/>
  <c r="B1648" i="7"/>
  <c r="C1648" i="7"/>
  <c r="D1648" i="7"/>
  <c r="E1648" i="7"/>
  <c r="F1648" i="7"/>
  <c r="G1648" i="7"/>
  <c r="H1648" i="7"/>
  <c r="I1648" i="7"/>
  <c r="A1649" i="7"/>
  <c r="B1649" i="7"/>
  <c r="C1649" i="7"/>
  <c r="D1649" i="7"/>
  <c r="E1649" i="7"/>
  <c r="F1649" i="7"/>
  <c r="G1649" i="7"/>
  <c r="H1649" i="7"/>
  <c r="I1649" i="7"/>
  <c r="A1650" i="7"/>
  <c r="B1650" i="7"/>
  <c r="C1650" i="7"/>
  <c r="D1650" i="7"/>
  <c r="E1650" i="7"/>
  <c r="F1650" i="7"/>
  <c r="G1650" i="7"/>
  <c r="H1650" i="7"/>
  <c r="I1650" i="7"/>
  <c r="A1651" i="7"/>
  <c r="B1651" i="7"/>
  <c r="C1651" i="7"/>
  <c r="D1651" i="7"/>
  <c r="E1651" i="7"/>
  <c r="F1651" i="7"/>
  <c r="G1651" i="7"/>
  <c r="H1651" i="7"/>
  <c r="I1651" i="7"/>
  <c r="A1652" i="7"/>
  <c r="B1652" i="7"/>
  <c r="C1652" i="7"/>
  <c r="D1652" i="7"/>
  <c r="E1652" i="7"/>
  <c r="F1652" i="7"/>
  <c r="G1652" i="7"/>
  <c r="H1652" i="7"/>
  <c r="I1652" i="7"/>
  <c r="A1653" i="7"/>
  <c r="B1653" i="7"/>
  <c r="C1653" i="7"/>
  <c r="D1653" i="7"/>
  <c r="E1653" i="7"/>
  <c r="F1653" i="7"/>
  <c r="G1653" i="7"/>
  <c r="H1653" i="7"/>
  <c r="I1653" i="7"/>
  <c r="A1654" i="7"/>
  <c r="B1654" i="7"/>
  <c r="C1654" i="7"/>
  <c r="D1654" i="7"/>
  <c r="E1654" i="7"/>
  <c r="F1654" i="7"/>
  <c r="G1654" i="7"/>
  <c r="H1654" i="7"/>
  <c r="I1654" i="7"/>
  <c r="A1655" i="7"/>
  <c r="B1655" i="7"/>
  <c r="C1655" i="7"/>
  <c r="D1655" i="7"/>
  <c r="E1655" i="7"/>
  <c r="F1655" i="7"/>
  <c r="G1655" i="7"/>
  <c r="H1655" i="7"/>
  <c r="I1655" i="7"/>
  <c r="A1656" i="7"/>
  <c r="B1656" i="7"/>
  <c r="C1656" i="7"/>
  <c r="D1656" i="7"/>
  <c r="E1656" i="7"/>
  <c r="F1656" i="7"/>
  <c r="G1656" i="7"/>
  <c r="H1656" i="7"/>
  <c r="I1656" i="7"/>
  <c r="A1657" i="7"/>
  <c r="B1657" i="7"/>
  <c r="C1657" i="7"/>
  <c r="D1657" i="7"/>
  <c r="E1657" i="7"/>
  <c r="F1657" i="7"/>
  <c r="G1657" i="7"/>
  <c r="H1657" i="7"/>
  <c r="I1657" i="7"/>
  <c r="A1658" i="7"/>
  <c r="B1658" i="7"/>
  <c r="C1658" i="7"/>
  <c r="D1658" i="7"/>
  <c r="E1658" i="7"/>
  <c r="F1658" i="7"/>
  <c r="G1658" i="7"/>
  <c r="H1658" i="7"/>
  <c r="I1658" i="7"/>
  <c r="A1659" i="7"/>
  <c r="B1659" i="7"/>
  <c r="C1659" i="7"/>
  <c r="D1659" i="7"/>
  <c r="E1659" i="7"/>
  <c r="F1659" i="7"/>
  <c r="G1659" i="7"/>
  <c r="H1659" i="7"/>
  <c r="I1659" i="7"/>
  <c r="A1660" i="7"/>
  <c r="B1660" i="7"/>
  <c r="C1660" i="7"/>
  <c r="D1660" i="7"/>
  <c r="E1660" i="7"/>
  <c r="F1660" i="7"/>
  <c r="G1660" i="7"/>
  <c r="H1660" i="7"/>
  <c r="I1660" i="7"/>
  <c r="A1661" i="7"/>
  <c r="B1661" i="7"/>
  <c r="C1661" i="7"/>
  <c r="D1661" i="7"/>
  <c r="E1661" i="7"/>
  <c r="F1661" i="7"/>
  <c r="G1661" i="7"/>
  <c r="H1661" i="7"/>
  <c r="I1661" i="7"/>
  <c r="A1662" i="7"/>
  <c r="B1662" i="7"/>
  <c r="C1662" i="7"/>
  <c r="D1662" i="7"/>
  <c r="E1662" i="7"/>
  <c r="F1662" i="7"/>
  <c r="G1662" i="7"/>
  <c r="H1662" i="7"/>
  <c r="I1662" i="7"/>
  <c r="A1663" i="7"/>
  <c r="B1663" i="7"/>
  <c r="C1663" i="7"/>
  <c r="D1663" i="7"/>
  <c r="E1663" i="7"/>
  <c r="F1663" i="7"/>
  <c r="G1663" i="7"/>
  <c r="H1663" i="7"/>
  <c r="I1663" i="7"/>
  <c r="A1664" i="7"/>
  <c r="B1664" i="7"/>
  <c r="C1664" i="7"/>
  <c r="D1664" i="7"/>
  <c r="E1664" i="7"/>
  <c r="F1664" i="7"/>
  <c r="G1664" i="7"/>
  <c r="H1664" i="7"/>
  <c r="I1664" i="7"/>
  <c r="A1665" i="7"/>
  <c r="B1665" i="7"/>
  <c r="C1665" i="7"/>
  <c r="D1665" i="7"/>
  <c r="E1665" i="7"/>
  <c r="F1665" i="7"/>
  <c r="G1665" i="7"/>
  <c r="H1665" i="7"/>
  <c r="I1665" i="7"/>
  <c r="A1666" i="7"/>
  <c r="B1666" i="7"/>
  <c r="C1666" i="7"/>
  <c r="D1666" i="7"/>
  <c r="E1666" i="7"/>
  <c r="F1666" i="7"/>
  <c r="G1666" i="7"/>
  <c r="H1666" i="7"/>
  <c r="I1666" i="7"/>
  <c r="A1667" i="7"/>
  <c r="B1667" i="7"/>
  <c r="C1667" i="7"/>
  <c r="D1667" i="7"/>
  <c r="E1667" i="7"/>
  <c r="F1667" i="7"/>
  <c r="G1667" i="7"/>
  <c r="H1667" i="7"/>
  <c r="I1667" i="7"/>
  <c r="A1668" i="7"/>
  <c r="B1668" i="7"/>
  <c r="C1668" i="7"/>
  <c r="D1668" i="7"/>
  <c r="E1668" i="7"/>
  <c r="F1668" i="7"/>
  <c r="G1668" i="7"/>
  <c r="H1668" i="7"/>
  <c r="I1668" i="7"/>
  <c r="A1669" i="7"/>
  <c r="B1669" i="7"/>
  <c r="C1669" i="7"/>
  <c r="D1669" i="7"/>
  <c r="E1669" i="7"/>
  <c r="F1669" i="7"/>
  <c r="G1669" i="7"/>
  <c r="H1669" i="7"/>
  <c r="I1669" i="7"/>
  <c r="A1670" i="7"/>
  <c r="B1670" i="7"/>
  <c r="C1670" i="7"/>
  <c r="D1670" i="7"/>
  <c r="E1670" i="7"/>
  <c r="F1670" i="7"/>
  <c r="G1670" i="7"/>
  <c r="H1670" i="7"/>
  <c r="I1670" i="7"/>
  <c r="A1671" i="7"/>
  <c r="B1671" i="7"/>
  <c r="C1671" i="7"/>
  <c r="D1671" i="7"/>
  <c r="E1671" i="7"/>
  <c r="F1671" i="7"/>
  <c r="G1671" i="7"/>
  <c r="H1671" i="7"/>
  <c r="I1671" i="7"/>
  <c r="A1672" i="7"/>
  <c r="B1672" i="7"/>
  <c r="C1672" i="7"/>
  <c r="D1672" i="7"/>
  <c r="E1672" i="7"/>
  <c r="F1672" i="7"/>
  <c r="G1672" i="7"/>
  <c r="H1672" i="7"/>
  <c r="I1672" i="7"/>
  <c r="A1673" i="7"/>
  <c r="B1673" i="7"/>
  <c r="C1673" i="7"/>
  <c r="D1673" i="7"/>
  <c r="E1673" i="7"/>
  <c r="F1673" i="7"/>
  <c r="G1673" i="7"/>
  <c r="H1673" i="7"/>
  <c r="I1673" i="7"/>
  <c r="A1674" i="7"/>
  <c r="B1674" i="7"/>
  <c r="C1674" i="7"/>
  <c r="D1674" i="7"/>
  <c r="E1674" i="7"/>
  <c r="F1674" i="7"/>
  <c r="G1674" i="7"/>
  <c r="H1674" i="7"/>
  <c r="I1674" i="7"/>
  <c r="A1675" i="7"/>
  <c r="B1675" i="7"/>
  <c r="C1675" i="7"/>
  <c r="D1675" i="7"/>
  <c r="E1675" i="7"/>
  <c r="F1675" i="7"/>
  <c r="G1675" i="7"/>
  <c r="H1675" i="7"/>
  <c r="I1675" i="7"/>
  <c r="A1676" i="7"/>
  <c r="B1676" i="7"/>
  <c r="C1676" i="7"/>
  <c r="D1676" i="7"/>
  <c r="E1676" i="7"/>
  <c r="F1676" i="7"/>
  <c r="G1676" i="7"/>
  <c r="H1676" i="7"/>
  <c r="I1676" i="7"/>
  <c r="A1677" i="7"/>
  <c r="B1677" i="7"/>
  <c r="C1677" i="7"/>
  <c r="D1677" i="7"/>
  <c r="E1677" i="7"/>
  <c r="F1677" i="7"/>
  <c r="G1677" i="7"/>
  <c r="H1677" i="7"/>
  <c r="I1677" i="7"/>
  <c r="A1678" i="7"/>
  <c r="B1678" i="7"/>
  <c r="C1678" i="7"/>
  <c r="D1678" i="7"/>
  <c r="E1678" i="7"/>
  <c r="F1678" i="7"/>
  <c r="G1678" i="7"/>
  <c r="H1678" i="7"/>
  <c r="I1678" i="7"/>
  <c r="A1679" i="7"/>
  <c r="B1679" i="7"/>
  <c r="C1679" i="7"/>
  <c r="D1679" i="7"/>
  <c r="E1679" i="7"/>
  <c r="F1679" i="7"/>
  <c r="G1679" i="7"/>
  <c r="H1679" i="7"/>
  <c r="I1679" i="7"/>
  <c r="A1680" i="7"/>
  <c r="B1680" i="7"/>
  <c r="C1680" i="7"/>
  <c r="D1680" i="7"/>
  <c r="E1680" i="7"/>
  <c r="F1680" i="7"/>
  <c r="G1680" i="7"/>
  <c r="H1680" i="7"/>
  <c r="I1680" i="7"/>
  <c r="A1681" i="7"/>
  <c r="B1681" i="7"/>
  <c r="C1681" i="7"/>
  <c r="D1681" i="7"/>
  <c r="E1681" i="7"/>
  <c r="F1681" i="7"/>
  <c r="G1681" i="7"/>
  <c r="H1681" i="7"/>
  <c r="I1681" i="7"/>
  <c r="A1682" i="7"/>
  <c r="B1682" i="7"/>
  <c r="C1682" i="7"/>
  <c r="D1682" i="7"/>
  <c r="E1682" i="7"/>
  <c r="F1682" i="7"/>
  <c r="G1682" i="7"/>
  <c r="H1682" i="7"/>
  <c r="I1682" i="7"/>
  <c r="A1683" i="7"/>
  <c r="B1683" i="7"/>
  <c r="C1683" i="7"/>
  <c r="D1683" i="7"/>
  <c r="E1683" i="7"/>
  <c r="F1683" i="7"/>
  <c r="G1683" i="7"/>
  <c r="H1683" i="7"/>
  <c r="I1683" i="7"/>
  <c r="A1684" i="7"/>
  <c r="B1684" i="7"/>
  <c r="C1684" i="7"/>
  <c r="D1684" i="7"/>
  <c r="E1684" i="7"/>
  <c r="F1684" i="7"/>
  <c r="G1684" i="7"/>
  <c r="H1684" i="7"/>
  <c r="I1684" i="7"/>
  <c r="A1685" i="7"/>
  <c r="B1685" i="7"/>
  <c r="C1685" i="7"/>
  <c r="D1685" i="7"/>
  <c r="E1685" i="7"/>
  <c r="F1685" i="7"/>
  <c r="G1685" i="7"/>
  <c r="H1685" i="7"/>
  <c r="I1685" i="7"/>
  <c r="A1686" i="7"/>
  <c r="B1686" i="7"/>
  <c r="C1686" i="7"/>
  <c r="D1686" i="7"/>
  <c r="E1686" i="7"/>
  <c r="F1686" i="7"/>
  <c r="G1686" i="7"/>
  <c r="H1686" i="7"/>
  <c r="I1686" i="7"/>
  <c r="A1687" i="7"/>
  <c r="B1687" i="7"/>
  <c r="C1687" i="7"/>
  <c r="D1687" i="7"/>
  <c r="E1687" i="7"/>
  <c r="F1687" i="7"/>
  <c r="G1687" i="7"/>
  <c r="H1687" i="7"/>
  <c r="I1687" i="7"/>
  <c r="A1688" i="7"/>
  <c r="B1688" i="7"/>
  <c r="C1688" i="7"/>
  <c r="D1688" i="7"/>
  <c r="E1688" i="7"/>
  <c r="F1688" i="7"/>
  <c r="G1688" i="7"/>
  <c r="H1688" i="7"/>
  <c r="I1688" i="7"/>
  <c r="A1689" i="7"/>
  <c r="B1689" i="7"/>
  <c r="C1689" i="7"/>
  <c r="D1689" i="7"/>
  <c r="E1689" i="7"/>
  <c r="F1689" i="7"/>
  <c r="G1689" i="7"/>
  <c r="H1689" i="7"/>
  <c r="I1689" i="7"/>
  <c r="A1690" i="7"/>
  <c r="B1690" i="7"/>
  <c r="C1690" i="7"/>
  <c r="D1690" i="7"/>
  <c r="E1690" i="7"/>
  <c r="F1690" i="7"/>
  <c r="G1690" i="7"/>
  <c r="H1690" i="7"/>
  <c r="I1690" i="7"/>
  <c r="A1691" i="7"/>
  <c r="B1691" i="7"/>
  <c r="C1691" i="7"/>
  <c r="D1691" i="7"/>
  <c r="E1691" i="7"/>
  <c r="F1691" i="7"/>
  <c r="G1691" i="7"/>
  <c r="H1691" i="7"/>
  <c r="I1691" i="7"/>
  <c r="A1692" i="7"/>
  <c r="B1692" i="7"/>
  <c r="C1692" i="7"/>
  <c r="D1692" i="7"/>
  <c r="E1692" i="7"/>
  <c r="F1692" i="7"/>
  <c r="G1692" i="7"/>
  <c r="H1692" i="7"/>
  <c r="I1692" i="7"/>
  <c r="A1693" i="7"/>
  <c r="B1693" i="7"/>
  <c r="C1693" i="7"/>
  <c r="D1693" i="7"/>
  <c r="E1693" i="7"/>
  <c r="F1693" i="7"/>
  <c r="G1693" i="7"/>
  <c r="H1693" i="7"/>
  <c r="I1693" i="7"/>
  <c r="A1694" i="7"/>
  <c r="B1694" i="7"/>
  <c r="C1694" i="7"/>
  <c r="D1694" i="7"/>
  <c r="E1694" i="7"/>
  <c r="F1694" i="7"/>
  <c r="G1694" i="7"/>
  <c r="H1694" i="7"/>
  <c r="I1694" i="7"/>
  <c r="A1695" i="7"/>
  <c r="B1695" i="7"/>
  <c r="C1695" i="7"/>
  <c r="D1695" i="7"/>
  <c r="E1695" i="7"/>
  <c r="F1695" i="7"/>
  <c r="G1695" i="7"/>
  <c r="H1695" i="7"/>
  <c r="I1695" i="7"/>
  <c r="A1696" i="7"/>
  <c r="B1696" i="7"/>
  <c r="C1696" i="7"/>
  <c r="D1696" i="7"/>
  <c r="E1696" i="7"/>
  <c r="F1696" i="7"/>
  <c r="G1696" i="7"/>
  <c r="H1696" i="7"/>
  <c r="I1696" i="7"/>
  <c r="A1697" i="7"/>
  <c r="B1697" i="7"/>
  <c r="C1697" i="7"/>
  <c r="D1697" i="7"/>
  <c r="E1697" i="7"/>
  <c r="F1697" i="7"/>
  <c r="G1697" i="7"/>
  <c r="H1697" i="7"/>
  <c r="I1697" i="7"/>
  <c r="A1698" i="7"/>
  <c r="B1698" i="7"/>
  <c r="C1698" i="7"/>
  <c r="D1698" i="7"/>
  <c r="E1698" i="7"/>
  <c r="F1698" i="7"/>
  <c r="G1698" i="7"/>
  <c r="H1698" i="7"/>
  <c r="I1698" i="7"/>
  <c r="A1699" i="7"/>
  <c r="B1699" i="7"/>
  <c r="C1699" i="7"/>
  <c r="D1699" i="7"/>
  <c r="E1699" i="7"/>
  <c r="F1699" i="7"/>
  <c r="G1699" i="7"/>
  <c r="H1699" i="7"/>
  <c r="I1699" i="7"/>
  <c r="A1700" i="7"/>
  <c r="B1700" i="7"/>
  <c r="C1700" i="7"/>
  <c r="D1700" i="7"/>
  <c r="E1700" i="7"/>
  <c r="F1700" i="7"/>
  <c r="G1700" i="7"/>
  <c r="H1700" i="7"/>
  <c r="I1700" i="7"/>
  <c r="A1701" i="7"/>
  <c r="B1701" i="7"/>
  <c r="C1701" i="7"/>
  <c r="D1701" i="7"/>
  <c r="E1701" i="7"/>
  <c r="F1701" i="7"/>
  <c r="G1701" i="7"/>
  <c r="H1701" i="7"/>
  <c r="I1701" i="7"/>
  <c r="A1702" i="7"/>
  <c r="B1702" i="7"/>
  <c r="C1702" i="7"/>
  <c r="D1702" i="7"/>
  <c r="E1702" i="7"/>
  <c r="F1702" i="7"/>
  <c r="G1702" i="7"/>
  <c r="H1702" i="7"/>
  <c r="I1702" i="7"/>
  <c r="A1703" i="7"/>
  <c r="B1703" i="7"/>
  <c r="C1703" i="7"/>
  <c r="D1703" i="7"/>
  <c r="E1703" i="7"/>
  <c r="F1703" i="7"/>
  <c r="G1703" i="7"/>
  <c r="H1703" i="7"/>
  <c r="I1703" i="7"/>
  <c r="A1704" i="7"/>
  <c r="B1704" i="7"/>
  <c r="C1704" i="7"/>
  <c r="D1704" i="7"/>
  <c r="E1704" i="7"/>
  <c r="F1704" i="7"/>
  <c r="G1704" i="7"/>
  <c r="H1704" i="7"/>
  <c r="I1704" i="7"/>
  <c r="A1705" i="7"/>
  <c r="B1705" i="7"/>
  <c r="C1705" i="7"/>
  <c r="D1705" i="7"/>
  <c r="E1705" i="7"/>
  <c r="F1705" i="7"/>
  <c r="G1705" i="7"/>
  <c r="H1705" i="7"/>
  <c r="I1705" i="7"/>
  <c r="A1706" i="7"/>
  <c r="B1706" i="7"/>
  <c r="C1706" i="7"/>
  <c r="D1706" i="7"/>
  <c r="E1706" i="7"/>
  <c r="F1706" i="7"/>
  <c r="G1706" i="7"/>
  <c r="H1706" i="7"/>
  <c r="I1706" i="7"/>
  <c r="A1707" i="7"/>
  <c r="B1707" i="7"/>
  <c r="C1707" i="7"/>
  <c r="D1707" i="7"/>
  <c r="E1707" i="7"/>
  <c r="F1707" i="7"/>
  <c r="G1707" i="7"/>
  <c r="H1707" i="7"/>
  <c r="I1707" i="7"/>
  <c r="A1708" i="7"/>
  <c r="B1708" i="7"/>
  <c r="C1708" i="7"/>
  <c r="D1708" i="7"/>
  <c r="E1708" i="7"/>
  <c r="F1708" i="7"/>
  <c r="G1708" i="7"/>
  <c r="H1708" i="7"/>
  <c r="I1708" i="7"/>
  <c r="A1709" i="7"/>
  <c r="B1709" i="7"/>
  <c r="C1709" i="7"/>
  <c r="D1709" i="7"/>
  <c r="E1709" i="7"/>
  <c r="F1709" i="7"/>
  <c r="G1709" i="7"/>
  <c r="H1709" i="7"/>
  <c r="I1709" i="7"/>
  <c r="A1710" i="7"/>
  <c r="B1710" i="7"/>
  <c r="C1710" i="7"/>
  <c r="D1710" i="7"/>
  <c r="E1710" i="7"/>
  <c r="F1710" i="7"/>
  <c r="G1710" i="7"/>
  <c r="H1710" i="7"/>
  <c r="I1710" i="7"/>
  <c r="A1711" i="7"/>
  <c r="B1711" i="7"/>
  <c r="C1711" i="7"/>
  <c r="D1711" i="7"/>
  <c r="E1711" i="7"/>
  <c r="F1711" i="7"/>
  <c r="G1711" i="7"/>
  <c r="H1711" i="7"/>
  <c r="I1711" i="7"/>
  <c r="A1712" i="7"/>
  <c r="B1712" i="7"/>
  <c r="C1712" i="7"/>
  <c r="D1712" i="7"/>
  <c r="E1712" i="7"/>
  <c r="F1712" i="7"/>
  <c r="G1712" i="7"/>
  <c r="H1712" i="7"/>
  <c r="I1712" i="7"/>
  <c r="A1713" i="7"/>
  <c r="B1713" i="7"/>
  <c r="C1713" i="7"/>
  <c r="D1713" i="7"/>
  <c r="E1713" i="7"/>
  <c r="F1713" i="7"/>
  <c r="G1713" i="7"/>
  <c r="H1713" i="7"/>
  <c r="I1713" i="7"/>
  <c r="A1714" i="7"/>
  <c r="B1714" i="7"/>
  <c r="C1714" i="7"/>
  <c r="D1714" i="7"/>
  <c r="E1714" i="7"/>
  <c r="F1714" i="7"/>
  <c r="G1714" i="7"/>
  <c r="H1714" i="7"/>
  <c r="I1714" i="7"/>
  <c r="A1715" i="7"/>
  <c r="B1715" i="7"/>
  <c r="C1715" i="7"/>
  <c r="D1715" i="7"/>
  <c r="E1715" i="7"/>
  <c r="F1715" i="7"/>
  <c r="G1715" i="7"/>
  <c r="H1715" i="7"/>
  <c r="I1715" i="7"/>
  <c r="A1716" i="7"/>
  <c r="B1716" i="7"/>
  <c r="C1716" i="7"/>
  <c r="D1716" i="7"/>
  <c r="E1716" i="7"/>
  <c r="F1716" i="7"/>
  <c r="G1716" i="7"/>
  <c r="H1716" i="7"/>
  <c r="I1716" i="7"/>
  <c r="A1717" i="7"/>
  <c r="B1717" i="7"/>
  <c r="C1717" i="7"/>
  <c r="D1717" i="7"/>
  <c r="E1717" i="7"/>
  <c r="F1717" i="7"/>
  <c r="G1717" i="7"/>
  <c r="H1717" i="7"/>
  <c r="I1717" i="7"/>
  <c r="A1718" i="7"/>
  <c r="B1718" i="7"/>
  <c r="C1718" i="7"/>
  <c r="D1718" i="7"/>
  <c r="E1718" i="7"/>
  <c r="F1718" i="7"/>
  <c r="G1718" i="7"/>
  <c r="H1718" i="7"/>
  <c r="I1718" i="7"/>
  <c r="A1719" i="7"/>
  <c r="B1719" i="7"/>
  <c r="C1719" i="7"/>
  <c r="D1719" i="7"/>
  <c r="E1719" i="7"/>
  <c r="F1719" i="7"/>
  <c r="G1719" i="7"/>
  <c r="H1719" i="7"/>
  <c r="I1719" i="7"/>
  <c r="A1720" i="7"/>
  <c r="B1720" i="7"/>
  <c r="C1720" i="7"/>
  <c r="D1720" i="7"/>
  <c r="E1720" i="7"/>
  <c r="F1720" i="7"/>
  <c r="G1720" i="7"/>
  <c r="H1720" i="7"/>
  <c r="I1720" i="7"/>
  <c r="A1721" i="7"/>
  <c r="B1721" i="7"/>
  <c r="C1721" i="7"/>
  <c r="D1721" i="7"/>
  <c r="E1721" i="7"/>
  <c r="F1721" i="7"/>
  <c r="G1721" i="7"/>
  <c r="H1721" i="7"/>
  <c r="I1721" i="7"/>
  <c r="A1722" i="7"/>
  <c r="B1722" i="7"/>
  <c r="C1722" i="7"/>
  <c r="D1722" i="7"/>
  <c r="E1722" i="7"/>
  <c r="F1722" i="7"/>
  <c r="G1722" i="7"/>
  <c r="H1722" i="7"/>
  <c r="I1722" i="7"/>
  <c r="A1723" i="7"/>
  <c r="B1723" i="7"/>
  <c r="C1723" i="7"/>
  <c r="D1723" i="7"/>
  <c r="E1723" i="7"/>
  <c r="F1723" i="7"/>
  <c r="G1723" i="7"/>
  <c r="H1723" i="7"/>
  <c r="I1723" i="7"/>
  <c r="A1724" i="7"/>
  <c r="B1724" i="7"/>
  <c r="C1724" i="7"/>
  <c r="D1724" i="7"/>
  <c r="E1724" i="7"/>
  <c r="F1724" i="7"/>
  <c r="G1724" i="7"/>
  <c r="H1724" i="7"/>
  <c r="I1724" i="7"/>
  <c r="A1725" i="7"/>
  <c r="B1725" i="7"/>
  <c r="C1725" i="7"/>
  <c r="D1725" i="7"/>
  <c r="E1725" i="7"/>
  <c r="F1725" i="7"/>
  <c r="G1725" i="7"/>
  <c r="H1725" i="7"/>
  <c r="I1725" i="7"/>
  <c r="A1726" i="7"/>
  <c r="B1726" i="7"/>
  <c r="C1726" i="7"/>
  <c r="D1726" i="7"/>
  <c r="E1726" i="7"/>
  <c r="F1726" i="7"/>
  <c r="G1726" i="7"/>
  <c r="H1726" i="7"/>
  <c r="I1726" i="7"/>
  <c r="A1727" i="7"/>
  <c r="B1727" i="7"/>
  <c r="C1727" i="7"/>
  <c r="D1727" i="7"/>
  <c r="E1727" i="7"/>
  <c r="F1727" i="7"/>
  <c r="G1727" i="7"/>
  <c r="H1727" i="7"/>
  <c r="I1727" i="7"/>
  <c r="A1728" i="7"/>
  <c r="B1728" i="7"/>
  <c r="C1728" i="7"/>
  <c r="D1728" i="7"/>
  <c r="E1728" i="7"/>
  <c r="F1728" i="7"/>
  <c r="G1728" i="7"/>
  <c r="H1728" i="7"/>
  <c r="I1728" i="7"/>
  <c r="A1729" i="7"/>
  <c r="B1729" i="7"/>
  <c r="C1729" i="7"/>
  <c r="D1729" i="7"/>
  <c r="E1729" i="7"/>
  <c r="F1729" i="7"/>
  <c r="G1729" i="7"/>
  <c r="H1729" i="7"/>
  <c r="I1729" i="7"/>
  <c r="A1730" i="7"/>
  <c r="B1730" i="7"/>
  <c r="C1730" i="7"/>
  <c r="D1730" i="7"/>
  <c r="E1730" i="7"/>
  <c r="F1730" i="7"/>
  <c r="G1730" i="7"/>
  <c r="H1730" i="7"/>
  <c r="I1730" i="7"/>
  <c r="A1731" i="7"/>
  <c r="B1731" i="7"/>
  <c r="C1731" i="7"/>
  <c r="D1731" i="7"/>
  <c r="E1731" i="7"/>
  <c r="F1731" i="7"/>
  <c r="G1731" i="7"/>
  <c r="H1731" i="7"/>
  <c r="I1731" i="7"/>
  <c r="A1732" i="7"/>
  <c r="B1732" i="7"/>
  <c r="C1732" i="7"/>
  <c r="D1732" i="7"/>
  <c r="E1732" i="7"/>
  <c r="F1732" i="7"/>
  <c r="G1732" i="7"/>
  <c r="H1732" i="7"/>
  <c r="I1732" i="7"/>
  <c r="A1733" i="7"/>
  <c r="B1733" i="7"/>
  <c r="C1733" i="7"/>
  <c r="D1733" i="7"/>
  <c r="E1733" i="7"/>
  <c r="F1733" i="7"/>
  <c r="G1733" i="7"/>
  <c r="H1733" i="7"/>
  <c r="I1733" i="7"/>
  <c r="A1734" i="7"/>
  <c r="B1734" i="7"/>
  <c r="C1734" i="7"/>
  <c r="D1734" i="7"/>
  <c r="E1734" i="7"/>
  <c r="F1734" i="7"/>
  <c r="G1734" i="7"/>
  <c r="H1734" i="7"/>
  <c r="I1734" i="7"/>
  <c r="A1735" i="7"/>
  <c r="B1735" i="7"/>
  <c r="C1735" i="7"/>
  <c r="D1735" i="7"/>
  <c r="E1735" i="7"/>
  <c r="F1735" i="7"/>
  <c r="G1735" i="7"/>
  <c r="H1735" i="7"/>
  <c r="I1735" i="7"/>
  <c r="A1736" i="7"/>
  <c r="B1736" i="7"/>
  <c r="C1736" i="7"/>
  <c r="D1736" i="7"/>
  <c r="E1736" i="7"/>
  <c r="F1736" i="7"/>
  <c r="G1736" i="7"/>
  <c r="H1736" i="7"/>
  <c r="I1736" i="7"/>
  <c r="A1737" i="7"/>
  <c r="B1737" i="7"/>
  <c r="C1737" i="7"/>
  <c r="D1737" i="7"/>
  <c r="E1737" i="7"/>
  <c r="F1737" i="7"/>
  <c r="G1737" i="7"/>
  <c r="H1737" i="7"/>
  <c r="I1737" i="7"/>
  <c r="A1738" i="7"/>
  <c r="B1738" i="7"/>
  <c r="C1738" i="7"/>
  <c r="D1738" i="7"/>
  <c r="E1738" i="7"/>
  <c r="F1738" i="7"/>
  <c r="G1738" i="7"/>
  <c r="H1738" i="7"/>
  <c r="I1738" i="7"/>
  <c r="A1739" i="7"/>
  <c r="B1739" i="7"/>
  <c r="C1739" i="7"/>
  <c r="D1739" i="7"/>
  <c r="E1739" i="7"/>
  <c r="F1739" i="7"/>
  <c r="G1739" i="7"/>
  <c r="H1739" i="7"/>
  <c r="I1739" i="7"/>
  <c r="A1740" i="7"/>
  <c r="B1740" i="7"/>
  <c r="C1740" i="7"/>
  <c r="D1740" i="7"/>
  <c r="E1740" i="7"/>
  <c r="F1740" i="7"/>
  <c r="G1740" i="7"/>
  <c r="H1740" i="7"/>
  <c r="I1740" i="7"/>
  <c r="A1741" i="7"/>
  <c r="B1741" i="7"/>
  <c r="C1741" i="7"/>
  <c r="D1741" i="7"/>
  <c r="E1741" i="7"/>
  <c r="F1741" i="7"/>
  <c r="G1741" i="7"/>
  <c r="H1741" i="7"/>
  <c r="I1741" i="7"/>
  <c r="A1742" i="7"/>
  <c r="B1742" i="7"/>
  <c r="C1742" i="7"/>
  <c r="D1742" i="7"/>
  <c r="E1742" i="7"/>
  <c r="F1742" i="7"/>
  <c r="G1742" i="7"/>
  <c r="H1742" i="7"/>
  <c r="I1742" i="7"/>
  <c r="A1743" i="7"/>
  <c r="B1743" i="7"/>
  <c r="C1743" i="7"/>
  <c r="D1743" i="7"/>
  <c r="E1743" i="7"/>
  <c r="F1743" i="7"/>
  <c r="G1743" i="7"/>
  <c r="H1743" i="7"/>
  <c r="I1743" i="7"/>
  <c r="A1744" i="7"/>
  <c r="B1744" i="7"/>
  <c r="C1744" i="7"/>
  <c r="D1744" i="7"/>
  <c r="E1744" i="7"/>
  <c r="F1744" i="7"/>
  <c r="G1744" i="7"/>
  <c r="H1744" i="7"/>
  <c r="I1744" i="7"/>
  <c r="A1745" i="7"/>
  <c r="B1745" i="7"/>
  <c r="C1745" i="7"/>
  <c r="D1745" i="7"/>
  <c r="E1745" i="7"/>
  <c r="F1745" i="7"/>
  <c r="G1745" i="7"/>
  <c r="H1745" i="7"/>
  <c r="I1745" i="7"/>
  <c r="A1746" i="7"/>
  <c r="B1746" i="7"/>
  <c r="C1746" i="7"/>
  <c r="D1746" i="7"/>
  <c r="E1746" i="7"/>
  <c r="F1746" i="7"/>
  <c r="G1746" i="7"/>
  <c r="H1746" i="7"/>
  <c r="I1746" i="7"/>
  <c r="A1747" i="7"/>
  <c r="B1747" i="7"/>
  <c r="C1747" i="7"/>
  <c r="D1747" i="7"/>
  <c r="E1747" i="7"/>
  <c r="F1747" i="7"/>
  <c r="G1747" i="7"/>
  <c r="H1747" i="7"/>
  <c r="I1747" i="7"/>
  <c r="A1748" i="7"/>
  <c r="B1748" i="7"/>
  <c r="C1748" i="7"/>
  <c r="D1748" i="7"/>
  <c r="E1748" i="7"/>
  <c r="F1748" i="7"/>
  <c r="G1748" i="7"/>
  <c r="H1748" i="7"/>
  <c r="I1748" i="7"/>
  <c r="A1749" i="7"/>
  <c r="B1749" i="7"/>
  <c r="C1749" i="7"/>
  <c r="D1749" i="7"/>
  <c r="E1749" i="7"/>
  <c r="F1749" i="7"/>
  <c r="G1749" i="7"/>
  <c r="H1749" i="7"/>
  <c r="I1749" i="7"/>
  <c r="A1750" i="7"/>
  <c r="B1750" i="7"/>
  <c r="C1750" i="7"/>
  <c r="D1750" i="7"/>
  <c r="E1750" i="7"/>
  <c r="F1750" i="7"/>
  <c r="G1750" i="7"/>
  <c r="H1750" i="7"/>
  <c r="I1750" i="7"/>
  <c r="A1751" i="7"/>
  <c r="B1751" i="7"/>
  <c r="C1751" i="7"/>
  <c r="D1751" i="7"/>
  <c r="E1751" i="7"/>
  <c r="F1751" i="7"/>
  <c r="G1751" i="7"/>
  <c r="H1751" i="7"/>
  <c r="I1751" i="7"/>
  <c r="A1752" i="7"/>
  <c r="B1752" i="7"/>
  <c r="C1752" i="7"/>
  <c r="D1752" i="7"/>
  <c r="E1752" i="7"/>
  <c r="F1752" i="7"/>
  <c r="G1752" i="7"/>
  <c r="H1752" i="7"/>
  <c r="I1752" i="7"/>
  <c r="A1753" i="7"/>
  <c r="B1753" i="7"/>
  <c r="C1753" i="7"/>
  <c r="D1753" i="7"/>
  <c r="E1753" i="7"/>
  <c r="F1753" i="7"/>
  <c r="G1753" i="7"/>
  <c r="H1753" i="7"/>
  <c r="I1753" i="7"/>
  <c r="A1754" i="7"/>
  <c r="B1754" i="7"/>
  <c r="C1754" i="7"/>
  <c r="D1754" i="7"/>
  <c r="E1754" i="7"/>
  <c r="F1754" i="7"/>
  <c r="G1754" i="7"/>
  <c r="H1754" i="7"/>
  <c r="I1754" i="7"/>
  <c r="A1755" i="7"/>
  <c r="B1755" i="7"/>
  <c r="C1755" i="7"/>
  <c r="D1755" i="7"/>
  <c r="E1755" i="7"/>
  <c r="F1755" i="7"/>
  <c r="G1755" i="7"/>
  <c r="H1755" i="7"/>
  <c r="I1755" i="7"/>
  <c r="A1756" i="7"/>
  <c r="B1756" i="7"/>
  <c r="C1756" i="7"/>
  <c r="D1756" i="7"/>
  <c r="E1756" i="7"/>
  <c r="F1756" i="7"/>
  <c r="G1756" i="7"/>
  <c r="H1756" i="7"/>
  <c r="I1756" i="7"/>
  <c r="A1757" i="7"/>
  <c r="B1757" i="7"/>
  <c r="C1757" i="7"/>
  <c r="D1757" i="7"/>
  <c r="E1757" i="7"/>
  <c r="F1757" i="7"/>
  <c r="G1757" i="7"/>
  <c r="H1757" i="7"/>
  <c r="I1757" i="7"/>
  <c r="A1758" i="7"/>
  <c r="B1758" i="7"/>
  <c r="C1758" i="7"/>
  <c r="D1758" i="7"/>
  <c r="E1758" i="7"/>
  <c r="F1758" i="7"/>
  <c r="G1758" i="7"/>
  <c r="H1758" i="7"/>
  <c r="I1758" i="7"/>
  <c r="A1759" i="7"/>
  <c r="B1759" i="7"/>
  <c r="C1759" i="7"/>
  <c r="D1759" i="7"/>
  <c r="E1759" i="7"/>
  <c r="F1759" i="7"/>
  <c r="G1759" i="7"/>
  <c r="H1759" i="7"/>
  <c r="I1759" i="7"/>
  <c r="A1760" i="7"/>
  <c r="B1760" i="7"/>
  <c r="C1760" i="7"/>
  <c r="D1760" i="7"/>
  <c r="E1760" i="7"/>
  <c r="F1760" i="7"/>
  <c r="G1760" i="7"/>
  <c r="H1760" i="7"/>
  <c r="I1760" i="7"/>
  <c r="A1761" i="7"/>
  <c r="B1761" i="7"/>
  <c r="C1761" i="7"/>
  <c r="D1761" i="7"/>
  <c r="E1761" i="7"/>
  <c r="F1761" i="7"/>
  <c r="G1761" i="7"/>
  <c r="H1761" i="7"/>
  <c r="I1761" i="7"/>
  <c r="A1762" i="7"/>
  <c r="B1762" i="7"/>
  <c r="C1762" i="7"/>
  <c r="D1762" i="7"/>
  <c r="E1762" i="7"/>
  <c r="F1762" i="7"/>
  <c r="G1762" i="7"/>
  <c r="H1762" i="7"/>
  <c r="I1762" i="7"/>
  <c r="A1763" i="7"/>
  <c r="B1763" i="7"/>
  <c r="C1763" i="7"/>
  <c r="D1763" i="7"/>
  <c r="E1763" i="7"/>
  <c r="F1763" i="7"/>
  <c r="G1763" i="7"/>
  <c r="H1763" i="7"/>
  <c r="I1763" i="7"/>
  <c r="A1764" i="7"/>
  <c r="B1764" i="7"/>
  <c r="C1764" i="7"/>
  <c r="D1764" i="7"/>
  <c r="E1764" i="7"/>
  <c r="F1764" i="7"/>
  <c r="G1764" i="7"/>
  <c r="H1764" i="7"/>
  <c r="I1764" i="7"/>
  <c r="A1765" i="7"/>
  <c r="B1765" i="7"/>
  <c r="C1765" i="7"/>
  <c r="D1765" i="7"/>
  <c r="E1765" i="7"/>
  <c r="F1765" i="7"/>
  <c r="G1765" i="7"/>
  <c r="H1765" i="7"/>
  <c r="I1765" i="7"/>
  <c r="A1766" i="7"/>
  <c r="B1766" i="7"/>
  <c r="C1766" i="7"/>
  <c r="D1766" i="7"/>
  <c r="E1766" i="7"/>
  <c r="F1766" i="7"/>
  <c r="G1766" i="7"/>
  <c r="H1766" i="7"/>
  <c r="I1766" i="7"/>
  <c r="A1767" i="7"/>
  <c r="B1767" i="7"/>
  <c r="C1767" i="7"/>
  <c r="D1767" i="7"/>
  <c r="E1767" i="7"/>
  <c r="F1767" i="7"/>
  <c r="G1767" i="7"/>
  <c r="H1767" i="7"/>
  <c r="I1767" i="7"/>
  <c r="A1768" i="7"/>
  <c r="B1768" i="7"/>
  <c r="C1768" i="7"/>
  <c r="D1768" i="7"/>
  <c r="E1768" i="7"/>
  <c r="F1768" i="7"/>
  <c r="G1768" i="7"/>
  <c r="H1768" i="7"/>
  <c r="I1768" i="7"/>
  <c r="A1769" i="7"/>
  <c r="B1769" i="7"/>
  <c r="C1769" i="7"/>
  <c r="D1769" i="7"/>
  <c r="E1769" i="7"/>
  <c r="F1769" i="7"/>
  <c r="G1769" i="7"/>
  <c r="H1769" i="7"/>
  <c r="I1769" i="7"/>
  <c r="A1770" i="7"/>
  <c r="B1770" i="7"/>
  <c r="C1770" i="7"/>
  <c r="D1770" i="7"/>
  <c r="E1770" i="7"/>
  <c r="F1770" i="7"/>
  <c r="G1770" i="7"/>
  <c r="H1770" i="7"/>
  <c r="I1770" i="7"/>
  <c r="A1771" i="7"/>
  <c r="B1771" i="7"/>
  <c r="C1771" i="7"/>
  <c r="D1771" i="7"/>
  <c r="E1771" i="7"/>
  <c r="F1771" i="7"/>
  <c r="G1771" i="7"/>
  <c r="H1771" i="7"/>
  <c r="I1771" i="7"/>
  <c r="A1772" i="7"/>
  <c r="B1772" i="7"/>
  <c r="C1772" i="7"/>
  <c r="D1772" i="7"/>
  <c r="E1772" i="7"/>
  <c r="F1772" i="7"/>
  <c r="G1772" i="7"/>
  <c r="H1772" i="7"/>
  <c r="I1772" i="7"/>
  <c r="A1773" i="7"/>
  <c r="B1773" i="7"/>
  <c r="C1773" i="7"/>
  <c r="D1773" i="7"/>
  <c r="E1773" i="7"/>
  <c r="F1773" i="7"/>
  <c r="G1773" i="7"/>
  <c r="H1773" i="7"/>
  <c r="I1773" i="7"/>
  <c r="A1774" i="7"/>
  <c r="B1774" i="7"/>
  <c r="C1774" i="7"/>
  <c r="D1774" i="7"/>
  <c r="E1774" i="7"/>
  <c r="F1774" i="7"/>
  <c r="G1774" i="7"/>
  <c r="H1774" i="7"/>
  <c r="I1774" i="7"/>
  <c r="A1775" i="7"/>
  <c r="B1775" i="7"/>
  <c r="C1775" i="7"/>
  <c r="D1775" i="7"/>
  <c r="E1775" i="7"/>
  <c r="F1775" i="7"/>
  <c r="G1775" i="7"/>
  <c r="H1775" i="7"/>
  <c r="I1775" i="7"/>
  <c r="A1776" i="7"/>
  <c r="B1776" i="7"/>
  <c r="C1776" i="7"/>
  <c r="D1776" i="7"/>
  <c r="E1776" i="7"/>
  <c r="F1776" i="7"/>
  <c r="G1776" i="7"/>
  <c r="H1776" i="7"/>
  <c r="I1776" i="7"/>
  <c r="A1777" i="7"/>
  <c r="B1777" i="7"/>
  <c r="C1777" i="7"/>
  <c r="D1777" i="7"/>
  <c r="E1777" i="7"/>
  <c r="F1777" i="7"/>
  <c r="G1777" i="7"/>
  <c r="H1777" i="7"/>
  <c r="I1777" i="7"/>
  <c r="A1778" i="7"/>
  <c r="B1778" i="7"/>
  <c r="C1778" i="7"/>
  <c r="D1778" i="7"/>
  <c r="E1778" i="7"/>
  <c r="F1778" i="7"/>
  <c r="G1778" i="7"/>
  <c r="H1778" i="7"/>
  <c r="I1778" i="7"/>
  <c r="A1779" i="7"/>
  <c r="B1779" i="7"/>
  <c r="C1779" i="7"/>
  <c r="D1779" i="7"/>
  <c r="E1779" i="7"/>
  <c r="F1779" i="7"/>
  <c r="G1779" i="7"/>
  <c r="H1779" i="7"/>
  <c r="I1779" i="7"/>
  <c r="A1780" i="7"/>
  <c r="B1780" i="7"/>
  <c r="C1780" i="7"/>
  <c r="D1780" i="7"/>
  <c r="E1780" i="7"/>
  <c r="F1780" i="7"/>
  <c r="G1780" i="7"/>
  <c r="H1780" i="7"/>
  <c r="I1780" i="7"/>
  <c r="A1781" i="7"/>
  <c r="B1781" i="7"/>
  <c r="C1781" i="7"/>
  <c r="D1781" i="7"/>
  <c r="E1781" i="7"/>
  <c r="F1781" i="7"/>
  <c r="G1781" i="7"/>
  <c r="H1781" i="7"/>
  <c r="I1781" i="7"/>
  <c r="A1782" i="7"/>
  <c r="B1782" i="7"/>
  <c r="C1782" i="7"/>
  <c r="D1782" i="7"/>
  <c r="E1782" i="7"/>
  <c r="F1782" i="7"/>
  <c r="G1782" i="7"/>
  <c r="H1782" i="7"/>
  <c r="I1782" i="7"/>
  <c r="A1783" i="7"/>
  <c r="B1783" i="7"/>
  <c r="C1783" i="7"/>
  <c r="D1783" i="7"/>
  <c r="E1783" i="7"/>
  <c r="F1783" i="7"/>
  <c r="G1783" i="7"/>
  <c r="H1783" i="7"/>
  <c r="I1783" i="7"/>
  <c r="A1784" i="7"/>
  <c r="B1784" i="7"/>
  <c r="C1784" i="7"/>
  <c r="D1784" i="7"/>
  <c r="E1784" i="7"/>
  <c r="F1784" i="7"/>
  <c r="G1784" i="7"/>
  <c r="H1784" i="7"/>
  <c r="I1784" i="7"/>
  <c r="A1785" i="7"/>
  <c r="B1785" i="7"/>
  <c r="C1785" i="7"/>
  <c r="D1785" i="7"/>
  <c r="E1785" i="7"/>
  <c r="F1785" i="7"/>
  <c r="G1785" i="7"/>
  <c r="H1785" i="7"/>
  <c r="I1785" i="7"/>
  <c r="A1786" i="7"/>
  <c r="B1786" i="7"/>
  <c r="C1786" i="7"/>
  <c r="D1786" i="7"/>
  <c r="E1786" i="7"/>
  <c r="F1786" i="7"/>
  <c r="G1786" i="7"/>
  <c r="H1786" i="7"/>
  <c r="I1786" i="7"/>
  <c r="A1787" i="7"/>
  <c r="B1787" i="7"/>
  <c r="C1787" i="7"/>
  <c r="D1787" i="7"/>
  <c r="E1787" i="7"/>
  <c r="F1787" i="7"/>
  <c r="G1787" i="7"/>
  <c r="H1787" i="7"/>
  <c r="I1787" i="7"/>
  <c r="A1788" i="7"/>
  <c r="B1788" i="7"/>
  <c r="C1788" i="7"/>
  <c r="D1788" i="7"/>
  <c r="E1788" i="7"/>
  <c r="F1788" i="7"/>
  <c r="G1788" i="7"/>
  <c r="H1788" i="7"/>
  <c r="I1788" i="7"/>
  <c r="A1789" i="7"/>
  <c r="B1789" i="7"/>
  <c r="C1789" i="7"/>
  <c r="D1789" i="7"/>
  <c r="E1789" i="7"/>
  <c r="F1789" i="7"/>
  <c r="G1789" i="7"/>
  <c r="H1789" i="7"/>
  <c r="I1789" i="7"/>
  <c r="A1790" i="7"/>
  <c r="B1790" i="7"/>
  <c r="C1790" i="7"/>
  <c r="D1790" i="7"/>
  <c r="E1790" i="7"/>
  <c r="F1790" i="7"/>
  <c r="G1790" i="7"/>
  <c r="H1790" i="7"/>
  <c r="I1790" i="7"/>
  <c r="A1791" i="7"/>
  <c r="B1791" i="7"/>
  <c r="C1791" i="7"/>
  <c r="D1791" i="7"/>
  <c r="E1791" i="7"/>
  <c r="F1791" i="7"/>
  <c r="G1791" i="7"/>
  <c r="H1791" i="7"/>
  <c r="I1791" i="7"/>
  <c r="A1792" i="7"/>
  <c r="B1792" i="7"/>
  <c r="C1792" i="7"/>
  <c r="D1792" i="7"/>
  <c r="E1792" i="7"/>
  <c r="F1792" i="7"/>
  <c r="G1792" i="7"/>
  <c r="H1792" i="7"/>
  <c r="I1792" i="7"/>
  <c r="A1793" i="7"/>
  <c r="B1793" i="7"/>
  <c r="C1793" i="7"/>
  <c r="D1793" i="7"/>
  <c r="E1793" i="7"/>
  <c r="F1793" i="7"/>
  <c r="G1793" i="7"/>
  <c r="H1793" i="7"/>
  <c r="I1793" i="7"/>
  <c r="A1794" i="7"/>
  <c r="B1794" i="7"/>
  <c r="C1794" i="7"/>
  <c r="D1794" i="7"/>
  <c r="E1794" i="7"/>
  <c r="F1794" i="7"/>
  <c r="G1794" i="7"/>
  <c r="H1794" i="7"/>
  <c r="I1794" i="7"/>
  <c r="A1795" i="7"/>
  <c r="B1795" i="7"/>
  <c r="C1795" i="7"/>
  <c r="D1795" i="7"/>
  <c r="E1795" i="7"/>
  <c r="F1795" i="7"/>
  <c r="G1795" i="7"/>
  <c r="H1795" i="7"/>
  <c r="I1795" i="7"/>
  <c r="A1796" i="7"/>
  <c r="B1796" i="7"/>
  <c r="C1796" i="7"/>
  <c r="D1796" i="7"/>
  <c r="E1796" i="7"/>
  <c r="F1796" i="7"/>
  <c r="G1796" i="7"/>
  <c r="H1796" i="7"/>
  <c r="I1796" i="7"/>
  <c r="A1797" i="7"/>
  <c r="B1797" i="7"/>
  <c r="C1797" i="7"/>
  <c r="D1797" i="7"/>
  <c r="E1797" i="7"/>
  <c r="F1797" i="7"/>
  <c r="G1797" i="7"/>
  <c r="H1797" i="7"/>
  <c r="I1797" i="7"/>
  <c r="A1798" i="7"/>
  <c r="B1798" i="7"/>
  <c r="C1798" i="7"/>
  <c r="D1798" i="7"/>
  <c r="E1798" i="7"/>
  <c r="F1798" i="7"/>
  <c r="G1798" i="7"/>
  <c r="H1798" i="7"/>
  <c r="I1798" i="7"/>
  <c r="A1799" i="7"/>
  <c r="B1799" i="7"/>
  <c r="C1799" i="7"/>
  <c r="D1799" i="7"/>
  <c r="E1799" i="7"/>
  <c r="F1799" i="7"/>
  <c r="G1799" i="7"/>
  <c r="H1799" i="7"/>
  <c r="I1799" i="7"/>
  <c r="A1800" i="7"/>
  <c r="B1800" i="7"/>
  <c r="C1800" i="7"/>
  <c r="D1800" i="7"/>
  <c r="E1800" i="7"/>
  <c r="F1800" i="7"/>
  <c r="G1800" i="7"/>
  <c r="H1800" i="7"/>
  <c r="I1800" i="7"/>
  <c r="A1801" i="7"/>
  <c r="B1801" i="7"/>
  <c r="C1801" i="7"/>
  <c r="D1801" i="7"/>
  <c r="E1801" i="7"/>
  <c r="F1801" i="7"/>
  <c r="G1801" i="7"/>
  <c r="H1801" i="7"/>
  <c r="I1801" i="7"/>
  <c r="A1802" i="7"/>
  <c r="B1802" i="7"/>
  <c r="C1802" i="7"/>
  <c r="D1802" i="7"/>
  <c r="E1802" i="7"/>
  <c r="F1802" i="7"/>
  <c r="G1802" i="7"/>
  <c r="H1802" i="7"/>
  <c r="I1802" i="7"/>
  <c r="A1803" i="7"/>
  <c r="B1803" i="7"/>
  <c r="C1803" i="7"/>
  <c r="D1803" i="7"/>
  <c r="E1803" i="7"/>
  <c r="F1803" i="7"/>
  <c r="G1803" i="7"/>
  <c r="H1803" i="7"/>
  <c r="I1803" i="7"/>
  <c r="A1804" i="7"/>
  <c r="B1804" i="7"/>
  <c r="C1804" i="7"/>
  <c r="D1804" i="7"/>
  <c r="E1804" i="7"/>
  <c r="F1804" i="7"/>
  <c r="G1804" i="7"/>
  <c r="H1804" i="7"/>
  <c r="I1804" i="7"/>
  <c r="A1805" i="7"/>
  <c r="B1805" i="7"/>
  <c r="C1805" i="7"/>
  <c r="D1805" i="7"/>
  <c r="E1805" i="7"/>
  <c r="F1805" i="7"/>
  <c r="G1805" i="7"/>
  <c r="H1805" i="7"/>
  <c r="I1805" i="7"/>
  <c r="A1806" i="7"/>
  <c r="B1806" i="7"/>
  <c r="C1806" i="7"/>
  <c r="D1806" i="7"/>
  <c r="E1806" i="7"/>
  <c r="F1806" i="7"/>
  <c r="G1806" i="7"/>
  <c r="H1806" i="7"/>
  <c r="I1806" i="7"/>
  <c r="A1807" i="7"/>
  <c r="B1807" i="7"/>
  <c r="C1807" i="7"/>
  <c r="D1807" i="7"/>
  <c r="E1807" i="7"/>
  <c r="F1807" i="7"/>
  <c r="G1807" i="7"/>
  <c r="H1807" i="7"/>
  <c r="I1807" i="7"/>
  <c r="A1808" i="7"/>
  <c r="B1808" i="7"/>
  <c r="C1808" i="7"/>
  <c r="D1808" i="7"/>
  <c r="E1808" i="7"/>
  <c r="F1808" i="7"/>
  <c r="G1808" i="7"/>
  <c r="H1808" i="7"/>
  <c r="I1808" i="7"/>
  <c r="A1809" i="7"/>
  <c r="B1809" i="7"/>
  <c r="C1809" i="7"/>
  <c r="D1809" i="7"/>
  <c r="E1809" i="7"/>
  <c r="F1809" i="7"/>
  <c r="G1809" i="7"/>
  <c r="H1809" i="7"/>
  <c r="I1809" i="7"/>
  <c r="A1810" i="7"/>
  <c r="B1810" i="7"/>
  <c r="C1810" i="7"/>
  <c r="D1810" i="7"/>
  <c r="E1810" i="7"/>
  <c r="F1810" i="7"/>
  <c r="G1810" i="7"/>
  <c r="H1810" i="7"/>
  <c r="I1810" i="7"/>
  <c r="A1811" i="7"/>
  <c r="B1811" i="7"/>
  <c r="C1811" i="7"/>
  <c r="D1811" i="7"/>
  <c r="E1811" i="7"/>
  <c r="F1811" i="7"/>
  <c r="G1811" i="7"/>
  <c r="H1811" i="7"/>
  <c r="I1811" i="7"/>
  <c r="A1812" i="7"/>
  <c r="B1812" i="7"/>
  <c r="C1812" i="7"/>
  <c r="D1812" i="7"/>
  <c r="E1812" i="7"/>
  <c r="F1812" i="7"/>
  <c r="G1812" i="7"/>
  <c r="H1812" i="7"/>
  <c r="I1812" i="7"/>
  <c r="A1813" i="7"/>
  <c r="B1813" i="7"/>
  <c r="C1813" i="7"/>
  <c r="D1813" i="7"/>
  <c r="E1813" i="7"/>
  <c r="F1813" i="7"/>
  <c r="G1813" i="7"/>
  <c r="H1813" i="7"/>
  <c r="I1813" i="7"/>
  <c r="A1814" i="7"/>
  <c r="B1814" i="7"/>
  <c r="C1814" i="7"/>
  <c r="D1814" i="7"/>
  <c r="E1814" i="7"/>
  <c r="F1814" i="7"/>
  <c r="G1814" i="7"/>
  <c r="H1814" i="7"/>
  <c r="I1814" i="7"/>
  <c r="A1815" i="7"/>
  <c r="B1815" i="7"/>
  <c r="C1815" i="7"/>
  <c r="D1815" i="7"/>
  <c r="E1815" i="7"/>
  <c r="F1815" i="7"/>
  <c r="G1815" i="7"/>
  <c r="H1815" i="7"/>
  <c r="I1815" i="7"/>
  <c r="A1816" i="7"/>
  <c r="B1816" i="7"/>
  <c r="C1816" i="7"/>
  <c r="D1816" i="7"/>
  <c r="E1816" i="7"/>
  <c r="F1816" i="7"/>
  <c r="G1816" i="7"/>
  <c r="H1816" i="7"/>
  <c r="I1816" i="7"/>
  <c r="A1817" i="7"/>
  <c r="B1817" i="7"/>
  <c r="C1817" i="7"/>
  <c r="D1817" i="7"/>
  <c r="E1817" i="7"/>
  <c r="F1817" i="7"/>
  <c r="G1817" i="7"/>
  <c r="H1817" i="7"/>
  <c r="I1817" i="7"/>
  <c r="A1818" i="7"/>
  <c r="B1818" i="7"/>
  <c r="C1818" i="7"/>
  <c r="D1818" i="7"/>
  <c r="E1818" i="7"/>
  <c r="F1818" i="7"/>
  <c r="G1818" i="7"/>
  <c r="H1818" i="7"/>
  <c r="I1818" i="7"/>
  <c r="A1819" i="7"/>
  <c r="B1819" i="7"/>
  <c r="C1819" i="7"/>
  <c r="D1819" i="7"/>
  <c r="E1819" i="7"/>
  <c r="F1819" i="7"/>
  <c r="G1819" i="7"/>
  <c r="H1819" i="7"/>
  <c r="I1819" i="7"/>
  <c r="A1820" i="7"/>
  <c r="B1820" i="7"/>
  <c r="C1820" i="7"/>
  <c r="D1820" i="7"/>
  <c r="E1820" i="7"/>
  <c r="F1820" i="7"/>
  <c r="G1820" i="7"/>
  <c r="H1820" i="7"/>
  <c r="I1820" i="7"/>
  <c r="A1821" i="7"/>
  <c r="B1821" i="7"/>
  <c r="C1821" i="7"/>
  <c r="D1821" i="7"/>
  <c r="E1821" i="7"/>
  <c r="F1821" i="7"/>
  <c r="G1821" i="7"/>
  <c r="H1821" i="7"/>
  <c r="I1821" i="7"/>
  <c r="A1822" i="7"/>
  <c r="B1822" i="7"/>
  <c r="C1822" i="7"/>
  <c r="D1822" i="7"/>
  <c r="E1822" i="7"/>
  <c r="F1822" i="7"/>
  <c r="G1822" i="7"/>
  <c r="H1822" i="7"/>
  <c r="I1822" i="7"/>
  <c r="A1823" i="7"/>
  <c r="B1823" i="7"/>
  <c r="C1823" i="7"/>
  <c r="D1823" i="7"/>
  <c r="E1823" i="7"/>
  <c r="F1823" i="7"/>
  <c r="G1823" i="7"/>
  <c r="H1823" i="7"/>
  <c r="I1823" i="7"/>
  <c r="A1824" i="7"/>
  <c r="B1824" i="7"/>
  <c r="C1824" i="7"/>
  <c r="D1824" i="7"/>
  <c r="E1824" i="7"/>
  <c r="F1824" i="7"/>
  <c r="G1824" i="7"/>
  <c r="H1824" i="7"/>
  <c r="I1824" i="7"/>
  <c r="A1825" i="7"/>
  <c r="B1825" i="7"/>
  <c r="C1825" i="7"/>
  <c r="D1825" i="7"/>
  <c r="E1825" i="7"/>
  <c r="F1825" i="7"/>
  <c r="G1825" i="7"/>
  <c r="H1825" i="7"/>
  <c r="I1825" i="7"/>
  <c r="A1826" i="7"/>
  <c r="B1826" i="7"/>
  <c r="C1826" i="7"/>
  <c r="D1826" i="7"/>
  <c r="E1826" i="7"/>
  <c r="F1826" i="7"/>
  <c r="G1826" i="7"/>
  <c r="H1826" i="7"/>
  <c r="I1826" i="7"/>
  <c r="A1827" i="7"/>
  <c r="B1827" i="7"/>
  <c r="C1827" i="7"/>
  <c r="D1827" i="7"/>
  <c r="E1827" i="7"/>
  <c r="F1827" i="7"/>
  <c r="G1827" i="7"/>
  <c r="H1827" i="7"/>
  <c r="I1827" i="7"/>
  <c r="A1828" i="7"/>
  <c r="B1828" i="7"/>
  <c r="C1828" i="7"/>
  <c r="D1828" i="7"/>
  <c r="E1828" i="7"/>
  <c r="F1828" i="7"/>
  <c r="G1828" i="7"/>
  <c r="H1828" i="7"/>
  <c r="I1828" i="7"/>
  <c r="A1829" i="7"/>
  <c r="B1829" i="7"/>
  <c r="C1829" i="7"/>
  <c r="D1829" i="7"/>
  <c r="E1829" i="7"/>
  <c r="F1829" i="7"/>
  <c r="G1829" i="7"/>
  <c r="H1829" i="7"/>
  <c r="I1829" i="7"/>
  <c r="A1830" i="7"/>
  <c r="B1830" i="7"/>
  <c r="C1830" i="7"/>
  <c r="D1830" i="7"/>
  <c r="E1830" i="7"/>
  <c r="F1830" i="7"/>
  <c r="G1830" i="7"/>
  <c r="H1830" i="7"/>
  <c r="I1830" i="7"/>
  <c r="A1831" i="7"/>
  <c r="B1831" i="7"/>
  <c r="C1831" i="7"/>
  <c r="D1831" i="7"/>
  <c r="E1831" i="7"/>
  <c r="F1831" i="7"/>
  <c r="G1831" i="7"/>
  <c r="H1831" i="7"/>
  <c r="I1831" i="7"/>
  <c r="A1832" i="7"/>
  <c r="B1832" i="7"/>
  <c r="C1832" i="7"/>
  <c r="D1832" i="7"/>
  <c r="E1832" i="7"/>
  <c r="F1832" i="7"/>
  <c r="G1832" i="7"/>
  <c r="H1832" i="7"/>
  <c r="I1832" i="7"/>
  <c r="A1833" i="7"/>
  <c r="B1833" i="7"/>
  <c r="C1833" i="7"/>
  <c r="D1833" i="7"/>
  <c r="E1833" i="7"/>
  <c r="F1833" i="7"/>
  <c r="G1833" i="7"/>
  <c r="H1833" i="7"/>
  <c r="I1833" i="7"/>
  <c r="A1834" i="7"/>
  <c r="B1834" i="7"/>
  <c r="C1834" i="7"/>
  <c r="D1834" i="7"/>
  <c r="E1834" i="7"/>
  <c r="F1834" i="7"/>
  <c r="G1834" i="7"/>
  <c r="H1834" i="7"/>
  <c r="I1834" i="7"/>
  <c r="A1835" i="7"/>
  <c r="B1835" i="7"/>
  <c r="C1835" i="7"/>
  <c r="D1835" i="7"/>
  <c r="E1835" i="7"/>
  <c r="F1835" i="7"/>
  <c r="G1835" i="7"/>
  <c r="H1835" i="7"/>
  <c r="I1835" i="7"/>
  <c r="A1836" i="7"/>
  <c r="B1836" i="7"/>
  <c r="C1836" i="7"/>
  <c r="D1836" i="7"/>
  <c r="E1836" i="7"/>
  <c r="F1836" i="7"/>
  <c r="G1836" i="7"/>
  <c r="H1836" i="7"/>
  <c r="I1836" i="7"/>
  <c r="A1837" i="7"/>
  <c r="B1837" i="7"/>
  <c r="C1837" i="7"/>
  <c r="D1837" i="7"/>
  <c r="E1837" i="7"/>
  <c r="F1837" i="7"/>
  <c r="G1837" i="7"/>
  <c r="H1837" i="7"/>
  <c r="I1837" i="7"/>
  <c r="A1838" i="7"/>
  <c r="B1838" i="7"/>
  <c r="C1838" i="7"/>
  <c r="D1838" i="7"/>
  <c r="E1838" i="7"/>
  <c r="F1838" i="7"/>
  <c r="G1838" i="7"/>
  <c r="H1838" i="7"/>
  <c r="I1838" i="7"/>
  <c r="A1839" i="7"/>
  <c r="B1839" i="7"/>
  <c r="C1839" i="7"/>
  <c r="D1839" i="7"/>
  <c r="E1839" i="7"/>
  <c r="F1839" i="7"/>
  <c r="G1839" i="7"/>
  <c r="H1839" i="7"/>
  <c r="I1839" i="7"/>
  <c r="A1840" i="7"/>
  <c r="B1840" i="7"/>
  <c r="C1840" i="7"/>
  <c r="D1840" i="7"/>
  <c r="E1840" i="7"/>
  <c r="F1840" i="7"/>
  <c r="G1840" i="7"/>
  <c r="H1840" i="7"/>
  <c r="I1840" i="7"/>
  <c r="A1841" i="7"/>
  <c r="B1841" i="7"/>
  <c r="C1841" i="7"/>
  <c r="D1841" i="7"/>
  <c r="E1841" i="7"/>
  <c r="F1841" i="7"/>
  <c r="G1841" i="7"/>
  <c r="H1841" i="7"/>
  <c r="I1841" i="7"/>
  <c r="A1842" i="7"/>
  <c r="B1842" i="7"/>
  <c r="C1842" i="7"/>
  <c r="D1842" i="7"/>
  <c r="E1842" i="7"/>
  <c r="F1842" i="7"/>
  <c r="G1842" i="7"/>
  <c r="H1842" i="7"/>
  <c r="I1842" i="7"/>
  <c r="A1843" i="7"/>
  <c r="B1843" i="7"/>
  <c r="C1843" i="7"/>
  <c r="D1843" i="7"/>
  <c r="E1843" i="7"/>
  <c r="F1843" i="7"/>
  <c r="G1843" i="7"/>
  <c r="H1843" i="7"/>
  <c r="I1843" i="7"/>
  <c r="A1844" i="7"/>
  <c r="B1844" i="7"/>
  <c r="C1844" i="7"/>
  <c r="D1844" i="7"/>
  <c r="E1844" i="7"/>
  <c r="F1844" i="7"/>
  <c r="G1844" i="7"/>
  <c r="H1844" i="7"/>
  <c r="I1844" i="7"/>
  <c r="A1845" i="7"/>
  <c r="B1845" i="7"/>
  <c r="C1845" i="7"/>
  <c r="D1845" i="7"/>
  <c r="E1845" i="7"/>
  <c r="F1845" i="7"/>
  <c r="G1845" i="7"/>
  <c r="H1845" i="7"/>
  <c r="I1845" i="7"/>
  <c r="A1846" i="7"/>
  <c r="B1846" i="7"/>
  <c r="C1846" i="7"/>
  <c r="D1846" i="7"/>
  <c r="E1846" i="7"/>
  <c r="F1846" i="7"/>
  <c r="G1846" i="7"/>
  <c r="H1846" i="7"/>
  <c r="I1846" i="7"/>
  <c r="A1847" i="7"/>
  <c r="B1847" i="7"/>
  <c r="C1847" i="7"/>
  <c r="D1847" i="7"/>
  <c r="E1847" i="7"/>
  <c r="F1847" i="7"/>
  <c r="G1847" i="7"/>
  <c r="H1847" i="7"/>
  <c r="I1847" i="7"/>
  <c r="A1848" i="7"/>
  <c r="B1848" i="7"/>
  <c r="C1848" i="7"/>
  <c r="D1848" i="7"/>
  <c r="E1848" i="7"/>
  <c r="F1848" i="7"/>
  <c r="G1848" i="7"/>
  <c r="H1848" i="7"/>
  <c r="I1848" i="7"/>
  <c r="A1849" i="7"/>
  <c r="B1849" i="7"/>
  <c r="C1849" i="7"/>
  <c r="D1849" i="7"/>
  <c r="E1849" i="7"/>
  <c r="F1849" i="7"/>
  <c r="G1849" i="7"/>
  <c r="H1849" i="7"/>
  <c r="I1849" i="7"/>
  <c r="A1850" i="7"/>
  <c r="B1850" i="7"/>
  <c r="C1850" i="7"/>
  <c r="D1850" i="7"/>
  <c r="E1850" i="7"/>
  <c r="F1850" i="7"/>
  <c r="G1850" i="7"/>
  <c r="H1850" i="7"/>
  <c r="I1850" i="7"/>
  <c r="A1851" i="7"/>
  <c r="B1851" i="7"/>
  <c r="C1851" i="7"/>
  <c r="D1851" i="7"/>
  <c r="E1851" i="7"/>
  <c r="F1851" i="7"/>
  <c r="G1851" i="7"/>
  <c r="H1851" i="7"/>
  <c r="I1851" i="7"/>
  <c r="A1852" i="7"/>
  <c r="B1852" i="7"/>
  <c r="C1852" i="7"/>
  <c r="D1852" i="7"/>
  <c r="E1852" i="7"/>
  <c r="F1852" i="7"/>
  <c r="G1852" i="7"/>
  <c r="H1852" i="7"/>
  <c r="I1852" i="7"/>
  <c r="A1853" i="7"/>
  <c r="B1853" i="7"/>
  <c r="C1853" i="7"/>
  <c r="D1853" i="7"/>
  <c r="E1853" i="7"/>
  <c r="F1853" i="7"/>
  <c r="G1853" i="7"/>
  <c r="H1853" i="7"/>
  <c r="I1853" i="7"/>
  <c r="A1854" i="7"/>
  <c r="B1854" i="7"/>
  <c r="C1854" i="7"/>
  <c r="D1854" i="7"/>
  <c r="E1854" i="7"/>
  <c r="F1854" i="7"/>
  <c r="G1854" i="7"/>
  <c r="H1854" i="7"/>
  <c r="I1854" i="7"/>
  <c r="A1855" i="7"/>
  <c r="B1855" i="7"/>
  <c r="C1855" i="7"/>
  <c r="D1855" i="7"/>
  <c r="E1855" i="7"/>
  <c r="F1855" i="7"/>
  <c r="G1855" i="7"/>
  <c r="H1855" i="7"/>
  <c r="I1855" i="7"/>
  <c r="A1856" i="7"/>
  <c r="B1856" i="7"/>
  <c r="C1856" i="7"/>
  <c r="D1856" i="7"/>
  <c r="E1856" i="7"/>
  <c r="F1856" i="7"/>
  <c r="G1856" i="7"/>
  <c r="H1856" i="7"/>
  <c r="I1856" i="7"/>
  <c r="A1857" i="7"/>
  <c r="B1857" i="7"/>
  <c r="C1857" i="7"/>
  <c r="D1857" i="7"/>
  <c r="E1857" i="7"/>
  <c r="F1857" i="7"/>
  <c r="G1857" i="7"/>
  <c r="H1857" i="7"/>
  <c r="I1857" i="7"/>
  <c r="A1858" i="7"/>
  <c r="B1858" i="7"/>
  <c r="C1858" i="7"/>
  <c r="D1858" i="7"/>
  <c r="E1858" i="7"/>
  <c r="F1858" i="7"/>
  <c r="G1858" i="7"/>
  <c r="H1858" i="7"/>
  <c r="I1858" i="7"/>
  <c r="A1859" i="7"/>
  <c r="B1859" i="7"/>
  <c r="C1859" i="7"/>
  <c r="D1859" i="7"/>
  <c r="E1859" i="7"/>
  <c r="F1859" i="7"/>
  <c r="G1859" i="7"/>
  <c r="H1859" i="7"/>
  <c r="I1859" i="7"/>
  <c r="A1860" i="7"/>
  <c r="B1860" i="7"/>
  <c r="C1860" i="7"/>
  <c r="D1860" i="7"/>
  <c r="E1860" i="7"/>
  <c r="F1860" i="7"/>
  <c r="G1860" i="7"/>
  <c r="H1860" i="7"/>
  <c r="I1860" i="7"/>
  <c r="A1861" i="7"/>
  <c r="B1861" i="7"/>
  <c r="C1861" i="7"/>
  <c r="D1861" i="7"/>
  <c r="E1861" i="7"/>
  <c r="F1861" i="7"/>
  <c r="G1861" i="7"/>
  <c r="H1861" i="7"/>
  <c r="I1861" i="7"/>
  <c r="A1862" i="7"/>
  <c r="B1862" i="7"/>
  <c r="C1862" i="7"/>
  <c r="D1862" i="7"/>
  <c r="E1862" i="7"/>
  <c r="F1862" i="7"/>
  <c r="G1862" i="7"/>
  <c r="H1862" i="7"/>
  <c r="I1862" i="7"/>
  <c r="A1863" i="7"/>
  <c r="B1863" i="7"/>
  <c r="C1863" i="7"/>
  <c r="D1863" i="7"/>
  <c r="E1863" i="7"/>
  <c r="F1863" i="7"/>
  <c r="G1863" i="7"/>
  <c r="H1863" i="7"/>
  <c r="I1863" i="7"/>
  <c r="A1864" i="7"/>
  <c r="B1864" i="7"/>
  <c r="C1864" i="7"/>
  <c r="D1864" i="7"/>
  <c r="E1864" i="7"/>
  <c r="F1864" i="7"/>
  <c r="G1864" i="7"/>
  <c r="H1864" i="7"/>
  <c r="I1864" i="7"/>
  <c r="A1865" i="7"/>
  <c r="B1865" i="7"/>
  <c r="C1865" i="7"/>
  <c r="D1865" i="7"/>
  <c r="E1865" i="7"/>
  <c r="F1865" i="7"/>
  <c r="G1865" i="7"/>
  <c r="H1865" i="7"/>
  <c r="I1865" i="7"/>
  <c r="A1866" i="7"/>
  <c r="B1866" i="7"/>
  <c r="C1866" i="7"/>
  <c r="D1866" i="7"/>
  <c r="E1866" i="7"/>
  <c r="F1866" i="7"/>
  <c r="G1866" i="7"/>
  <c r="H1866" i="7"/>
  <c r="I1866" i="7"/>
  <c r="A1867" i="7"/>
  <c r="B1867" i="7"/>
  <c r="C1867" i="7"/>
  <c r="D1867" i="7"/>
  <c r="E1867" i="7"/>
  <c r="F1867" i="7"/>
  <c r="G1867" i="7"/>
  <c r="H1867" i="7"/>
  <c r="I1867" i="7"/>
  <c r="A1868" i="7"/>
  <c r="B1868" i="7"/>
  <c r="C1868" i="7"/>
  <c r="D1868" i="7"/>
  <c r="E1868" i="7"/>
  <c r="F1868" i="7"/>
  <c r="G1868" i="7"/>
  <c r="H1868" i="7"/>
  <c r="I1868" i="7"/>
  <c r="A1869" i="7"/>
  <c r="B1869" i="7"/>
  <c r="C1869" i="7"/>
  <c r="D1869" i="7"/>
  <c r="E1869" i="7"/>
  <c r="F1869" i="7"/>
  <c r="G1869" i="7"/>
  <c r="H1869" i="7"/>
  <c r="I1869" i="7"/>
  <c r="A1870" i="7"/>
  <c r="B1870" i="7"/>
  <c r="C1870" i="7"/>
  <c r="D1870" i="7"/>
  <c r="E1870" i="7"/>
  <c r="F1870" i="7"/>
  <c r="G1870" i="7"/>
  <c r="H1870" i="7"/>
  <c r="I1870" i="7"/>
  <c r="A1871" i="7"/>
  <c r="B1871" i="7"/>
  <c r="C1871" i="7"/>
  <c r="D1871" i="7"/>
  <c r="E1871" i="7"/>
  <c r="F1871" i="7"/>
  <c r="G1871" i="7"/>
  <c r="H1871" i="7"/>
  <c r="I1871" i="7"/>
  <c r="A1872" i="7"/>
  <c r="B1872" i="7"/>
  <c r="C1872" i="7"/>
  <c r="D1872" i="7"/>
  <c r="E1872" i="7"/>
  <c r="F1872" i="7"/>
  <c r="G1872" i="7"/>
  <c r="H1872" i="7"/>
  <c r="I1872" i="7"/>
  <c r="A1873" i="7"/>
  <c r="B1873" i="7"/>
  <c r="C1873" i="7"/>
  <c r="D1873" i="7"/>
  <c r="E1873" i="7"/>
  <c r="F1873" i="7"/>
  <c r="G1873" i="7"/>
  <c r="H1873" i="7"/>
  <c r="I1873" i="7"/>
  <c r="A1874" i="7"/>
  <c r="B1874" i="7"/>
  <c r="C1874" i="7"/>
  <c r="D1874" i="7"/>
  <c r="E1874" i="7"/>
  <c r="F1874" i="7"/>
  <c r="G1874" i="7"/>
  <c r="H1874" i="7"/>
  <c r="I1874" i="7"/>
  <c r="A1875" i="7"/>
  <c r="B1875" i="7"/>
  <c r="C1875" i="7"/>
  <c r="D1875" i="7"/>
  <c r="E1875" i="7"/>
  <c r="F1875" i="7"/>
  <c r="G1875" i="7"/>
  <c r="H1875" i="7"/>
  <c r="I1875" i="7"/>
  <c r="A1876" i="7"/>
  <c r="B1876" i="7"/>
  <c r="C1876" i="7"/>
  <c r="D1876" i="7"/>
  <c r="E1876" i="7"/>
  <c r="F1876" i="7"/>
  <c r="G1876" i="7"/>
  <c r="H1876" i="7"/>
  <c r="I1876" i="7"/>
  <c r="A1877" i="7"/>
  <c r="B1877" i="7"/>
  <c r="C1877" i="7"/>
  <c r="D1877" i="7"/>
  <c r="E1877" i="7"/>
  <c r="F1877" i="7"/>
  <c r="G1877" i="7"/>
  <c r="H1877" i="7"/>
  <c r="I1877" i="7"/>
  <c r="A1878" i="7"/>
  <c r="B1878" i="7"/>
  <c r="C1878" i="7"/>
  <c r="D1878" i="7"/>
  <c r="E1878" i="7"/>
  <c r="F1878" i="7"/>
  <c r="G1878" i="7"/>
  <c r="H1878" i="7"/>
  <c r="I1878" i="7"/>
  <c r="A1879" i="7"/>
  <c r="B1879" i="7"/>
  <c r="C1879" i="7"/>
  <c r="D1879" i="7"/>
  <c r="E1879" i="7"/>
  <c r="F1879" i="7"/>
  <c r="G1879" i="7"/>
  <c r="H1879" i="7"/>
  <c r="I1879" i="7"/>
  <c r="A1880" i="7"/>
  <c r="B1880" i="7"/>
  <c r="C1880" i="7"/>
  <c r="D1880" i="7"/>
  <c r="E1880" i="7"/>
  <c r="F1880" i="7"/>
  <c r="G1880" i="7"/>
  <c r="H1880" i="7"/>
  <c r="I1880" i="7"/>
  <c r="A1881" i="7"/>
  <c r="B1881" i="7"/>
  <c r="C1881" i="7"/>
  <c r="D1881" i="7"/>
  <c r="E1881" i="7"/>
  <c r="F1881" i="7"/>
  <c r="G1881" i="7"/>
  <c r="H1881" i="7"/>
  <c r="I1881" i="7"/>
  <c r="A1882" i="7"/>
  <c r="B1882" i="7"/>
  <c r="C1882" i="7"/>
  <c r="D1882" i="7"/>
  <c r="E1882" i="7"/>
  <c r="F1882" i="7"/>
  <c r="G1882" i="7"/>
  <c r="H1882" i="7"/>
  <c r="I1882" i="7"/>
  <c r="A1883" i="7"/>
  <c r="B1883" i="7"/>
  <c r="C1883" i="7"/>
  <c r="D1883" i="7"/>
  <c r="E1883" i="7"/>
  <c r="F1883" i="7"/>
  <c r="G1883" i="7"/>
  <c r="H1883" i="7"/>
  <c r="I1883" i="7"/>
  <c r="A1884" i="7"/>
  <c r="B1884" i="7"/>
  <c r="C1884" i="7"/>
  <c r="D1884" i="7"/>
  <c r="E1884" i="7"/>
  <c r="F1884" i="7"/>
  <c r="G1884" i="7"/>
  <c r="H1884" i="7"/>
  <c r="I1884" i="7"/>
  <c r="A1885" i="7"/>
  <c r="B1885" i="7"/>
  <c r="C1885" i="7"/>
  <c r="D1885" i="7"/>
  <c r="E1885" i="7"/>
  <c r="F1885" i="7"/>
  <c r="G1885" i="7"/>
  <c r="H1885" i="7"/>
  <c r="I1885" i="7"/>
  <c r="A1886" i="7"/>
  <c r="B1886" i="7"/>
  <c r="C1886" i="7"/>
  <c r="D1886" i="7"/>
  <c r="E1886" i="7"/>
  <c r="F1886" i="7"/>
  <c r="G1886" i="7"/>
  <c r="H1886" i="7"/>
  <c r="I1886" i="7"/>
  <c r="A1887" i="7"/>
  <c r="B1887" i="7"/>
  <c r="C1887" i="7"/>
  <c r="D1887" i="7"/>
  <c r="E1887" i="7"/>
  <c r="F1887" i="7"/>
  <c r="G1887" i="7"/>
  <c r="H1887" i="7"/>
  <c r="I1887" i="7"/>
  <c r="A1888" i="7"/>
  <c r="B1888" i="7"/>
  <c r="C1888" i="7"/>
  <c r="D1888" i="7"/>
  <c r="E1888" i="7"/>
  <c r="F1888" i="7"/>
  <c r="G1888" i="7"/>
  <c r="H1888" i="7"/>
  <c r="I1888" i="7"/>
  <c r="A1889" i="7"/>
  <c r="B1889" i="7"/>
  <c r="C1889" i="7"/>
  <c r="D1889" i="7"/>
  <c r="E1889" i="7"/>
  <c r="F1889" i="7"/>
  <c r="G1889" i="7"/>
  <c r="H1889" i="7"/>
  <c r="I1889" i="7"/>
  <c r="A1890" i="7"/>
  <c r="B1890" i="7"/>
  <c r="C1890" i="7"/>
  <c r="D1890" i="7"/>
  <c r="E1890" i="7"/>
  <c r="F1890" i="7"/>
  <c r="G1890" i="7"/>
  <c r="H1890" i="7"/>
  <c r="I1890" i="7"/>
  <c r="A1891" i="7"/>
  <c r="B1891" i="7"/>
  <c r="C1891" i="7"/>
  <c r="D1891" i="7"/>
  <c r="E1891" i="7"/>
  <c r="F1891" i="7"/>
  <c r="G1891" i="7"/>
  <c r="H1891" i="7"/>
  <c r="I1891" i="7"/>
  <c r="L2" i="5"/>
  <c r="M2" i="5"/>
  <c r="N2" i="5"/>
  <c r="L3" i="5"/>
  <c r="M3" i="5"/>
  <c r="N3" i="5"/>
  <c r="L4" i="5"/>
  <c r="M4" i="5"/>
  <c r="N4" i="5"/>
  <c r="L5" i="5"/>
  <c r="M5" i="5"/>
  <c r="N5" i="5"/>
  <c r="L6" i="5"/>
  <c r="M6" i="5"/>
  <c r="N6" i="5"/>
  <c r="L7" i="5"/>
  <c r="M7" i="5"/>
  <c r="N7" i="5"/>
  <c r="L8" i="5"/>
  <c r="M8" i="5"/>
  <c r="N8" i="5"/>
  <c r="L9" i="5"/>
  <c r="M9" i="5"/>
  <c r="N9" i="5"/>
  <c r="L10" i="5"/>
  <c r="M10" i="5"/>
  <c r="N10" i="5"/>
  <c r="L11" i="5"/>
  <c r="M11" i="5"/>
  <c r="N11" i="5"/>
  <c r="L12" i="5"/>
  <c r="M12" i="5"/>
  <c r="N12" i="5"/>
  <c r="L13" i="5"/>
  <c r="M13" i="5"/>
  <c r="N13" i="5"/>
  <c r="L14" i="5"/>
  <c r="M14" i="5"/>
  <c r="N14" i="5"/>
  <c r="L15" i="5"/>
  <c r="M15" i="5"/>
  <c r="N15" i="5"/>
  <c r="L16" i="5"/>
  <c r="M16" i="5"/>
  <c r="N16" i="5"/>
  <c r="L17" i="5"/>
  <c r="M17" i="5"/>
  <c r="N17" i="5"/>
  <c r="L18" i="5"/>
  <c r="M18" i="5"/>
  <c r="N18" i="5"/>
  <c r="L19" i="5"/>
  <c r="M19" i="5"/>
  <c r="N19" i="5"/>
  <c r="L20" i="5"/>
  <c r="M20" i="5"/>
  <c r="N20" i="5"/>
  <c r="L21" i="5"/>
  <c r="M21" i="5"/>
  <c r="N21" i="5"/>
  <c r="L22" i="5"/>
  <c r="M22" i="5"/>
  <c r="N22" i="5"/>
  <c r="L23" i="5"/>
  <c r="M23" i="5"/>
  <c r="N23" i="5"/>
  <c r="L24" i="5"/>
  <c r="M24" i="5"/>
  <c r="N24" i="5"/>
  <c r="L25" i="5"/>
  <c r="M25" i="5"/>
  <c r="N25" i="5"/>
  <c r="L26" i="5"/>
  <c r="M26" i="5"/>
  <c r="N26" i="5"/>
  <c r="L27" i="5"/>
  <c r="M27" i="5"/>
  <c r="N27" i="5"/>
  <c r="L28" i="5"/>
  <c r="M28" i="5"/>
  <c r="N28" i="5"/>
  <c r="L29" i="5"/>
  <c r="M29" i="5"/>
  <c r="N29" i="5"/>
  <c r="L30" i="5"/>
  <c r="M30" i="5"/>
  <c r="N30" i="5"/>
  <c r="L31" i="5"/>
  <c r="M31" i="5"/>
  <c r="N31" i="5"/>
  <c r="L32" i="5"/>
  <c r="M32" i="5"/>
  <c r="N32" i="5"/>
  <c r="L33" i="5"/>
  <c r="M33" i="5"/>
  <c r="N33" i="5"/>
  <c r="L34" i="5"/>
  <c r="M34" i="5"/>
  <c r="N34" i="5"/>
  <c r="L35" i="5"/>
  <c r="M35" i="5"/>
  <c r="N35" i="5"/>
  <c r="L36" i="5"/>
  <c r="M36" i="5"/>
  <c r="N36" i="5"/>
  <c r="L37" i="5"/>
  <c r="M37" i="5"/>
  <c r="N37" i="5"/>
  <c r="L38" i="5"/>
  <c r="M38" i="5"/>
  <c r="N38" i="5"/>
  <c r="L39" i="5"/>
  <c r="M39" i="5"/>
  <c r="N39" i="5"/>
  <c r="L40" i="5"/>
  <c r="M40" i="5"/>
  <c r="N40" i="5"/>
  <c r="L41" i="5"/>
  <c r="M41" i="5"/>
  <c r="N41" i="5"/>
  <c r="L42" i="5"/>
  <c r="M42" i="5"/>
  <c r="N42" i="5"/>
  <c r="L43" i="5"/>
  <c r="M43" i="5"/>
  <c r="N43" i="5"/>
  <c r="L44" i="5"/>
  <c r="M44" i="5"/>
  <c r="N44" i="5"/>
  <c r="L45" i="5"/>
  <c r="M45" i="5"/>
  <c r="N45" i="5"/>
  <c r="L46" i="5"/>
  <c r="M46" i="5"/>
  <c r="N46" i="5"/>
  <c r="L47" i="5"/>
  <c r="M47" i="5"/>
  <c r="N47" i="5"/>
  <c r="L48" i="5"/>
  <c r="M48" i="5"/>
  <c r="N48" i="5"/>
  <c r="L49" i="5"/>
  <c r="M49" i="5"/>
  <c r="N49" i="5"/>
  <c r="L50" i="5"/>
  <c r="M50" i="5"/>
  <c r="N50" i="5"/>
  <c r="L51" i="5"/>
  <c r="M51" i="5"/>
  <c r="N51" i="5"/>
  <c r="L52" i="5"/>
  <c r="M52" i="5"/>
  <c r="N52" i="5"/>
  <c r="L53" i="5"/>
  <c r="M53" i="5"/>
  <c r="N53" i="5"/>
  <c r="L54" i="5"/>
  <c r="M54" i="5"/>
  <c r="N54" i="5"/>
  <c r="L55" i="5"/>
  <c r="M55" i="5"/>
  <c r="N55" i="5"/>
  <c r="L56" i="5"/>
  <c r="M56" i="5"/>
  <c r="N56" i="5"/>
  <c r="L57" i="5"/>
  <c r="M57" i="5"/>
  <c r="N57" i="5"/>
  <c r="L58" i="5"/>
  <c r="M58" i="5"/>
  <c r="N58" i="5"/>
  <c r="L59" i="5"/>
  <c r="M59" i="5"/>
  <c r="N59" i="5"/>
  <c r="L60" i="5"/>
  <c r="M60" i="5"/>
  <c r="N60" i="5"/>
  <c r="L61" i="5"/>
  <c r="M61" i="5"/>
  <c r="N61" i="5"/>
  <c r="L62" i="5"/>
  <c r="M62" i="5"/>
  <c r="N62" i="5"/>
  <c r="L63" i="5"/>
  <c r="M63" i="5"/>
  <c r="N63" i="5"/>
  <c r="L64" i="5"/>
  <c r="M64" i="5"/>
  <c r="N64" i="5"/>
  <c r="L65" i="5"/>
  <c r="M65" i="5"/>
  <c r="N65" i="5"/>
  <c r="L66" i="5"/>
  <c r="M66" i="5"/>
  <c r="N66" i="5"/>
  <c r="L67" i="5"/>
  <c r="M67" i="5"/>
  <c r="N67" i="5"/>
  <c r="L68" i="5"/>
  <c r="M68" i="5"/>
  <c r="N68" i="5"/>
  <c r="L69" i="5"/>
  <c r="M69" i="5"/>
  <c r="N69" i="5"/>
  <c r="L70" i="5"/>
  <c r="M70" i="5"/>
  <c r="N70" i="5"/>
  <c r="L71" i="5"/>
  <c r="M71" i="5"/>
  <c r="N71" i="5"/>
  <c r="L72" i="5"/>
  <c r="M72" i="5"/>
  <c r="N72" i="5"/>
  <c r="L73" i="5"/>
  <c r="M73" i="5"/>
  <c r="N73" i="5"/>
  <c r="L74" i="5"/>
  <c r="M74" i="5"/>
  <c r="N74" i="5"/>
  <c r="L75" i="5"/>
  <c r="M75" i="5"/>
  <c r="N75" i="5"/>
  <c r="L76" i="5"/>
  <c r="M76" i="5"/>
  <c r="N76" i="5"/>
  <c r="L77" i="5"/>
  <c r="M77" i="5"/>
  <c r="N77" i="5"/>
  <c r="L78" i="5"/>
  <c r="M78" i="5"/>
  <c r="N78" i="5"/>
  <c r="L79" i="5"/>
  <c r="M79" i="5"/>
  <c r="N79" i="5"/>
  <c r="L80" i="5"/>
  <c r="M80" i="5"/>
  <c r="N80" i="5"/>
  <c r="L81" i="5"/>
  <c r="M81" i="5"/>
  <c r="N81" i="5"/>
  <c r="L82" i="5"/>
  <c r="M82" i="5"/>
  <c r="N82" i="5"/>
  <c r="L83" i="5"/>
  <c r="M83" i="5"/>
  <c r="N83" i="5"/>
  <c r="L84" i="5"/>
  <c r="M84" i="5"/>
  <c r="N84" i="5"/>
  <c r="L85" i="5"/>
  <c r="M85" i="5"/>
  <c r="N85" i="5"/>
  <c r="L86" i="5"/>
  <c r="M86" i="5"/>
  <c r="N86" i="5"/>
  <c r="L87" i="5"/>
  <c r="M87" i="5"/>
  <c r="N87" i="5"/>
  <c r="L88" i="5"/>
  <c r="M88" i="5"/>
  <c r="N88" i="5"/>
  <c r="L89" i="5"/>
  <c r="M89" i="5"/>
  <c r="N89" i="5"/>
  <c r="L90" i="5"/>
  <c r="M90" i="5"/>
  <c r="N90" i="5"/>
  <c r="L91" i="5"/>
  <c r="M91" i="5"/>
  <c r="N91" i="5"/>
  <c r="L92" i="5"/>
  <c r="M92" i="5"/>
  <c r="N92" i="5"/>
  <c r="L93" i="5"/>
  <c r="M93" i="5"/>
  <c r="N93" i="5"/>
  <c r="L94" i="5"/>
  <c r="M94" i="5"/>
  <c r="N94" i="5"/>
  <c r="L95" i="5"/>
  <c r="M95" i="5"/>
  <c r="N95" i="5"/>
  <c r="L96" i="5"/>
  <c r="M96" i="5"/>
  <c r="N96" i="5"/>
  <c r="L97" i="5"/>
  <c r="M97" i="5"/>
  <c r="N97" i="5"/>
  <c r="L98" i="5"/>
  <c r="M98" i="5"/>
  <c r="N98" i="5"/>
  <c r="L99" i="5"/>
  <c r="M99" i="5"/>
  <c r="N99" i="5"/>
  <c r="L100" i="5"/>
  <c r="M100" i="5"/>
  <c r="N100" i="5"/>
  <c r="L101" i="5"/>
  <c r="M101" i="5"/>
  <c r="N101" i="5"/>
  <c r="L102" i="5"/>
  <c r="M102" i="5"/>
  <c r="N102" i="5"/>
  <c r="L103" i="5"/>
  <c r="M103" i="5"/>
  <c r="N103" i="5"/>
  <c r="L104" i="5"/>
  <c r="M104" i="5"/>
  <c r="N104" i="5"/>
  <c r="L105" i="5"/>
  <c r="M105" i="5"/>
  <c r="N105" i="5"/>
  <c r="L106" i="5"/>
  <c r="M106" i="5"/>
  <c r="N106" i="5"/>
  <c r="L107" i="5"/>
  <c r="M107" i="5"/>
  <c r="N107" i="5"/>
  <c r="L108" i="5"/>
  <c r="M108" i="5"/>
  <c r="N108" i="5"/>
  <c r="L109" i="5"/>
  <c r="M109" i="5"/>
  <c r="N109" i="5"/>
  <c r="L110" i="5"/>
  <c r="M110" i="5"/>
  <c r="N110" i="5"/>
  <c r="L111" i="5"/>
  <c r="M111" i="5"/>
  <c r="N111" i="5"/>
  <c r="L112" i="5"/>
  <c r="M112" i="5"/>
  <c r="N112" i="5"/>
  <c r="L113" i="5"/>
  <c r="M113" i="5"/>
  <c r="N113" i="5"/>
  <c r="L114" i="5"/>
  <c r="M114" i="5"/>
  <c r="N114" i="5"/>
  <c r="L115" i="5"/>
  <c r="M115" i="5"/>
  <c r="N115" i="5"/>
  <c r="L116" i="5"/>
  <c r="M116" i="5"/>
  <c r="N116" i="5"/>
  <c r="L117" i="5"/>
  <c r="M117" i="5"/>
  <c r="N117" i="5"/>
  <c r="L118" i="5"/>
  <c r="M118" i="5"/>
  <c r="N118" i="5"/>
  <c r="L119" i="5"/>
  <c r="M119" i="5"/>
  <c r="N119" i="5"/>
  <c r="L120" i="5"/>
  <c r="M120" i="5"/>
  <c r="N120" i="5"/>
  <c r="L121" i="5"/>
  <c r="M121" i="5"/>
  <c r="N121" i="5"/>
  <c r="L122" i="5"/>
  <c r="M122" i="5"/>
  <c r="N122" i="5"/>
  <c r="L123" i="5"/>
  <c r="M123" i="5"/>
  <c r="N123" i="5"/>
  <c r="L124" i="5"/>
  <c r="M124" i="5"/>
  <c r="N124" i="5"/>
  <c r="L125" i="5"/>
  <c r="M125" i="5"/>
  <c r="N125" i="5"/>
  <c r="L126" i="5"/>
  <c r="M126" i="5"/>
  <c r="N126" i="5"/>
  <c r="L127" i="5"/>
  <c r="M127" i="5"/>
  <c r="N127" i="5"/>
  <c r="L128" i="5"/>
  <c r="M128" i="5"/>
  <c r="N128" i="5"/>
  <c r="L129" i="5"/>
  <c r="M129" i="5"/>
  <c r="N129" i="5"/>
  <c r="L130" i="5"/>
  <c r="M130" i="5"/>
  <c r="N130" i="5"/>
  <c r="L131" i="5"/>
  <c r="M131" i="5"/>
  <c r="N131" i="5"/>
  <c r="L132" i="5"/>
  <c r="M132" i="5"/>
  <c r="N132" i="5"/>
  <c r="L133" i="5"/>
  <c r="M133" i="5"/>
  <c r="N133" i="5"/>
  <c r="L134" i="5"/>
  <c r="M134" i="5"/>
  <c r="N134" i="5"/>
  <c r="L135" i="5"/>
  <c r="M135" i="5"/>
  <c r="N135" i="5"/>
  <c r="L136" i="5"/>
  <c r="M136" i="5"/>
  <c r="N136" i="5"/>
  <c r="L137" i="5"/>
  <c r="M137" i="5"/>
  <c r="N137" i="5"/>
  <c r="L138" i="5"/>
  <c r="M138" i="5"/>
  <c r="N138" i="5"/>
  <c r="L139" i="5"/>
  <c r="M139" i="5"/>
  <c r="N139" i="5"/>
  <c r="L140" i="5"/>
  <c r="M140" i="5"/>
  <c r="N140" i="5"/>
  <c r="L141" i="5"/>
  <c r="M141" i="5"/>
  <c r="N141" i="5"/>
  <c r="L142" i="5"/>
  <c r="M142" i="5"/>
  <c r="N142" i="5"/>
  <c r="L143" i="5"/>
  <c r="M143" i="5"/>
  <c r="N143" i="5"/>
  <c r="L144" i="5"/>
  <c r="M144" i="5"/>
  <c r="N144" i="5"/>
  <c r="L145" i="5"/>
  <c r="M145" i="5"/>
  <c r="N145" i="5"/>
  <c r="L146" i="5"/>
  <c r="M146" i="5"/>
  <c r="N146" i="5"/>
  <c r="L147" i="5"/>
  <c r="M147" i="5"/>
  <c r="N147" i="5"/>
  <c r="L148" i="5"/>
  <c r="M148" i="5"/>
  <c r="N148" i="5"/>
  <c r="L149" i="5"/>
  <c r="M149" i="5"/>
  <c r="N149" i="5"/>
  <c r="L150" i="5"/>
  <c r="M150" i="5"/>
  <c r="N150" i="5"/>
  <c r="L151" i="5"/>
  <c r="M151" i="5"/>
  <c r="N151" i="5"/>
  <c r="L152" i="5"/>
  <c r="M152" i="5"/>
  <c r="N152" i="5"/>
  <c r="L153" i="5"/>
  <c r="M153" i="5"/>
  <c r="N153" i="5"/>
  <c r="L154" i="5"/>
  <c r="M154" i="5"/>
  <c r="N154" i="5"/>
  <c r="L155" i="5"/>
  <c r="M155" i="5"/>
  <c r="N155" i="5"/>
  <c r="L156" i="5"/>
  <c r="M156" i="5"/>
  <c r="N156" i="5"/>
  <c r="L157" i="5"/>
  <c r="M157" i="5"/>
  <c r="N157" i="5"/>
  <c r="L158" i="5"/>
  <c r="M158" i="5"/>
  <c r="N158" i="5"/>
  <c r="L159" i="5"/>
  <c r="M159" i="5"/>
  <c r="N159" i="5"/>
  <c r="L160" i="5"/>
  <c r="M160" i="5"/>
  <c r="N160" i="5"/>
  <c r="L161" i="5"/>
  <c r="M161" i="5"/>
  <c r="N161" i="5"/>
  <c r="L162" i="5"/>
  <c r="M162" i="5"/>
  <c r="N162" i="5"/>
  <c r="L163" i="5"/>
  <c r="M163" i="5"/>
  <c r="N163" i="5"/>
  <c r="L164" i="5"/>
  <c r="M164" i="5"/>
  <c r="N164" i="5"/>
  <c r="L165" i="5"/>
  <c r="M165" i="5"/>
  <c r="N165" i="5"/>
  <c r="L166" i="5"/>
  <c r="M166" i="5"/>
  <c r="N166" i="5"/>
  <c r="L167" i="5"/>
  <c r="M167" i="5"/>
  <c r="N167" i="5"/>
  <c r="L168" i="5"/>
  <c r="M168" i="5"/>
  <c r="N168" i="5"/>
  <c r="L169" i="5"/>
  <c r="M169" i="5"/>
  <c r="N169" i="5"/>
  <c r="L170" i="5"/>
  <c r="M170" i="5"/>
  <c r="N170" i="5"/>
  <c r="L171" i="5"/>
  <c r="M171" i="5"/>
  <c r="N171" i="5"/>
  <c r="L172" i="5"/>
  <c r="M172" i="5"/>
  <c r="N172" i="5"/>
  <c r="L173" i="5"/>
  <c r="M173" i="5"/>
  <c r="N173" i="5"/>
  <c r="L174" i="5"/>
  <c r="M174" i="5"/>
  <c r="N174" i="5"/>
  <c r="L175" i="5"/>
  <c r="M175" i="5"/>
  <c r="N175" i="5"/>
  <c r="L176" i="5"/>
  <c r="M176" i="5"/>
  <c r="N176" i="5"/>
  <c r="L177" i="5"/>
  <c r="M177" i="5"/>
  <c r="N177" i="5"/>
  <c r="L178" i="5"/>
  <c r="M178" i="5"/>
  <c r="N178" i="5"/>
  <c r="L179" i="5"/>
  <c r="M179" i="5"/>
  <c r="N179" i="5"/>
  <c r="L180" i="5"/>
  <c r="M180" i="5"/>
  <c r="N180" i="5"/>
  <c r="L181" i="5"/>
  <c r="M181" i="5"/>
  <c r="N181" i="5"/>
  <c r="L182" i="5"/>
  <c r="M182" i="5"/>
  <c r="N182" i="5"/>
  <c r="L183" i="5"/>
  <c r="M183" i="5"/>
  <c r="N183" i="5"/>
  <c r="L184" i="5"/>
  <c r="M184" i="5"/>
  <c r="N184" i="5"/>
  <c r="L185" i="5"/>
  <c r="M185" i="5"/>
  <c r="N185" i="5"/>
  <c r="L186" i="5"/>
  <c r="M186" i="5"/>
  <c r="N186" i="5"/>
  <c r="L187" i="5"/>
  <c r="M187" i="5"/>
  <c r="N187" i="5"/>
  <c r="L188" i="5"/>
  <c r="M188" i="5"/>
  <c r="N188" i="5"/>
  <c r="L189" i="5"/>
  <c r="M189" i="5"/>
  <c r="N189" i="5"/>
  <c r="L190" i="5"/>
  <c r="M190" i="5"/>
  <c r="N190" i="5"/>
  <c r="L191" i="5"/>
  <c r="M191" i="5"/>
  <c r="N191" i="5"/>
  <c r="L192" i="5"/>
  <c r="M192" i="5"/>
  <c r="N192" i="5"/>
  <c r="L193" i="5"/>
  <c r="M193" i="5"/>
  <c r="N193" i="5"/>
  <c r="L194" i="5"/>
  <c r="M194" i="5"/>
  <c r="N194" i="5"/>
  <c r="L195" i="5"/>
  <c r="M195" i="5"/>
  <c r="N195" i="5"/>
  <c r="L196" i="5"/>
  <c r="M196" i="5"/>
  <c r="N196" i="5"/>
  <c r="L197" i="5"/>
  <c r="M197" i="5"/>
  <c r="N197" i="5"/>
  <c r="L198" i="5"/>
  <c r="M198" i="5"/>
  <c r="N198" i="5"/>
  <c r="L199" i="5"/>
  <c r="M199" i="5"/>
  <c r="N199" i="5"/>
  <c r="L200" i="5"/>
  <c r="M200" i="5"/>
  <c r="N200" i="5"/>
  <c r="L201" i="5"/>
  <c r="M201" i="5"/>
  <c r="N201" i="5"/>
  <c r="L202" i="5"/>
  <c r="M202" i="5"/>
  <c r="N202" i="5"/>
  <c r="L203" i="5"/>
  <c r="M203" i="5"/>
  <c r="N203" i="5"/>
  <c r="L204" i="5"/>
  <c r="M204" i="5"/>
  <c r="N204" i="5"/>
  <c r="L205" i="5"/>
  <c r="M205" i="5"/>
  <c r="N205" i="5"/>
  <c r="L206" i="5"/>
  <c r="M206" i="5"/>
  <c r="N206" i="5"/>
  <c r="L207" i="5"/>
  <c r="M207" i="5"/>
  <c r="N207" i="5"/>
  <c r="L208" i="5"/>
  <c r="M208" i="5"/>
  <c r="N208" i="5"/>
  <c r="L209" i="5"/>
  <c r="M209" i="5"/>
  <c r="N209" i="5"/>
  <c r="L210" i="5"/>
  <c r="M210" i="5"/>
  <c r="N210" i="5"/>
  <c r="L211" i="5"/>
  <c r="M211" i="5"/>
  <c r="N211" i="5"/>
  <c r="L212" i="5"/>
  <c r="M212" i="5"/>
  <c r="N212" i="5"/>
  <c r="L213" i="5"/>
  <c r="M213" i="5"/>
  <c r="N213" i="5"/>
  <c r="L214" i="5"/>
  <c r="M214" i="5"/>
  <c r="N214" i="5"/>
  <c r="L215" i="5"/>
  <c r="M215" i="5"/>
  <c r="N215" i="5"/>
  <c r="L216" i="5"/>
  <c r="M216" i="5"/>
  <c r="N216" i="5"/>
  <c r="L217" i="5"/>
  <c r="M217" i="5"/>
  <c r="N217" i="5"/>
  <c r="L218" i="5"/>
  <c r="M218" i="5"/>
  <c r="N218" i="5"/>
  <c r="L219" i="5"/>
  <c r="M219" i="5"/>
  <c r="N219" i="5"/>
  <c r="L220" i="5"/>
  <c r="M220" i="5"/>
  <c r="N220" i="5"/>
  <c r="L221" i="5"/>
  <c r="M221" i="5"/>
  <c r="N221" i="5"/>
  <c r="L222" i="5"/>
  <c r="M222" i="5"/>
  <c r="N222" i="5"/>
  <c r="L223" i="5"/>
  <c r="M223" i="5"/>
  <c r="N223" i="5"/>
  <c r="L224" i="5"/>
  <c r="M224" i="5"/>
  <c r="N224" i="5"/>
  <c r="L225" i="5"/>
  <c r="M225" i="5"/>
  <c r="N225" i="5"/>
  <c r="L226" i="5"/>
  <c r="M226" i="5"/>
  <c r="N226" i="5"/>
  <c r="L227" i="5"/>
  <c r="M227" i="5"/>
  <c r="N227" i="5"/>
  <c r="L228" i="5"/>
  <c r="M228" i="5"/>
  <c r="N228" i="5"/>
  <c r="L229" i="5"/>
  <c r="M229" i="5"/>
  <c r="N229" i="5"/>
  <c r="L230" i="5"/>
  <c r="M230" i="5"/>
  <c r="N230" i="5"/>
  <c r="L231" i="5"/>
  <c r="M231" i="5"/>
  <c r="N231" i="5"/>
  <c r="L232" i="5"/>
  <c r="M232" i="5"/>
  <c r="N232" i="5"/>
  <c r="L233" i="5"/>
  <c r="M233" i="5"/>
  <c r="N233" i="5"/>
  <c r="L234" i="5"/>
  <c r="M234" i="5"/>
  <c r="N234" i="5"/>
  <c r="L235" i="5"/>
  <c r="M235" i="5"/>
  <c r="N235" i="5"/>
  <c r="L236" i="5"/>
  <c r="M236" i="5"/>
  <c r="N236" i="5"/>
  <c r="L237" i="5"/>
  <c r="M237" i="5"/>
  <c r="N237" i="5"/>
  <c r="L238" i="5"/>
  <c r="M238" i="5"/>
  <c r="N238" i="5"/>
  <c r="L239" i="5"/>
  <c r="M239" i="5"/>
  <c r="N239" i="5"/>
  <c r="L240" i="5"/>
  <c r="M240" i="5"/>
  <c r="N240" i="5"/>
  <c r="L241" i="5"/>
  <c r="M241" i="5"/>
  <c r="N241" i="5"/>
  <c r="L242" i="5"/>
  <c r="M242" i="5"/>
  <c r="N242" i="5"/>
  <c r="L243" i="5"/>
  <c r="M243" i="5"/>
  <c r="N243" i="5"/>
  <c r="L244" i="5"/>
  <c r="M244" i="5"/>
  <c r="N244" i="5"/>
  <c r="L245" i="5"/>
  <c r="M245" i="5"/>
  <c r="N245" i="5"/>
  <c r="L246" i="5"/>
  <c r="M246" i="5"/>
  <c r="N246" i="5"/>
  <c r="L247" i="5"/>
  <c r="M247" i="5"/>
  <c r="N247" i="5"/>
  <c r="L248" i="5"/>
  <c r="M248" i="5"/>
  <c r="N248" i="5"/>
  <c r="L249" i="5"/>
  <c r="M249" i="5"/>
  <c r="N249" i="5"/>
  <c r="L250" i="5"/>
  <c r="M250" i="5"/>
  <c r="N250" i="5"/>
  <c r="L251" i="5"/>
  <c r="M251" i="5"/>
  <c r="N251" i="5"/>
  <c r="L252" i="5"/>
  <c r="M252" i="5"/>
  <c r="N252" i="5"/>
  <c r="L253" i="5"/>
  <c r="M253" i="5"/>
  <c r="N253" i="5"/>
  <c r="L254" i="5"/>
  <c r="M254" i="5"/>
  <c r="N254" i="5"/>
  <c r="L255" i="5"/>
  <c r="M255" i="5"/>
  <c r="N255" i="5"/>
  <c r="L256" i="5"/>
  <c r="M256" i="5"/>
  <c r="N256" i="5"/>
  <c r="L257" i="5"/>
  <c r="M257" i="5"/>
  <c r="N257" i="5"/>
  <c r="L258" i="5"/>
  <c r="M258" i="5"/>
  <c r="N258" i="5"/>
  <c r="L259" i="5"/>
  <c r="M259" i="5"/>
  <c r="N259" i="5"/>
  <c r="L260" i="5"/>
  <c r="M260" i="5"/>
  <c r="N260" i="5"/>
  <c r="L261" i="5"/>
  <c r="M261" i="5"/>
  <c r="N261" i="5"/>
  <c r="L262" i="5"/>
  <c r="M262" i="5"/>
  <c r="N262" i="5"/>
  <c r="L263" i="5"/>
  <c r="M263" i="5"/>
  <c r="N263" i="5"/>
  <c r="L264" i="5"/>
  <c r="M264" i="5"/>
  <c r="N264" i="5"/>
  <c r="L265" i="5"/>
  <c r="M265" i="5"/>
  <c r="N265" i="5"/>
  <c r="L266" i="5"/>
  <c r="M266" i="5"/>
  <c r="N266" i="5"/>
  <c r="L267" i="5"/>
  <c r="M267" i="5"/>
  <c r="N267" i="5"/>
  <c r="L268" i="5"/>
  <c r="M268" i="5"/>
  <c r="N268" i="5"/>
  <c r="L269" i="5"/>
  <c r="M269" i="5"/>
  <c r="N269" i="5"/>
  <c r="L270" i="5"/>
  <c r="M270" i="5"/>
  <c r="N270" i="5"/>
  <c r="L271" i="5"/>
  <c r="M271" i="5"/>
  <c r="N271" i="5"/>
  <c r="L272" i="5"/>
  <c r="M272" i="5"/>
  <c r="N272" i="5"/>
  <c r="L273" i="5"/>
  <c r="M273" i="5"/>
  <c r="N273" i="5"/>
  <c r="L274" i="5"/>
  <c r="M274" i="5"/>
  <c r="N274" i="5"/>
  <c r="L275" i="5"/>
  <c r="M275" i="5"/>
  <c r="N275" i="5"/>
  <c r="L276" i="5"/>
  <c r="M276" i="5"/>
  <c r="N276" i="5"/>
  <c r="L277" i="5"/>
  <c r="M277" i="5"/>
  <c r="N277" i="5"/>
  <c r="L278" i="5"/>
  <c r="M278" i="5"/>
  <c r="N278" i="5"/>
  <c r="L279" i="5"/>
  <c r="M279" i="5"/>
  <c r="N279" i="5"/>
  <c r="L280" i="5"/>
  <c r="M280" i="5"/>
  <c r="N280" i="5"/>
  <c r="L281" i="5"/>
  <c r="M281" i="5"/>
  <c r="N281" i="5"/>
  <c r="L282" i="5"/>
  <c r="M282" i="5"/>
  <c r="N282" i="5"/>
  <c r="L283" i="5"/>
  <c r="M283" i="5"/>
  <c r="N283" i="5"/>
  <c r="L284" i="5"/>
  <c r="M284" i="5"/>
  <c r="N284" i="5"/>
  <c r="L285" i="5"/>
  <c r="M285" i="5"/>
  <c r="N285" i="5"/>
  <c r="L286" i="5"/>
  <c r="M286" i="5"/>
  <c r="N286" i="5"/>
  <c r="L287" i="5"/>
  <c r="M287" i="5"/>
  <c r="N287" i="5"/>
  <c r="L288" i="5"/>
  <c r="M288" i="5"/>
  <c r="N288" i="5"/>
  <c r="L289" i="5"/>
  <c r="M289" i="5"/>
  <c r="N289" i="5"/>
  <c r="L290" i="5"/>
  <c r="M290" i="5"/>
  <c r="N290" i="5"/>
  <c r="L291" i="5"/>
  <c r="M291" i="5"/>
  <c r="N291" i="5"/>
  <c r="L292" i="5"/>
  <c r="M292" i="5"/>
  <c r="N292" i="5"/>
  <c r="L293" i="5"/>
  <c r="M293" i="5"/>
  <c r="N293" i="5"/>
  <c r="L294" i="5"/>
  <c r="M294" i="5"/>
  <c r="N294" i="5"/>
  <c r="L295" i="5"/>
  <c r="M295" i="5"/>
  <c r="N295" i="5"/>
  <c r="L296" i="5"/>
  <c r="M296" i="5"/>
  <c r="N296" i="5"/>
  <c r="L297" i="5"/>
  <c r="M297" i="5"/>
  <c r="N297" i="5"/>
  <c r="L298" i="5"/>
  <c r="M298" i="5"/>
  <c r="N298" i="5"/>
  <c r="L299" i="5"/>
  <c r="M299" i="5"/>
  <c r="N299" i="5"/>
  <c r="L300" i="5"/>
  <c r="M300" i="5"/>
  <c r="N300" i="5"/>
  <c r="L301" i="5"/>
  <c r="M301" i="5"/>
  <c r="N301" i="5"/>
  <c r="L302" i="5"/>
  <c r="M302" i="5"/>
  <c r="N302" i="5"/>
  <c r="L303" i="5"/>
  <c r="M303" i="5"/>
  <c r="N303" i="5"/>
  <c r="L304" i="5"/>
  <c r="M304" i="5"/>
  <c r="N304" i="5"/>
  <c r="L305" i="5"/>
  <c r="M305" i="5"/>
  <c r="N305" i="5"/>
  <c r="L306" i="5"/>
  <c r="M306" i="5"/>
  <c r="N306" i="5"/>
  <c r="L307" i="5"/>
  <c r="M307" i="5"/>
  <c r="N307" i="5"/>
  <c r="L308" i="5"/>
  <c r="M308" i="5"/>
  <c r="N308" i="5"/>
  <c r="L309" i="5"/>
  <c r="M309" i="5"/>
  <c r="N309" i="5"/>
  <c r="L310" i="5"/>
  <c r="M310" i="5"/>
  <c r="N310" i="5"/>
  <c r="L311" i="5"/>
  <c r="M311" i="5"/>
  <c r="N311" i="5"/>
  <c r="L312" i="5"/>
  <c r="M312" i="5"/>
  <c r="N312" i="5"/>
  <c r="L313" i="5"/>
  <c r="M313" i="5"/>
  <c r="N313" i="5"/>
  <c r="L314" i="5"/>
  <c r="M314" i="5"/>
  <c r="N314" i="5"/>
  <c r="L315" i="5"/>
  <c r="M315" i="5"/>
  <c r="N315" i="5"/>
  <c r="L316" i="5"/>
  <c r="M316" i="5"/>
  <c r="N316" i="5"/>
  <c r="L317" i="5"/>
  <c r="M317" i="5"/>
  <c r="N317" i="5"/>
  <c r="L318" i="5"/>
  <c r="M318" i="5"/>
  <c r="N318" i="5"/>
  <c r="L319" i="5"/>
  <c r="M319" i="5"/>
  <c r="N319" i="5"/>
  <c r="L320" i="5"/>
  <c r="M320" i="5"/>
  <c r="N320" i="5"/>
  <c r="L321" i="5"/>
  <c r="M321" i="5"/>
  <c r="N321" i="5"/>
  <c r="L322" i="5"/>
  <c r="M322" i="5"/>
  <c r="N322" i="5"/>
  <c r="L323" i="5"/>
  <c r="M323" i="5"/>
  <c r="N323" i="5"/>
  <c r="L324" i="5"/>
  <c r="M324" i="5"/>
  <c r="N324" i="5"/>
  <c r="L325" i="5"/>
  <c r="M325" i="5"/>
  <c r="N325" i="5"/>
</calcChain>
</file>

<file path=xl/sharedStrings.xml><?xml version="1.0" encoding="utf-8"?>
<sst xmlns="http://schemas.openxmlformats.org/spreadsheetml/2006/main" count="22773" uniqueCount="1033">
  <si>
    <t>No.</t>
  </si>
  <si>
    <t>Customer No.</t>
  </si>
  <si>
    <t>Customer Name</t>
  </si>
  <si>
    <t>Posting Date</t>
  </si>
  <si>
    <t>Order No.</t>
  </si>
  <si>
    <t>Amount</t>
  </si>
  <si>
    <t>Location Code</t>
  </si>
  <si>
    <t>No. Printed</t>
  </si>
  <si>
    <t>Delivery Date</t>
  </si>
  <si>
    <t>Requested Delivery Date</t>
  </si>
  <si>
    <t>Shipping Agent Code</t>
  </si>
  <si>
    <t>Closed</t>
  </si>
  <si>
    <t>Canceled</t>
  </si>
  <si>
    <t>Corrective</t>
  </si>
  <si>
    <t>PS-INV229528</t>
  </si>
  <si>
    <t>13257</t>
  </si>
  <si>
    <t>PFG Springfield MA</t>
  </si>
  <si>
    <t>S-ORD229528</t>
  </si>
  <si>
    <t>NR-BRHL-FG</t>
  </si>
  <si>
    <t>RT 21</t>
  </si>
  <si>
    <t>PS-INV228483</t>
  </si>
  <si>
    <t>10540-03</t>
  </si>
  <si>
    <t>PFG Louisville TN</t>
  </si>
  <si>
    <t>S-ORD228483</t>
  </si>
  <si>
    <t>PS-INV227629</t>
  </si>
  <si>
    <t>10719-4</t>
  </si>
  <si>
    <t>US Foods - Columbia/Lexington</t>
  </si>
  <si>
    <t>S-ORD227629</t>
  </si>
  <si>
    <t>PS-INV227718</t>
  </si>
  <si>
    <t>20334</t>
  </si>
  <si>
    <t>Sysco Atlanta</t>
  </si>
  <si>
    <t>S-ORD227718</t>
  </si>
  <si>
    <t>PS-INV227566</t>
  </si>
  <si>
    <t>10511</t>
  </si>
  <si>
    <t>Sysco Nashville, LLC</t>
  </si>
  <si>
    <t>S-ORD227566</t>
  </si>
  <si>
    <t>PS-INV225932</t>
  </si>
  <si>
    <t>10719-13</t>
  </si>
  <si>
    <t>US Foods - Montgomery</t>
  </si>
  <si>
    <t>S-ORD225932</t>
  </si>
  <si>
    <t>PS-INV227180</t>
  </si>
  <si>
    <t>10899</t>
  </si>
  <si>
    <t>Wood Fruitticher Grocery Co.</t>
  </si>
  <si>
    <t>S-ORD227180</t>
  </si>
  <si>
    <t>PS-INV226973</t>
  </si>
  <si>
    <t>12438</t>
  </si>
  <si>
    <t>SGC Foodservice</t>
  </si>
  <si>
    <t>S-ORD226973</t>
  </si>
  <si>
    <t>PS-INV225785</t>
  </si>
  <si>
    <t>10549</t>
  </si>
  <si>
    <t>PFG Nashville TN</t>
  </si>
  <si>
    <t>S-ORD225785</t>
  </si>
  <si>
    <t>PS-INV226637</t>
  </si>
  <si>
    <t>S-ORD226637</t>
  </si>
  <si>
    <t>PS-INV226049</t>
  </si>
  <si>
    <t>11005</t>
  </si>
  <si>
    <t>Dot Foods Inc.</t>
  </si>
  <si>
    <t>S-ORD226049</t>
  </si>
  <si>
    <t>PS-INV225952</t>
  </si>
  <si>
    <t>10700</t>
  </si>
  <si>
    <t>Gordon Food Service - Douglas</t>
  </si>
  <si>
    <t>S-ORD225952</t>
  </si>
  <si>
    <t>PS-INV225892</t>
  </si>
  <si>
    <t>S-ORD225892</t>
  </si>
  <si>
    <t>PS-INV225007</t>
  </si>
  <si>
    <t>13244</t>
  </si>
  <si>
    <t>PFG Cedar Rapids IA</t>
  </si>
  <si>
    <t>S-ORD225007</t>
  </si>
  <si>
    <t>PS-INV226163</t>
  </si>
  <si>
    <t>11394</t>
  </si>
  <si>
    <t>La Cosecha Food Service</t>
  </si>
  <si>
    <t>S-ORD226163</t>
  </si>
  <si>
    <t>PS-INV225269</t>
  </si>
  <si>
    <t>12431</t>
  </si>
  <si>
    <t>Ben E Keith - New Brockton</t>
  </si>
  <si>
    <t>S-ORD225269</t>
  </si>
  <si>
    <t>PS-INV225250</t>
  </si>
  <si>
    <t>13077</t>
  </si>
  <si>
    <t>Ben E Keith - Little Rock, AR</t>
  </si>
  <si>
    <t>S-ORD225250</t>
  </si>
  <si>
    <t>PS-INV224542</t>
  </si>
  <si>
    <t>12988</t>
  </si>
  <si>
    <t>Sysco Norman OK</t>
  </si>
  <si>
    <t>S-ORD224542</t>
  </si>
  <si>
    <t>PS-INV225260</t>
  </si>
  <si>
    <t>S-ORD225260</t>
  </si>
  <si>
    <t>PS-INV223462</t>
  </si>
  <si>
    <t>10719-6</t>
  </si>
  <si>
    <t>US Foods - Alcoa TN.</t>
  </si>
  <si>
    <t>S-ORD223462</t>
  </si>
  <si>
    <t>PS-INV223464</t>
  </si>
  <si>
    <t>12314</t>
  </si>
  <si>
    <t>Gordon Food Services - Concord</t>
  </si>
  <si>
    <t>S-ORD223464</t>
  </si>
  <si>
    <t>PS-INV223452</t>
  </si>
  <si>
    <t>10719-12</t>
  </si>
  <si>
    <t>US Foods - Port Orange</t>
  </si>
  <si>
    <t>S-ORD223452</t>
  </si>
  <si>
    <t>PS-INV224544</t>
  </si>
  <si>
    <t>13128</t>
  </si>
  <si>
    <t>Gordon Food Service - Shepherdsville</t>
  </si>
  <si>
    <t>S-ORD224544</t>
  </si>
  <si>
    <t>PS-INV223891</t>
  </si>
  <si>
    <t>10711</t>
  </si>
  <si>
    <t>Cheney Bros Statesville</t>
  </si>
  <si>
    <t>S-ORD223891</t>
  </si>
  <si>
    <t>PS-INV223887</t>
  </si>
  <si>
    <t>S-ORD223887</t>
  </si>
  <si>
    <t>PS-INV223875</t>
  </si>
  <si>
    <t>S-ORD223875</t>
  </si>
  <si>
    <t>PS-INV223470</t>
  </si>
  <si>
    <t>S-ORD223470</t>
  </si>
  <si>
    <t>PS-INV225786</t>
  </si>
  <si>
    <t>S-ORD225786</t>
  </si>
  <si>
    <t>PS-INV224543</t>
  </si>
  <si>
    <t>S-ORD224543</t>
  </si>
  <si>
    <t>PS-INV223472</t>
  </si>
  <si>
    <t>S-ORD223472</t>
  </si>
  <si>
    <t>PS-INV223459</t>
  </si>
  <si>
    <t>10540-01</t>
  </si>
  <si>
    <t>PFG Johnson City TN</t>
  </si>
  <si>
    <t>S-ORD223459</t>
  </si>
  <si>
    <t>PS-INV222984</t>
  </si>
  <si>
    <t>12989</t>
  </si>
  <si>
    <t>Sysco Little Rock Arkansas</t>
  </si>
  <si>
    <t>S-ORD222984</t>
  </si>
  <si>
    <t>PS-INV222981</t>
  </si>
  <si>
    <t>S-ORD222981</t>
  </si>
  <si>
    <t>PS-INV223468</t>
  </si>
  <si>
    <t>S-ORD223468</t>
  </si>
  <si>
    <t>PS-INV223450</t>
  </si>
  <si>
    <t>S-ORD223450</t>
  </si>
  <si>
    <t>PS-INV223008</t>
  </si>
  <si>
    <t>S-ORD223008</t>
  </si>
  <si>
    <t>PS-INV221682</t>
  </si>
  <si>
    <t>10547</t>
  </si>
  <si>
    <t>PFG Hale TN</t>
  </si>
  <si>
    <t>S-ORD221682</t>
  </si>
  <si>
    <t>PS-INV222006</t>
  </si>
  <si>
    <t>10719-2</t>
  </si>
  <si>
    <t>US Foods - Fairburn</t>
  </si>
  <si>
    <t>S-ORD222006</t>
  </si>
  <si>
    <t>PS-INV222001</t>
  </si>
  <si>
    <t>S-ORD222001</t>
  </si>
  <si>
    <t>PS-INV221360</t>
  </si>
  <si>
    <t>10805</t>
  </si>
  <si>
    <t>Sysco Jacksonville</t>
  </si>
  <si>
    <t>S-ORD221360</t>
  </si>
  <si>
    <t>PS-INV223466</t>
  </si>
  <si>
    <t>X10540-3</t>
  </si>
  <si>
    <t>PFG Pittsburgh PA</t>
  </si>
  <si>
    <t>S-ORD223466</t>
  </si>
  <si>
    <t>PS-INV221683</t>
  </si>
  <si>
    <t>S-ORD221683</t>
  </si>
  <si>
    <t>PS-INV220276</t>
  </si>
  <si>
    <t>S-ORD220276</t>
  </si>
  <si>
    <t>PS-INV219946</t>
  </si>
  <si>
    <t>S-ORD219946</t>
  </si>
  <si>
    <t>PS-INV219930</t>
  </si>
  <si>
    <t>S-ORD219930</t>
  </si>
  <si>
    <t>PS-INV222225</t>
  </si>
  <si>
    <t>S-ORD222225</t>
  </si>
  <si>
    <t>PS-INV220962</t>
  </si>
  <si>
    <t>13260</t>
  </si>
  <si>
    <t>Tankersley Food Service</t>
  </si>
  <si>
    <t>S-ORD220962</t>
  </si>
  <si>
    <t>PS-INV219927</t>
  </si>
  <si>
    <t>13092</t>
  </si>
  <si>
    <t>Sysco WEST COAST</t>
  </si>
  <si>
    <t>S-ORD219927</t>
  </si>
  <si>
    <t>PS-INV219524</t>
  </si>
  <si>
    <t>10138-5</t>
  </si>
  <si>
    <t>Costco PriceSmart Export</t>
  </si>
  <si>
    <t>S-ORD219524</t>
  </si>
  <si>
    <t>PS-INV219508</t>
  </si>
  <si>
    <t>S-ORD219508</t>
  </si>
  <si>
    <t>PS-INV221024</t>
  </si>
  <si>
    <t>10540-02</t>
  </si>
  <si>
    <t>PFG Valdosta GA</t>
  </si>
  <si>
    <t>S-ORD221024</t>
  </si>
  <si>
    <t>PS-INV219176</t>
  </si>
  <si>
    <t>10719-9</t>
  </si>
  <si>
    <t>US Foods -Carolinas/Ft.Mill</t>
  </si>
  <si>
    <t>S-ORD219176</t>
  </si>
  <si>
    <t>PS-INV217270</t>
  </si>
  <si>
    <t>S-ORD217270</t>
  </si>
  <si>
    <t>PS-INV220965</t>
  </si>
  <si>
    <t>S-ORD220965</t>
  </si>
  <si>
    <t>PS-INV220865</t>
  </si>
  <si>
    <t>S-ORD220865</t>
  </si>
  <si>
    <t>PS-INV218854</t>
  </si>
  <si>
    <t>S-ORD218854</t>
  </si>
  <si>
    <t>PS-INV218758</t>
  </si>
  <si>
    <t>S-ORD218758</t>
  </si>
  <si>
    <t>PS-INV219174</t>
  </si>
  <si>
    <t>Z10700</t>
  </si>
  <si>
    <t>Sysco-Charlotte</t>
  </si>
  <si>
    <t>S-ORD219174</t>
  </si>
  <si>
    <t>PS-INV218773</t>
  </si>
  <si>
    <t>12692</t>
  </si>
  <si>
    <t>United Food Service</t>
  </si>
  <si>
    <t>S-ORD218773</t>
  </si>
  <si>
    <t>PS-INV219516</t>
  </si>
  <si>
    <t>S-ORD219516</t>
  </si>
  <si>
    <t>PS-INV218015</t>
  </si>
  <si>
    <t>S-ORD218015</t>
  </si>
  <si>
    <t>PS-INV219937</t>
  </si>
  <si>
    <t>S-ORD219937</t>
  </si>
  <si>
    <t>PS-INV218061</t>
  </si>
  <si>
    <t>S-ORD218061</t>
  </si>
  <si>
    <t>PS-INV217295</t>
  </si>
  <si>
    <t>S-ORD217295</t>
  </si>
  <si>
    <t>PS-INV218249</t>
  </si>
  <si>
    <t>S-ORD218249</t>
  </si>
  <si>
    <t>PS-INV218050</t>
  </si>
  <si>
    <t>S-ORD218050</t>
  </si>
  <si>
    <t>PS-INV218761</t>
  </si>
  <si>
    <t>S-ORD218761</t>
  </si>
  <si>
    <t>PS-INV218755</t>
  </si>
  <si>
    <t>S-ORD218755</t>
  </si>
  <si>
    <t>PS-INV218753</t>
  </si>
  <si>
    <t>S-ORD218753</t>
  </si>
  <si>
    <t>PS-INV218268</t>
  </si>
  <si>
    <t>S-ORD218268</t>
  </si>
  <si>
    <t>PS-INV217674</t>
  </si>
  <si>
    <t>S-ORD217674</t>
  </si>
  <si>
    <t>PS-INV218707</t>
  </si>
  <si>
    <t>12358</t>
  </si>
  <si>
    <t>PFG Powell GA</t>
  </si>
  <si>
    <t>S-ORD218707</t>
  </si>
  <si>
    <t>PS-INV218053</t>
  </si>
  <si>
    <t>S-ORD218053</t>
  </si>
  <si>
    <t>PS-INV216519</t>
  </si>
  <si>
    <t>S-ORD216519</t>
  </si>
  <si>
    <t>PS-INV217231</t>
  </si>
  <si>
    <t>S-ORD217231</t>
  </si>
  <si>
    <t>PS-INV215488</t>
  </si>
  <si>
    <t>S-ORD215488</t>
  </si>
  <si>
    <t>PS-INV214984</t>
  </si>
  <si>
    <t>S-ORD214984</t>
  </si>
  <si>
    <t>PS-INV214968</t>
  </si>
  <si>
    <t>S-ORD214968</t>
  </si>
  <si>
    <t>PS-INV220297</t>
  </si>
  <si>
    <t>S-ORD220297</t>
  </si>
  <si>
    <t>PS-INV216842</t>
  </si>
  <si>
    <t>S-ORD216842</t>
  </si>
  <si>
    <t>PS-INV216537</t>
  </si>
  <si>
    <t>S-ORD216537</t>
  </si>
  <si>
    <t>PS-INV215225</t>
  </si>
  <si>
    <t>S-ORD215225</t>
  </si>
  <si>
    <t>PS-INV213779</t>
  </si>
  <si>
    <t>S-ORD213779</t>
  </si>
  <si>
    <t>PS-INV215573</t>
  </si>
  <si>
    <t>S-ORD215573</t>
  </si>
  <si>
    <t>PS-INV214979</t>
  </si>
  <si>
    <t>S-ORD214979</t>
  </si>
  <si>
    <t>PS-INV214717</t>
  </si>
  <si>
    <t>S-ORD214717</t>
  </si>
  <si>
    <t>PS-INV213725</t>
  </si>
  <si>
    <t>S-ORD213725</t>
  </si>
  <si>
    <t>PS-INV212804</t>
  </si>
  <si>
    <t>S-ORD212804</t>
  </si>
  <si>
    <t>PS-INV213752</t>
  </si>
  <si>
    <t>S-ORD213752</t>
  </si>
  <si>
    <t>PS-INV210818</t>
  </si>
  <si>
    <t>S-ORD210818</t>
  </si>
  <si>
    <t>PS-INV216512</t>
  </si>
  <si>
    <t>Z11655</t>
  </si>
  <si>
    <t>PFG Hickory NC</t>
  </si>
  <si>
    <t>S-ORD216512</t>
  </si>
  <si>
    <t>PS-INV213776</t>
  </si>
  <si>
    <t>S-ORD213776</t>
  </si>
  <si>
    <t>PS-INV213718</t>
  </si>
  <si>
    <t>S-ORD213718</t>
  </si>
  <si>
    <t>PS-INV211906</t>
  </si>
  <si>
    <t>S-ORD211906</t>
  </si>
  <si>
    <t>PS-INV213761</t>
  </si>
  <si>
    <t>S-ORD213761</t>
  </si>
  <si>
    <t>PS-INV212713</t>
  </si>
  <si>
    <t>S-ORD212713</t>
  </si>
  <si>
    <t>PS-INV211228</t>
  </si>
  <si>
    <t>S-ORD211228</t>
  </si>
  <si>
    <t>PS-INV210832</t>
  </si>
  <si>
    <t>S-ORD210832</t>
  </si>
  <si>
    <t>PS-INV213767</t>
  </si>
  <si>
    <t>S-ORD213767</t>
  </si>
  <si>
    <t>PS-INV212693</t>
  </si>
  <si>
    <t>S-ORD212693</t>
  </si>
  <si>
    <t>PS-INV210532</t>
  </si>
  <si>
    <t>S-ORD210532</t>
  </si>
  <si>
    <t>PS-INV212327</t>
  </si>
  <si>
    <t>S-ORD212327</t>
  </si>
  <si>
    <t>PS-INV210167</t>
  </si>
  <si>
    <t>S-ORD210167</t>
  </si>
  <si>
    <t>PS-INV209739</t>
  </si>
  <si>
    <t>12707</t>
  </si>
  <si>
    <t>PFG Florence SC</t>
  </si>
  <si>
    <t>S-ORD209739</t>
  </si>
  <si>
    <t>PS-INV211490</t>
  </si>
  <si>
    <t>S-ORD211490</t>
  </si>
  <si>
    <t>PS-INV211268</t>
  </si>
  <si>
    <t>S-ORD211268</t>
  </si>
  <si>
    <t>PS-INV210810</t>
  </si>
  <si>
    <t>S-ORD210810</t>
  </si>
  <si>
    <t>PS-INV209045</t>
  </si>
  <si>
    <t>S-ORD209045</t>
  </si>
  <si>
    <t>PS-INV212205</t>
  </si>
  <si>
    <t>S-ORD212205</t>
  </si>
  <si>
    <t>PS-INV210816</t>
  </si>
  <si>
    <t>S-ORD210816</t>
  </si>
  <si>
    <t>PS-INV214731</t>
  </si>
  <si>
    <t>S-ORD214731</t>
  </si>
  <si>
    <t>PS-INV208059</t>
  </si>
  <si>
    <t>S-ORD208059</t>
  </si>
  <si>
    <t>PS-INV204215</t>
  </si>
  <si>
    <t>PFG Cedar Rapids</t>
  </si>
  <si>
    <t>S-ORD204215</t>
  </si>
  <si>
    <t>PS-INV209742</t>
  </si>
  <si>
    <t>S-ORD209742</t>
  </si>
  <si>
    <t>PS-INV209734</t>
  </si>
  <si>
    <t>S-ORD209734</t>
  </si>
  <si>
    <t>PS-INV203842</t>
  </si>
  <si>
    <t>S-ORD203842</t>
  </si>
  <si>
    <t>PS-INV209038</t>
  </si>
  <si>
    <t>S-ORD209038</t>
  </si>
  <si>
    <t>PS-INV208814</t>
  </si>
  <si>
    <t>S-ORD208814</t>
  </si>
  <si>
    <t>PS-INV208428</t>
  </si>
  <si>
    <t>S-ORD208428</t>
  </si>
  <si>
    <t>PS-INV207349</t>
  </si>
  <si>
    <t>S-ORD207349</t>
  </si>
  <si>
    <t>PS-INV208406</t>
  </si>
  <si>
    <t>S-ORD208406</t>
  </si>
  <si>
    <t>PS-INV208064</t>
  </si>
  <si>
    <t>S-ORD208064</t>
  </si>
  <si>
    <t>PS-INV207718</t>
  </si>
  <si>
    <t>S-ORD207718</t>
  </si>
  <si>
    <t>PS-INV207344</t>
  </si>
  <si>
    <t>S-ORD207344</t>
  </si>
  <si>
    <t>PS-INV205928</t>
  </si>
  <si>
    <t>PFG Hale</t>
  </si>
  <si>
    <t>S-ORD205928</t>
  </si>
  <si>
    <t>PS-INV207524</t>
  </si>
  <si>
    <t>S-ORD207524</t>
  </si>
  <si>
    <t>PS-INV206697</t>
  </si>
  <si>
    <t>S-ORD206697</t>
  </si>
  <si>
    <t>PS-INV206275</t>
  </si>
  <si>
    <t>S-ORD206275</t>
  </si>
  <si>
    <t>PS-INV205949</t>
  </si>
  <si>
    <t>Performance Food-Nashville</t>
  </si>
  <si>
    <t>S-ORD205949</t>
  </si>
  <si>
    <t>PS-INV204214</t>
  </si>
  <si>
    <t>S-ORD204214</t>
  </si>
  <si>
    <t>PS-INV210147</t>
  </si>
  <si>
    <t>S-ORD210147</t>
  </si>
  <si>
    <t>PS-INV207535</t>
  </si>
  <si>
    <t>S-ORD207535</t>
  </si>
  <si>
    <t>PS-INV207490</t>
  </si>
  <si>
    <t>S-ORD207490</t>
  </si>
  <si>
    <t>PS-INV201879</t>
  </si>
  <si>
    <t>S-ORD201879</t>
  </si>
  <si>
    <t>PS-INV207092</t>
  </si>
  <si>
    <t>S-ORD207092</t>
  </si>
  <si>
    <t>PS-INV207091</t>
  </si>
  <si>
    <t>S-ORD207091</t>
  </si>
  <si>
    <t>PS-INV206486</t>
  </si>
  <si>
    <t>S-ORD206486</t>
  </si>
  <si>
    <t>PS-INV206271</t>
  </si>
  <si>
    <t>S-ORD206271</t>
  </si>
  <si>
    <t>PS-INV206269</t>
  </si>
  <si>
    <t>S-ORD206269</t>
  </si>
  <si>
    <t>PS-INV204211</t>
  </si>
  <si>
    <t>S-ORD204211</t>
  </si>
  <si>
    <t>PS-INV205933</t>
  </si>
  <si>
    <t>S-ORD205933</t>
  </si>
  <si>
    <t>PS-INV204535</t>
  </si>
  <si>
    <t>S-ORD204535</t>
  </si>
  <si>
    <t>PS-INV204216</t>
  </si>
  <si>
    <t>S-ORD204216</t>
  </si>
  <si>
    <t>PS-INV203452</t>
  </si>
  <si>
    <t>S-ORD203452</t>
  </si>
  <si>
    <t>PS-INV203580</t>
  </si>
  <si>
    <t>S-ORD203580</t>
  </si>
  <si>
    <t>PS-INV203042</t>
  </si>
  <si>
    <t>S-ORD203042</t>
  </si>
  <si>
    <t>PS-INV202991</t>
  </si>
  <si>
    <t>PerformanceFoodGroup Florence</t>
  </si>
  <si>
    <t>S-ORD202991</t>
  </si>
  <si>
    <t>PS-INV203005</t>
  </si>
  <si>
    <t>Performance Foodservice Louisv</t>
  </si>
  <si>
    <t>S-ORD203005</t>
  </si>
  <si>
    <t>PS-INV202693</t>
  </si>
  <si>
    <t>S-ORD202693</t>
  </si>
  <si>
    <t>PS-INV204213</t>
  </si>
  <si>
    <t>S-ORD204213</t>
  </si>
  <si>
    <t>PS-INV203099</t>
  </si>
  <si>
    <t>S-ORD203099</t>
  </si>
  <si>
    <t>PS-INV201900</t>
  </si>
  <si>
    <t>S-ORD201900</t>
  </si>
  <si>
    <t>PS-INV203216</t>
  </si>
  <si>
    <t>S-ORD203216</t>
  </si>
  <si>
    <t>PS-INV203204</t>
  </si>
  <si>
    <t>S-ORD203204</t>
  </si>
  <si>
    <t>PS-INV203039</t>
  </si>
  <si>
    <t>S-ORD203039</t>
  </si>
  <si>
    <t>PS-INV203221</t>
  </si>
  <si>
    <t>Performance Foodservice Powell</t>
  </si>
  <si>
    <t>S-ORD203221</t>
  </si>
  <si>
    <t>PS-INV202992</t>
  </si>
  <si>
    <t>Performance Foodservice Valdos</t>
  </si>
  <si>
    <t>S-ORD202992</t>
  </si>
  <si>
    <t>PS-INV201885</t>
  </si>
  <si>
    <t>S-ORD201885</t>
  </si>
  <si>
    <t>PS-INV206678</t>
  </si>
  <si>
    <t>S-ORD206678</t>
  </si>
  <si>
    <t>PS-INV204212</t>
  </si>
  <si>
    <t>S-ORD204212</t>
  </si>
  <si>
    <t>PS-INV206475</t>
  </si>
  <si>
    <t>S-ORD206475</t>
  </si>
  <si>
    <t>PS-INV201990</t>
  </si>
  <si>
    <t>S-ORD201990</t>
  </si>
  <si>
    <t>PS-INV201908</t>
  </si>
  <si>
    <t>S-ORD201908</t>
  </si>
  <si>
    <t>PS-INV201198</t>
  </si>
  <si>
    <t>S-ORD201198</t>
  </si>
  <si>
    <t>PS-INV199711</t>
  </si>
  <si>
    <t>S-ORD199711</t>
  </si>
  <si>
    <t>PS-INV201114</t>
  </si>
  <si>
    <t>S-ORD201114</t>
  </si>
  <si>
    <t>PS-INV198855</t>
  </si>
  <si>
    <t>S-ORD198855</t>
  </si>
  <si>
    <t>PS-INV200622</t>
  </si>
  <si>
    <t>Performance Foodservice - Hickory</t>
  </si>
  <si>
    <t>S-ORD200622</t>
  </si>
  <si>
    <t>PS-INV198842</t>
  </si>
  <si>
    <t>S-ORD198842</t>
  </si>
  <si>
    <t>PS-INV200619</t>
  </si>
  <si>
    <t>S-ORD200619</t>
  </si>
  <si>
    <t>PS-INV200607</t>
  </si>
  <si>
    <t>Performance Foodservice JNC</t>
  </si>
  <si>
    <t>S-ORD200607</t>
  </si>
  <si>
    <t>PS-INV198578</t>
  </si>
  <si>
    <t>S-ORD198578</t>
  </si>
  <si>
    <t>PS-INV198833</t>
  </si>
  <si>
    <t>S-ORD198833</t>
  </si>
  <si>
    <t>PS-INV197503</t>
  </si>
  <si>
    <t>S-ORD197503</t>
  </si>
  <si>
    <t>PS-INV199919</t>
  </si>
  <si>
    <t>S-ORD199919</t>
  </si>
  <si>
    <t>PS-INV199691</t>
  </si>
  <si>
    <t>S-ORD199691</t>
  </si>
  <si>
    <t>PS-INV198803</t>
  </si>
  <si>
    <t>S-ORD198803</t>
  </si>
  <si>
    <t>PS-INV197334</t>
  </si>
  <si>
    <t>S-ORD197334</t>
  </si>
  <si>
    <t>PS-INV199695</t>
  </si>
  <si>
    <t>S-ORD199695</t>
  </si>
  <si>
    <t>PS-INV199197</t>
  </si>
  <si>
    <t>S-ORD199197</t>
  </si>
  <si>
    <t>PS-INV198804</t>
  </si>
  <si>
    <t>S-ORD198804</t>
  </si>
  <si>
    <t>PS-INV199202</t>
  </si>
  <si>
    <t>Performance Foodservice Pittsburgh</t>
  </si>
  <si>
    <t>S-ORD199202</t>
  </si>
  <si>
    <t>PS-INV198838</t>
  </si>
  <si>
    <t>S-ORD198838</t>
  </si>
  <si>
    <t>PS-INV198802</t>
  </si>
  <si>
    <t>S-ORD198802</t>
  </si>
  <si>
    <t>PS-INV198162</t>
  </si>
  <si>
    <t>S-ORD198162</t>
  </si>
  <si>
    <t>PS-INV196669</t>
  </si>
  <si>
    <t>S-ORD196669</t>
  </si>
  <si>
    <t>PS-INV196113</t>
  </si>
  <si>
    <t>S-ORD196113</t>
  </si>
  <si>
    <t>PS-INV197374</t>
  </si>
  <si>
    <t>S-ORD197374</t>
  </si>
  <si>
    <t>PS-INV197327</t>
  </si>
  <si>
    <t>S-ORD197327</t>
  </si>
  <si>
    <t>PS-INV197252</t>
  </si>
  <si>
    <t>S-ORD197252</t>
  </si>
  <si>
    <t>PS-INV195562</t>
  </si>
  <si>
    <t>S-ORD195562</t>
  </si>
  <si>
    <t>PS-INV197238</t>
  </si>
  <si>
    <t>S-ORD197238</t>
  </si>
  <si>
    <t>PS-INV194680</t>
  </si>
  <si>
    <t>S-ORD194680</t>
  </si>
  <si>
    <t>PS-INV200382</t>
  </si>
  <si>
    <t>S-ORD200382</t>
  </si>
  <si>
    <t>PS-INV196660</t>
  </si>
  <si>
    <t>S-ORD196660</t>
  </si>
  <si>
    <t>PS-INV196542</t>
  </si>
  <si>
    <t>S-ORD196542</t>
  </si>
  <si>
    <t>PS-INV193821</t>
  </si>
  <si>
    <t>S-ORD193821</t>
  </si>
  <si>
    <t>PS-INV197375</t>
  </si>
  <si>
    <t>S-ORD197375</t>
  </si>
  <si>
    <t>PS-INV196105</t>
  </si>
  <si>
    <t>S-ORD196105</t>
  </si>
  <si>
    <t>PS-INV196095</t>
  </si>
  <si>
    <t>S-ORD196095</t>
  </si>
  <si>
    <t>PS-INV195548</t>
  </si>
  <si>
    <t>S-ORD195548</t>
  </si>
  <si>
    <t>PS-INV199668</t>
  </si>
  <si>
    <t>S-ORD199668</t>
  </si>
  <si>
    <t>PS-INV195560</t>
  </si>
  <si>
    <t>S-ORD195560</t>
  </si>
  <si>
    <t>PS-INV195158</t>
  </si>
  <si>
    <t>S-ORD195158</t>
  </si>
  <si>
    <t>PS-INV194999</t>
  </si>
  <si>
    <t>S-ORD194999</t>
  </si>
  <si>
    <t>PS-INV194786</t>
  </si>
  <si>
    <t>S-ORD194786</t>
  </si>
  <si>
    <t>PS-INV192803</t>
  </si>
  <si>
    <t>10719-3</t>
  </si>
  <si>
    <t>US Foods - Raleigh/Zebulon</t>
  </si>
  <si>
    <t>S-ORD192803</t>
  </si>
  <si>
    <t>PS-INV194577</t>
  </si>
  <si>
    <t>S-ORD194577</t>
  </si>
  <si>
    <t>PS-INV194562</t>
  </si>
  <si>
    <t>S-ORD194562</t>
  </si>
  <si>
    <t>PS-INV194556</t>
  </si>
  <si>
    <t>S-ORD194556</t>
  </si>
  <si>
    <t>PS-INV192876</t>
  </si>
  <si>
    <t>S-ORD192876</t>
  </si>
  <si>
    <t>PS-INV192247</t>
  </si>
  <si>
    <t>S-ORD192247</t>
  </si>
  <si>
    <t>PS-INV194782</t>
  </si>
  <si>
    <t>S-ORD194782</t>
  </si>
  <si>
    <t>PS-INV194780</t>
  </si>
  <si>
    <t>S-ORD194780</t>
  </si>
  <si>
    <t>PS-INV194997</t>
  </si>
  <si>
    <t>S-ORD194997</t>
  </si>
  <si>
    <t>PS-INV194144</t>
  </si>
  <si>
    <t>S-ORD194144</t>
  </si>
  <si>
    <t>PS-INV193156</t>
  </si>
  <si>
    <t>S-ORD193156</t>
  </si>
  <si>
    <t>PS-INV193153</t>
  </si>
  <si>
    <t>S-ORD193153</t>
  </si>
  <si>
    <t>PS-INV192354</t>
  </si>
  <si>
    <t>S-ORD192354</t>
  </si>
  <si>
    <t>PS-INV192906</t>
  </si>
  <si>
    <t>S-ORD192906</t>
  </si>
  <si>
    <t>PS-INV192862</t>
  </si>
  <si>
    <t>S-ORD192862</t>
  </si>
  <si>
    <t>PS-INV192858</t>
  </si>
  <si>
    <t>S-ORD192858</t>
  </si>
  <si>
    <t>PS-INV192806</t>
  </si>
  <si>
    <t>S-ORD192806</t>
  </si>
  <si>
    <t>PS-INV193158</t>
  </si>
  <si>
    <t>S-ORD193158</t>
  </si>
  <si>
    <t>PS-INV191956</t>
  </si>
  <si>
    <t>S-ORD191956</t>
  </si>
  <si>
    <t>PS-INV191064</t>
  </si>
  <si>
    <t>S-ORD191064</t>
  </si>
  <si>
    <t>PS-INV188774</t>
  </si>
  <si>
    <t>S-ORD188774</t>
  </si>
  <si>
    <t>PS-INV186518</t>
  </si>
  <si>
    <t>S-ORD186518</t>
  </si>
  <si>
    <t>PS-INV192306</t>
  </si>
  <si>
    <t>S-ORD192306</t>
  </si>
  <si>
    <t>PS-INV191950</t>
  </si>
  <si>
    <t>S-ORD191950</t>
  </si>
  <si>
    <t>PS-INV190878</t>
  </si>
  <si>
    <t>S-ORD190878</t>
  </si>
  <si>
    <t>PS-INV191844</t>
  </si>
  <si>
    <t>S-ORD191844</t>
  </si>
  <si>
    <t>PS-INV191843</t>
  </si>
  <si>
    <t>S-ORD191843</t>
  </si>
  <si>
    <t>PS-INV190524</t>
  </si>
  <si>
    <t>S-ORD190524</t>
  </si>
  <si>
    <t>PS-INV189568</t>
  </si>
  <si>
    <t>S-ORD189568</t>
  </si>
  <si>
    <t>PS-INV189566</t>
  </si>
  <si>
    <t>S-ORD189566</t>
  </si>
  <si>
    <t>PS-INV191061</t>
  </si>
  <si>
    <t>S-ORD191061</t>
  </si>
  <si>
    <t>PS-INV190557</t>
  </si>
  <si>
    <t>S-ORD190557</t>
  </si>
  <si>
    <t>PS-INV190527</t>
  </si>
  <si>
    <t>S-ORD190527</t>
  </si>
  <si>
    <t>PS-INV189080</t>
  </si>
  <si>
    <t>S-ORD189080</t>
  </si>
  <si>
    <t>PS-INV192243</t>
  </si>
  <si>
    <t>S-ORD192243</t>
  </si>
  <si>
    <t>PS-INV189086</t>
  </si>
  <si>
    <t>S-ORD189086</t>
  </si>
  <si>
    <t>PS-INV187859</t>
  </si>
  <si>
    <t>S-ORD187859</t>
  </si>
  <si>
    <t>PS-INV188775</t>
  </si>
  <si>
    <t>S-ORD188775</t>
  </si>
  <si>
    <t>PS-INV188599</t>
  </si>
  <si>
    <t>S-ORD188599</t>
  </si>
  <si>
    <t>PS-INV187790</t>
  </si>
  <si>
    <t>S-ORD187790</t>
  </si>
  <si>
    <t>PS-INV187737</t>
  </si>
  <si>
    <t>10899-01</t>
  </si>
  <si>
    <t>Wood Fruitticher *HBH*</t>
  </si>
  <si>
    <t>S-ORD187737</t>
  </si>
  <si>
    <t>PS-INV188154</t>
  </si>
  <si>
    <t>S-ORD188154</t>
  </si>
  <si>
    <t>PS-INV186185</t>
  </si>
  <si>
    <t>S-ORD186185</t>
  </si>
  <si>
    <t>PS-INV187849</t>
  </si>
  <si>
    <t>S-ORD187849</t>
  </si>
  <si>
    <t>PS-INV186534</t>
  </si>
  <si>
    <t>S-ORD186534</t>
  </si>
  <si>
    <t>PS-INV186948</t>
  </si>
  <si>
    <t>S-ORD186948</t>
  </si>
  <si>
    <t>PS-INV186533</t>
  </si>
  <si>
    <t>S-ORD186533</t>
  </si>
  <si>
    <t>PS-INV186526</t>
  </si>
  <si>
    <t>S-ORD186526</t>
  </si>
  <si>
    <t>PS-INV185779</t>
  </si>
  <si>
    <t>S-ORD185779</t>
  </si>
  <si>
    <t>PS-INV187788</t>
  </si>
  <si>
    <t>S-ORD187788</t>
  </si>
  <si>
    <t>PS-INV184387</t>
  </si>
  <si>
    <t>S-ORD184387</t>
  </si>
  <si>
    <t>PS-INV189823</t>
  </si>
  <si>
    <t>S-ORD189823</t>
  </si>
  <si>
    <t>PS-INV185785</t>
  </si>
  <si>
    <t>S-ORD185785</t>
  </si>
  <si>
    <t>PS-INV185074</t>
  </si>
  <si>
    <t>S-ORD185074</t>
  </si>
  <si>
    <t>PS-INV185031</t>
  </si>
  <si>
    <t>S-ORD185031</t>
  </si>
  <si>
    <t>PS-INV185009</t>
  </si>
  <si>
    <t>S-ORD185009</t>
  </si>
  <si>
    <t>PS-INV186232</t>
  </si>
  <si>
    <t>S-ORD186232</t>
  </si>
  <si>
    <t>PS-INV182727</t>
  </si>
  <si>
    <t>S-ORD182727</t>
  </si>
  <si>
    <t>PS-INV185015</t>
  </si>
  <si>
    <t>S-ORD185015</t>
  </si>
  <si>
    <t>PS-INV184132</t>
  </si>
  <si>
    <t>S-ORD184132</t>
  </si>
  <si>
    <t>PS-INV184131</t>
  </si>
  <si>
    <t>S-ORD184131</t>
  </si>
  <si>
    <t>PS-INV182718</t>
  </si>
  <si>
    <t>S-ORD182718</t>
  </si>
  <si>
    <t>PS-INV187811</t>
  </si>
  <si>
    <t>S-ORD187811</t>
  </si>
  <si>
    <t>PS-INV185051</t>
  </si>
  <si>
    <t>S-ORD185051</t>
  </si>
  <si>
    <t>PS-INV184958</t>
  </si>
  <si>
    <t>S-ORD184958</t>
  </si>
  <si>
    <t>PS-INV184128</t>
  </si>
  <si>
    <t>S-ORD184128</t>
  </si>
  <si>
    <t>PS-INV185012</t>
  </si>
  <si>
    <t>S-ORD185012</t>
  </si>
  <si>
    <t>PS-INV184574</t>
  </si>
  <si>
    <t>S-ORD184574</t>
  </si>
  <si>
    <t>PS-INV182446</t>
  </si>
  <si>
    <t>S-ORD182446</t>
  </si>
  <si>
    <t>PS-INV185065</t>
  </si>
  <si>
    <t>S-ORD185065</t>
  </si>
  <si>
    <t>PS-INV184945</t>
  </si>
  <si>
    <t>S-ORD184945</t>
  </si>
  <si>
    <t>PS-INV184375</t>
  </si>
  <si>
    <t>S-ORD184375</t>
  </si>
  <si>
    <t>PS-INV184167</t>
  </si>
  <si>
    <t>S-ORD184167</t>
  </si>
  <si>
    <t>PS-INV184119</t>
  </si>
  <si>
    <t>S-ORD184119</t>
  </si>
  <si>
    <t>PS-INV183255</t>
  </si>
  <si>
    <t>S-ORD183255</t>
  </si>
  <si>
    <t>PS-INV182105</t>
  </si>
  <si>
    <t>S-ORD182105</t>
  </si>
  <si>
    <t>PS-INV182739</t>
  </si>
  <si>
    <t>S-ORD182739</t>
  </si>
  <si>
    <t>PS-INV181948</t>
  </si>
  <si>
    <t>S-ORD181948</t>
  </si>
  <si>
    <t>PS-INV181456</t>
  </si>
  <si>
    <t>S-ORD181456</t>
  </si>
  <si>
    <t>PS-INV183278</t>
  </si>
  <si>
    <t>S-ORD183278</t>
  </si>
  <si>
    <t>PS-INV183271</t>
  </si>
  <si>
    <t>S-ORD183271</t>
  </si>
  <si>
    <t>PS-INV183248</t>
  </si>
  <si>
    <t>S-ORD183248</t>
  </si>
  <si>
    <t>PS-INV182730</t>
  </si>
  <si>
    <t>S-ORD182730</t>
  </si>
  <si>
    <t>PS-INV181986</t>
  </si>
  <si>
    <t>S-ORD181986</t>
  </si>
  <si>
    <t>PS-INV181457</t>
  </si>
  <si>
    <t>S-ORD181457</t>
  </si>
  <si>
    <t>PS-INV180754</t>
  </si>
  <si>
    <t>S-ORD180754</t>
  </si>
  <si>
    <t>PS-INV180616</t>
  </si>
  <si>
    <t>S-ORD180616</t>
  </si>
  <si>
    <t>PS-INV180595</t>
  </si>
  <si>
    <t>S-ORD180595</t>
  </si>
  <si>
    <t>PS-INV180652</t>
  </si>
  <si>
    <t>S-ORD180652</t>
  </si>
  <si>
    <t>PS-INV175944</t>
  </si>
  <si>
    <t>S-ORD175944</t>
  </si>
  <si>
    <t>PS-INV182442</t>
  </si>
  <si>
    <t>S-ORD182442</t>
  </si>
  <si>
    <t>PS-INV180718</t>
  </si>
  <si>
    <t>S-ORD180718</t>
  </si>
  <si>
    <t>PS-INV179006</t>
  </si>
  <si>
    <t>S-ORD179006</t>
  </si>
  <si>
    <t>PS-INV179062</t>
  </si>
  <si>
    <t>S-ORD179062</t>
  </si>
  <si>
    <t>PS-INV180617</t>
  </si>
  <si>
    <t>S-ORD180617</t>
  </si>
  <si>
    <t>PS-INV179701</t>
  </si>
  <si>
    <t>S-ORD179701</t>
  </si>
  <si>
    <t>PS-INV179035</t>
  </si>
  <si>
    <t>S-ORD179035</t>
  </si>
  <si>
    <t>PS-INV179010</t>
  </si>
  <si>
    <t>S-ORD179010</t>
  </si>
  <si>
    <t>PS-INV178335</t>
  </si>
  <si>
    <t>S-ORD178335</t>
  </si>
  <si>
    <t>PS-INV178030</t>
  </si>
  <si>
    <t>S-ORD178030</t>
  </si>
  <si>
    <t>PS-INV179795</t>
  </si>
  <si>
    <t>S-ORD179795</t>
  </si>
  <si>
    <t>PS-INV178288</t>
  </si>
  <si>
    <t>S-ORD178288</t>
  </si>
  <si>
    <t>PS-INV178270</t>
  </si>
  <si>
    <t>S-ORD178270</t>
  </si>
  <si>
    <t>PS-INV181756</t>
  </si>
  <si>
    <t>S-ORD181756</t>
  </si>
  <si>
    <t>PS-INV178033</t>
  </si>
  <si>
    <t>S-ORD178033</t>
  </si>
  <si>
    <t>PS-INV177321</t>
  </si>
  <si>
    <t>S-ORD177321</t>
  </si>
  <si>
    <t>PS-INV177303</t>
  </si>
  <si>
    <t>S-ORD177303</t>
  </si>
  <si>
    <t>PS-INV175938</t>
  </si>
  <si>
    <t>S-ORD175938</t>
  </si>
  <si>
    <t>PS-INV177099</t>
  </si>
  <si>
    <t>S-ORD177099</t>
  </si>
  <si>
    <t>PS-INV177013</t>
  </si>
  <si>
    <t>S-ORD177013</t>
  </si>
  <si>
    <t>PS-INV175182</t>
  </si>
  <si>
    <t>S-ORD175182</t>
  </si>
  <si>
    <t>PS-INV177204</t>
  </si>
  <si>
    <t>S-ORD177204</t>
  </si>
  <si>
    <t>PS-INV178998</t>
  </si>
  <si>
    <t>S-ORD178998</t>
  </si>
  <si>
    <t>PS-INV177041</t>
  </si>
  <si>
    <t>S-ORD177041</t>
  </si>
  <si>
    <t>PS-INV174928</t>
  </si>
  <si>
    <t>S-ORD174928</t>
  </si>
  <si>
    <t>PS-INV174655</t>
  </si>
  <si>
    <t>S-ORD174655</t>
  </si>
  <si>
    <t>PS-INV173549</t>
  </si>
  <si>
    <t>S-ORD173549</t>
  </si>
  <si>
    <t>PS-INV173271</t>
  </si>
  <si>
    <t>S-ORD173271</t>
  </si>
  <si>
    <t>EA</t>
  </si>
  <si>
    <t/>
  </si>
  <si>
    <t>EBC</t>
  </si>
  <si>
    <t>FG-DIST</t>
  </si>
  <si>
    <t>Cs. Challah Sliders Sliced 18-12pks</t>
  </si>
  <si>
    <t>F56251</t>
  </si>
  <si>
    <t>Item</t>
  </si>
  <si>
    <t>Heath West</t>
  </si>
  <si>
    <t>1-4</t>
  </si>
  <si>
    <t>PS-INV231387</t>
  </si>
  <si>
    <t>Cs. 4" Brioche Bun 8-12pk</t>
  </si>
  <si>
    <t>F53001</t>
  </si>
  <si>
    <t>PS-INV231311</t>
  </si>
  <si>
    <t>Cs. 4.5 Brioche Bun 6-12pk</t>
  </si>
  <si>
    <t>F530491</t>
  </si>
  <si>
    <t>Westin Atlanta Airport</t>
  </si>
  <si>
    <t>10123-1</t>
  </si>
  <si>
    <t>PS-INV230837</t>
  </si>
  <si>
    <t>DOMESTIC</t>
  </si>
  <si>
    <t>Cs. 6" White Hot Dog 16-8pk</t>
  </si>
  <si>
    <t>F53105</t>
  </si>
  <si>
    <t>Cs. 4.5" Challah Kaiser 6-12pk</t>
  </si>
  <si>
    <t>F530501</t>
  </si>
  <si>
    <t>Cs. Sour Dough Hearth 5/8" 8lvs</t>
  </si>
  <si>
    <t>F51034</t>
  </si>
  <si>
    <t>Cs. 22" 17oz French 10-2pk</t>
  </si>
  <si>
    <t>F52007</t>
  </si>
  <si>
    <t>Cs. Large Hot Dog 12-6pk</t>
  </si>
  <si>
    <t>F53106</t>
  </si>
  <si>
    <t>Cs. Hot Dog pl/sl 12-8pk</t>
  </si>
  <si>
    <t>F53100</t>
  </si>
  <si>
    <t>Cs. 5" Challah Bun 8-8pk</t>
  </si>
  <si>
    <t>F53072</t>
  </si>
  <si>
    <t>Cs. 6" Italian 12-6pks</t>
  </si>
  <si>
    <t>F53094</t>
  </si>
  <si>
    <t>Cs. 4.5" Challah Buns 6-12pk.</t>
  </si>
  <si>
    <t>F530421</t>
  </si>
  <si>
    <t>Cs. Foot Long Challah Hot Dog Buns 10-6pk</t>
  </si>
  <si>
    <t>F53110</t>
  </si>
  <si>
    <t>Cs. 6" Hoagie Slab Cut 12-6pk</t>
  </si>
  <si>
    <t>F53091</t>
  </si>
  <si>
    <t>Cs. Texas Toast 3/4" 12lvs</t>
  </si>
  <si>
    <t>F51137</t>
  </si>
  <si>
    <t>Cs. Large Pumpernickel Sub 6-6pk</t>
  </si>
  <si>
    <t>F53180</t>
  </si>
  <si>
    <t>Cs. Large Country Wheat Sub 6-6pk</t>
  </si>
  <si>
    <t>F53170</t>
  </si>
  <si>
    <t>Cs. Large White Sub 6-6pk</t>
  </si>
  <si>
    <t>F53160</t>
  </si>
  <si>
    <t>Exotic-Que</t>
  </si>
  <si>
    <t>13288</t>
  </si>
  <si>
    <t>PS-INV228046</t>
  </si>
  <si>
    <t>Cs. Knuckies 8" White 12-6pk</t>
  </si>
  <si>
    <t>F53140</t>
  </si>
  <si>
    <t>Cs. Challah Hearth 7/8" 8lvs</t>
  </si>
  <si>
    <t>F51157</t>
  </si>
  <si>
    <t>Cs. 4" Parker House 8-12pk</t>
  </si>
  <si>
    <t>F53033</t>
  </si>
  <si>
    <t>Cs. Challah 3-Braid 8</t>
  </si>
  <si>
    <t>F51127</t>
  </si>
  <si>
    <t>Cs. Marble Rye 5/8" 8lvs</t>
  </si>
  <si>
    <t>F51024</t>
  </si>
  <si>
    <t>Cs. 3.5" Challah Bun 8-12 pk</t>
  </si>
  <si>
    <t>F53087</t>
  </si>
  <si>
    <t>Cs. 7" French Hinged 12-6pk</t>
  </si>
  <si>
    <t>F53116</t>
  </si>
  <si>
    <t>Cs. 4" Challah Kaiser 8-12pk</t>
  </si>
  <si>
    <t>F53024</t>
  </si>
  <si>
    <t>Cs. Marble Rye 1/2" 8lvs</t>
  </si>
  <si>
    <t>F51020</t>
  </si>
  <si>
    <t>Cs. Marble Rye 3/4" 8lvs</t>
  </si>
  <si>
    <t>F51026</t>
  </si>
  <si>
    <t>Cs. 6" Philly Unsliced 12-6pk</t>
  </si>
  <si>
    <t>F53093</t>
  </si>
  <si>
    <t>Cs. Onion Roll 8-12pk</t>
  </si>
  <si>
    <t>F53010</t>
  </si>
  <si>
    <t>Cs. Vienna 5/8" 8lvs</t>
  </si>
  <si>
    <t>F51044</t>
  </si>
  <si>
    <t>Cs. Oatie Multigrain 5/8" 8lvs</t>
  </si>
  <si>
    <t>F51077</t>
  </si>
  <si>
    <t>Cs. 8" Philly Unsliced 10-6pk</t>
  </si>
  <si>
    <t>F53128</t>
  </si>
  <si>
    <t>Cs. Cranberry 9 Grain Hearth 5/8" 8lvs</t>
  </si>
  <si>
    <t>F51414</t>
  </si>
  <si>
    <t>Cs. Jalapeno Corn Hearth 5/8" 8lvs</t>
  </si>
  <si>
    <t>F51200</t>
  </si>
  <si>
    <t>Cs. Rye 3/4" 8lvs</t>
  </si>
  <si>
    <t>F51006</t>
  </si>
  <si>
    <t>Cs. Club White 12lvs</t>
  </si>
  <si>
    <t>F51130</t>
  </si>
  <si>
    <t>Cs. Club Wheat 12lvs</t>
  </si>
  <si>
    <t>F51134</t>
  </si>
  <si>
    <t>Cs. Texas Toast 1" 12lvs</t>
  </si>
  <si>
    <t>F51136</t>
  </si>
  <si>
    <t>Cs. 4" Unseeded Challah Bun 8-12pk</t>
  </si>
  <si>
    <t>F53003</t>
  </si>
  <si>
    <t>Cs. White Mountain Dinner Rolls 12-12pk</t>
  </si>
  <si>
    <t>F54014</t>
  </si>
  <si>
    <t>Cs. Sour Dough Hearth 8lvs</t>
  </si>
  <si>
    <t>F51030</t>
  </si>
  <si>
    <t>Cs. Multigrain Batard Unsliced 8lvs</t>
  </si>
  <si>
    <t>F52552</t>
  </si>
  <si>
    <t>Cs. 8" Philly 10-6pks</t>
  </si>
  <si>
    <t>F53127</t>
  </si>
  <si>
    <t>Cs. 4.5" Sesame 6-12pk</t>
  </si>
  <si>
    <t>F530401</t>
  </si>
  <si>
    <t>Cs. Knot Roll 8-12pk</t>
  </si>
  <si>
    <t>F530142</t>
  </si>
  <si>
    <t>Cs. Old Fashioned Hearth 5/8" 8lvs</t>
  </si>
  <si>
    <t>F51114</t>
  </si>
  <si>
    <t>Cs. Wheatberry Hearth</t>
  </si>
  <si>
    <t>F51084</t>
  </si>
  <si>
    <t>Cs. 4" Gourmet PDS Bun 8-12pk</t>
  </si>
  <si>
    <t>F53005</t>
  </si>
  <si>
    <t>Cs. English Muffin 30-6pk</t>
  </si>
  <si>
    <t>F56255</t>
  </si>
  <si>
    <t>Cs. Challah Pullman 7/8"</t>
  </si>
  <si>
    <t>F51384</t>
  </si>
  <si>
    <t>Cs. 4" Challah Sesame Bun 8-12pk</t>
  </si>
  <si>
    <t>F53002</t>
  </si>
  <si>
    <t>Cs. Buttons Parker House 12-12pk</t>
  </si>
  <si>
    <t>F54044</t>
  </si>
  <si>
    <t xml:space="preserve">Cs. 5" Challah Sesame Buns </t>
  </si>
  <si>
    <t>F53070</t>
  </si>
  <si>
    <t>Cs. Challah Pullman Unsliced 10lvs</t>
  </si>
  <si>
    <t>F51381</t>
  </si>
  <si>
    <t>Cs. 8" Italian Hinged 12-6pk</t>
  </si>
  <si>
    <t>F53122</t>
  </si>
  <si>
    <t>Cs. Potato Roll Sliced 12-16pk</t>
  </si>
  <si>
    <t>F54301</t>
  </si>
  <si>
    <t>Cs. 8" Sesame Italian 12-6pk</t>
  </si>
  <si>
    <t>F53124</t>
  </si>
  <si>
    <t>PS-INV225174</t>
  </si>
  <si>
    <t>Cs. Multigrain Batard 1/2" 8lvs</t>
  </si>
  <si>
    <t>F52550</t>
  </si>
  <si>
    <t>Cs. HBH Wheat Roll</t>
  </si>
  <si>
    <t>F540202</t>
  </si>
  <si>
    <t>Cs. 4" S&amp;P Brioche Bun 8-12pk</t>
  </si>
  <si>
    <t>F530041</t>
  </si>
  <si>
    <t>Cs. 8-Grain 5/8" 8lvs</t>
  </si>
  <si>
    <t>F51070</t>
  </si>
  <si>
    <t>Cs. 4" Hamburger Bun 8-12pk</t>
  </si>
  <si>
    <t>F53000</t>
  </si>
  <si>
    <t>Cs. Honey Wheat Pullman 7/8" 10lvs</t>
  </si>
  <si>
    <t>F51361</t>
  </si>
  <si>
    <t>Cs. 8oz Sour Dough Boule 12-2pk</t>
  </si>
  <si>
    <t>F52032</t>
  </si>
  <si>
    <t>Cs. French Boule 12-2pk</t>
  </si>
  <si>
    <t>F52035</t>
  </si>
  <si>
    <t>Cs. White Bread Pullman 3/4" 10lvs</t>
  </si>
  <si>
    <t>F51343</t>
  </si>
  <si>
    <t>Cs. 4" Wheat Bun 8-12pk</t>
  </si>
  <si>
    <t>F53006</t>
  </si>
  <si>
    <t>Cs. Honey Wheat 3/4" 8lvs</t>
  </si>
  <si>
    <t>F51066</t>
  </si>
  <si>
    <t>Cs. Sesame Challah Kaiser 8-12pk</t>
  </si>
  <si>
    <t>F53025</t>
  </si>
  <si>
    <t>Cs. Rye 5/8" 8lvs</t>
  </si>
  <si>
    <t>F51004</t>
  </si>
  <si>
    <t>Cs. Challah Pullman 3/4" 10lvs</t>
  </si>
  <si>
    <t>F51383</t>
  </si>
  <si>
    <t>Cs. Rye Bread 8lvs</t>
  </si>
  <si>
    <t>F51000</t>
  </si>
  <si>
    <t>Cs. 6" Hot Dog Top Sliced 12-12pk</t>
  </si>
  <si>
    <t>F531052</t>
  </si>
  <si>
    <t>Cs. 22" Rye Baguette 10-2pk</t>
  </si>
  <si>
    <t>F52902</t>
  </si>
  <si>
    <t>Cs. 7" French Unsliced 12-6pk</t>
  </si>
  <si>
    <t>F53115</t>
  </si>
  <si>
    <t>Gluten Free 3.5" Hamburger 36ct</t>
  </si>
  <si>
    <t>F56560</t>
  </si>
  <si>
    <t>PS-INV221750</t>
  </si>
  <si>
    <t>Cs. Onion Club 12-6pk</t>
  </si>
  <si>
    <t>F53098</t>
  </si>
  <si>
    <t>Cs. 4" Vidalia 8-12pk</t>
  </si>
  <si>
    <t>F53013</t>
  </si>
  <si>
    <t>Cs. Sour Dough Batard 5/8" 8lvs</t>
  </si>
  <si>
    <t>F52544</t>
  </si>
  <si>
    <t>Cs. Potato Roll 12-16pk</t>
  </si>
  <si>
    <t>F54005</t>
  </si>
  <si>
    <t>Locos-Westside</t>
  </si>
  <si>
    <t>Z10475</t>
  </si>
  <si>
    <t>PS-INV217845</t>
  </si>
  <si>
    <t>Cs. 8" Squaw 12-6pks</t>
  </si>
  <si>
    <t>F53136</t>
  </si>
  <si>
    <t>Cs. 7" French Hinged 12</t>
  </si>
  <si>
    <t>PS-INV214922</t>
  </si>
  <si>
    <t>Cs. Sour Dough Batard 1/2" 8lvs</t>
  </si>
  <si>
    <t>F52540</t>
  </si>
  <si>
    <t>Cs. Rye Batard 5/8" 8lvs</t>
  </si>
  <si>
    <t>F52564</t>
  </si>
  <si>
    <t>Cs. 6" Hoagie Slab Cut</t>
  </si>
  <si>
    <t>Cs. LobsterRoll 12-12</t>
  </si>
  <si>
    <t>F53310</t>
  </si>
  <si>
    <t>Lance Long</t>
  </si>
  <si>
    <t>1-1</t>
  </si>
  <si>
    <t>PS-INV212675</t>
  </si>
  <si>
    <t>Cs. Wheatberry Hearth 1/2" 8lvs</t>
  </si>
  <si>
    <t>F51080</t>
  </si>
  <si>
    <t>Cs. 4" Sesame Brioche 8-12pk</t>
  </si>
  <si>
    <t>F53004</t>
  </si>
  <si>
    <t>Cs. 3.5" Plain Hamburger Bun 8-12pk</t>
  </si>
  <si>
    <t>F53086</t>
  </si>
  <si>
    <t>Cs. 4" Sour Dough Bun 8-12pk</t>
  </si>
  <si>
    <t>F53028</t>
  </si>
  <si>
    <t>Cs. 4" Potato Bun 8-12pk</t>
  </si>
  <si>
    <t>F53032</t>
  </si>
  <si>
    <t>PS-INV210106</t>
  </si>
  <si>
    <t>Cs. 4.5"Onion Roll</t>
  </si>
  <si>
    <t>F530441</t>
  </si>
  <si>
    <t>PS-INV208947</t>
  </si>
  <si>
    <t>Cherry St.</t>
  </si>
  <si>
    <t>20069</t>
  </si>
  <si>
    <t>PS-INV208678</t>
  </si>
  <si>
    <t>Cs. Foccacia Herb 6pk</t>
  </si>
  <si>
    <t>F56212</t>
  </si>
  <si>
    <t>Genesis Coplin</t>
  </si>
  <si>
    <t>1-10</t>
  </si>
  <si>
    <t>PS-INV208363</t>
  </si>
  <si>
    <t>PS-INV205982</t>
  </si>
  <si>
    <t>Mercedes Benz Stadium</t>
  </si>
  <si>
    <t>10500-2</t>
  </si>
  <si>
    <t>PS-INV203187</t>
  </si>
  <si>
    <t>Cs. HBH White Mountain Roll</t>
  </si>
  <si>
    <t>F540212</t>
  </si>
  <si>
    <t>PS-INV197278</t>
  </si>
  <si>
    <t>PS-INV196711</t>
  </si>
  <si>
    <t>Cs. 6" Philly Hinged 12-6pk</t>
  </si>
  <si>
    <t>F530931</t>
  </si>
  <si>
    <t>Cs. HBH Mini Twist</t>
  </si>
  <si>
    <t>F540222</t>
  </si>
  <si>
    <t>PS-INV194440</t>
  </si>
  <si>
    <t>Cs. 4" Cracked Wheat 8-12pk</t>
  </si>
  <si>
    <t>F53007</t>
  </si>
  <si>
    <t>Knuckie's Milton TTHS</t>
  </si>
  <si>
    <t>10800-05</t>
  </si>
  <si>
    <t>PS-INV194058</t>
  </si>
  <si>
    <t>Cs. 6" Philly Unsliced</t>
  </si>
  <si>
    <t>PS-INV192777</t>
  </si>
  <si>
    <t>PS-INV192770</t>
  </si>
  <si>
    <t>PS-INV192318</t>
  </si>
  <si>
    <t>Cs. Multigrain Batard 5/8" 8lvs</t>
  </si>
  <si>
    <t>Cs. 4X6 Ciabatta - 8-8pk</t>
  </si>
  <si>
    <t>F53220</t>
  </si>
  <si>
    <t>PS-INV190584</t>
  </si>
  <si>
    <t>Cs. 22" 17oz French 10</t>
  </si>
  <si>
    <t xml:space="preserve">Wood Fruitticher *HBH* (USE MASTER FOR PO's) </t>
  </si>
  <si>
    <t>Hammer and Spoon MTWTHF</t>
  </si>
  <si>
    <t>10155-45</t>
  </si>
  <si>
    <t>PS-INV187664</t>
  </si>
  <si>
    <t>PS-INV187533</t>
  </si>
  <si>
    <t>PS-INV186408</t>
  </si>
  <si>
    <t>PS-INV185853</t>
  </si>
  <si>
    <t>PS-INV185598</t>
  </si>
  <si>
    <t>PS-INV185396</t>
  </si>
  <si>
    <t>Cs. 4x4 Ciabatta 12-8pk</t>
  </si>
  <si>
    <t>F53221</t>
  </si>
  <si>
    <t>PS-INV183989</t>
  </si>
  <si>
    <t>Cs. Sesame Bun 8-12pk</t>
  </si>
  <si>
    <t>PS-INV182288</t>
  </si>
  <si>
    <t>PS-INV181880</t>
  </si>
  <si>
    <t>PS-INV180999</t>
  </si>
  <si>
    <t>PS-INV180618</t>
  </si>
  <si>
    <t>PS-INV180403</t>
  </si>
  <si>
    <t>Life University #30994 - Barclay Circle</t>
  </si>
  <si>
    <t>10500-37</t>
  </si>
  <si>
    <t>PS-INV180211</t>
  </si>
  <si>
    <t>Line Discount %</t>
  </si>
  <si>
    <t>Amount Including Tax</t>
  </si>
  <si>
    <t>Unit Price Excl. Tax</t>
  </si>
  <si>
    <t>Unit of Measure Code</t>
  </si>
  <si>
    <t>Quantity</t>
  </si>
  <si>
    <t>Dept Code</t>
  </si>
  <si>
    <t>Pc Code</t>
  </si>
  <si>
    <t>Gen. Prod. Posting Group</t>
  </si>
  <si>
    <t>Gen. Bus. Posting Group</t>
  </si>
  <si>
    <t>Description</t>
  </si>
  <si>
    <t>Type</t>
  </si>
  <si>
    <t>Sell-to Customer Name</t>
  </si>
  <si>
    <t>Sell-to Customer No.</t>
  </si>
  <si>
    <t>Document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</si>
</sst>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###"/>
    <numFmt numFmtId="165" formatCode="#,##0.00###"/>
    <numFmt numFmtId="166" formatCode="#,##0.00;\(#,##0.00\);\-"/>
    <numFmt numFmtId="167" formatCode="#,##0.##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9">
    <dxf>
      <numFmt numFmtId="166" formatCode="#,##0.00;\(#,##0.00\);\-"/>
    </dxf>
    <dxf>
      <numFmt numFmtId="166" formatCode="#,##0.00;\(#,##0.00\);\-"/>
    </dxf>
    <dxf>
      <numFmt numFmtId="167" formatCode="#,##0.##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EC4FE2-6E5F-4B3E-9A94-F10829F3A623}" name="Table1" displayName="Table1" ref="A1:N325" totalsRowShown="0">
  <autoFilter ref="A1:N325" xr:uid="{00000000-0009-0000-0100-000001000000}"/>
  <tableColumns count="14">
    <tableColumn id="1" xr3:uid="{00000000-0010-0000-0000-000001000000}" name="No."/>
    <tableColumn id="2" xr3:uid="{00000000-0010-0000-0000-000002000000}" name="Customer No."/>
    <tableColumn id="3" xr3:uid="{00000000-0010-0000-0000-000003000000}" name="Customer Name"/>
    <tableColumn id="4" xr3:uid="{00000000-0010-0000-0000-000004000000}" name="Posting Date"/>
    <tableColumn id="5" xr3:uid="{00000000-0010-0000-0000-000005000000}" name="Order No."/>
    <tableColumn id="6" xr3:uid="{00000000-0010-0000-0000-000006000000}" name="Amount"/>
    <tableColumn id="7" xr3:uid="{00000000-0010-0000-0000-000007000000}" name="Location Code"/>
    <tableColumn id="8" xr3:uid="{00000000-0010-0000-0000-000008000000}" name="No. Printed"/>
    <tableColumn id="9" xr3:uid="{00000000-0010-0000-0000-000009000000}" name="Delivery Date"/>
    <tableColumn id="10" xr3:uid="{00000000-0010-0000-0000-00000A000000}" name="Requested Delivery Date"/>
    <tableColumn id="11" xr3:uid="{00000000-0010-0000-0000-00000B000000}" name="Shipping Agent Code"/>
    <tableColumn id="12" xr3:uid="{00000000-0010-0000-0000-00000C000000}" name="Closed"/>
    <tableColumn id="13" xr3:uid="{00000000-0010-0000-0000-00000D000000}" name="Canceled"/>
    <tableColumn id="14" xr3:uid="{00000000-0010-0000-0000-00000E000000}" name="Corrective">
      <calculatedColumnFormula>FALSE()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2FDFDF-83A6-4057-BF94-BBBEDF9169AC}" name="Table16" displayName="Table16" ref="A1:Q1891" totalsRowShown="0">
  <autoFilter ref="A1:Q1891" xr:uid="{00000000-0009-0000-0100-000001000000}"/>
  <tableColumns count="17">
    <tableColumn id="1" xr3:uid="{00000000-0010-0000-0000-000001000000}" name="Document No."/>
    <tableColumn id="2" xr3:uid="{00000000-0010-0000-0000-000002000000}" name="Sell-to Customer No."/>
    <tableColumn id="3" xr3:uid="{00000000-0010-0000-0000-000003000000}" name="Sell-to Customer Name"/>
    <tableColumn id="4" xr3:uid="{00000000-0010-0000-0000-000004000000}" name="Type"/>
    <tableColumn id="5" xr3:uid="{00000000-0010-0000-0000-000005000000}" name="No."/>
    <tableColumn id="6" xr3:uid="{00000000-0010-0000-0000-000006000000}" name="Description"/>
    <tableColumn id="7" xr3:uid="{00000000-0010-0000-0000-000007000000}" name="Posting Date"/>
    <tableColumn id="8" xr3:uid="{00000000-0010-0000-0000-000008000000}" name="Gen. Bus. Posting Group"/>
    <tableColumn id="9" xr3:uid="{00000000-0010-0000-0000-000009000000}" name="Gen. Prod. Posting Group"/>
    <tableColumn id="10" xr3:uid="{00000000-0010-0000-0000-00000A000000}" name="Pc Code"/>
    <tableColumn id="11" xr3:uid="{00000000-0010-0000-0000-00000B000000}" name="Dept Code"/>
    <tableColumn id="12" xr3:uid="{00000000-0010-0000-0000-00000C000000}" name="Quantity"/>
    <tableColumn id="13" xr3:uid="{00000000-0010-0000-0000-00000D000000}" name="Unit of Measure Code"/>
    <tableColumn id="14" xr3:uid="{00000000-0010-0000-0000-00000E000000}" name="Unit Price Excl. Tax"/>
    <tableColumn id="15" xr3:uid="{00000000-0010-0000-0000-00000F000000}" name="Amount"/>
    <tableColumn id="16" xr3:uid="{00000000-0010-0000-0000-000010000000}" name="Amount Including Tax"/>
    <tableColumn id="17" xr3:uid="{00000000-0010-0000-0000-000011000000}" name="Line Discount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A2B4E74-DDC0-4E17-B471-BBD41582BF73}" name="CombinedInvoiceLines" displayName="CombinedInvoiceLines" ref="A1:I1891" totalsRowShown="0">
  <autoFilter ref="A1:I1891" xr:uid="{EA2B4E74-DDC0-4E17-B471-BBD41582BF73}"/>
  <tableColumns count="9">
    <tableColumn id="1" xr3:uid="{545DACE1-DD69-4AAB-875A-8E37C185B8E5}" name="Document No." dataDxfId="8">
      <calculatedColumnFormula>'Posted Sales Invoice Lines'!A2</calculatedColumnFormula>
    </tableColumn>
    <tableColumn id="2" xr3:uid="{442FCF46-F2C7-4C52-AB4C-FF424558B435}" name="Sell-to Customer No." dataDxfId="7">
      <calculatedColumnFormula>'Posted Sales Invoice Lines'!B2</calculatedColumnFormula>
    </tableColumn>
    <tableColumn id="3" xr3:uid="{1F2040AB-F2D8-4B47-A3A7-455420E1390B}" name="Sell-to Customer Name" dataDxfId="6">
      <calculatedColumnFormula>'Posted Sales Invoice Lines'!C2</calculatedColumnFormula>
    </tableColumn>
    <tableColumn id="4" xr3:uid="{2EE705CF-4E62-4EF0-9C63-42BF7788D0DD}" name="No." dataDxfId="5">
      <calculatedColumnFormula>'Posted Sales Invoice Lines'!E2</calculatedColumnFormula>
    </tableColumn>
    <tableColumn id="5" xr3:uid="{CFF52961-C230-492E-B967-DDE04EA11174}" name="Description" dataDxfId="4">
      <calculatedColumnFormula>'Posted Sales Invoice Lines'!F2</calculatedColumnFormula>
    </tableColumn>
    <tableColumn id="6" xr3:uid="{344D41C3-1A94-4166-8D69-6154E1F80E90}" name="Posting Date" dataDxfId="3">
      <calculatedColumnFormula>'Posted Sales Invoice Lines'!G2</calculatedColumnFormula>
    </tableColumn>
    <tableColumn id="7" xr3:uid="{823D1D6D-ED38-4C5F-B7CB-0CFA973D291F}" name="Quantity" dataDxfId="2">
      <calculatedColumnFormula>'Posted Sales Invoice Lines'!L2</calculatedColumnFormula>
    </tableColumn>
    <tableColumn id="8" xr3:uid="{E6B5DEC1-A35F-4D4E-A483-B9AD31F18736}" name="Unit Price Excl. Tax" dataDxfId="1">
      <calculatedColumnFormula>'Posted Sales Invoice Lines'!N2</calculatedColumnFormula>
    </tableColumn>
    <tableColumn id="9" xr3:uid="{505AE94A-BE93-455F-BD6F-756B55924903}" name="Amount" dataDxfId="0">
      <calculatedColumnFormula>'Posted Sales Invoice Lines'!O2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1B52C0-2FED-409A-B81E-ED851BA49003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433bef55-52ea-48a8-ae44-105b104ff13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1430-102D-4DFD-AB2A-358530DC82AB}">
  <dimension ref="A1:N325"/>
  <sheetViews>
    <sheetView workbookViewId="0">
      <pane ySplit="1" topLeftCell="A2" activePane="bottomLeft" state="frozen"/>
      <selection pane="bottomLeft" activeCell="P13" sqref="P13"/>
    </sheetView>
  </sheetViews>
  <sheetFormatPr defaultRowHeight="15" x14ac:dyDescent="0.25"/>
  <cols>
    <col min="1" max="1" width="5.85546875" bestFit="1" customWidth="1"/>
    <col min="2" max="2" width="14.85546875" bestFit="1" customWidth="1"/>
    <col min="3" max="3" width="17" bestFit="1" customWidth="1"/>
    <col min="4" max="4" width="13.85546875" bestFit="1" customWidth="1"/>
    <col min="5" max="5" width="11.42578125" bestFit="1" customWidth="1"/>
    <col min="6" max="6" width="9.85546875" bestFit="1" customWidth="1"/>
    <col min="7" max="7" width="15.140625" bestFit="1" customWidth="1"/>
    <col min="8" max="8" width="12.7109375" bestFit="1" customWidth="1"/>
    <col min="9" max="9" width="14.5703125" bestFit="1" customWidth="1"/>
    <col min="10" max="10" width="24.42578125" bestFit="1" customWidth="1"/>
    <col min="11" max="11" width="21" bestFit="1" customWidth="1"/>
    <col min="12" max="12" width="8.5703125" bestFit="1" customWidth="1"/>
    <col min="13" max="13" width="10.7109375" bestFit="1" customWidth="1"/>
    <col min="14" max="14" width="11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3">
        <v>46197</v>
      </c>
      <c r="E2" s="2" t="s">
        <v>17</v>
      </c>
      <c r="F2" s="4">
        <v>31928.400000000001</v>
      </c>
      <c r="G2" s="2" t="s">
        <v>18</v>
      </c>
      <c r="H2" s="5">
        <v>1</v>
      </c>
      <c r="I2" s="3">
        <v>46197</v>
      </c>
      <c r="J2" s="3">
        <v>46197</v>
      </c>
      <c r="K2" s="2" t="s">
        <v>19</v>
      </c>
      <c r="L2" s="5" t="b">
        <f>FALSE()</f>
        <v>0</v>
      </c>
      <c r="M2" s="5" t="b">
        <f>FALSE()</f>
        <v>0</v>
      </c>
      <c r="N2" s="5" t="b">
        <f>FALSE()</f>
        <v>0</v>
      </c>
    </row>
    <row r="3" spans="1:14" x14ac:dyDescent="0.25">
      <c r="A3" s="2" t="s">
        <v>20</v>
      </c>
      <c r="B3" s="2" t="s">
        <v>21</v>
      </c>
      <c r="C3" s="2" t="s">
        <v>22</v>
      </c>
      <c r="D3" s="3">
        <v>46197</v>
      </c>
      <c r="E3" s="2" t="s">
        <v>23</v>
      </c>
      <c r="F3" s="4">
        <v>24442.84</v>
      </c>
      <c r="G3" s="2" t="s">
        <v>18</v>
      </c>
      <c r="H3" s="5">
        <v>2</v>
      </c>
      <c r="I3" s="3">
        <v>46197</v>
      </c>
      <c r="J3" s="3">
        <v>46197</v>
      </c>
      <c r="K3" s="2" t="s">
        <v>19</v>
      </c>
      <c r="L3" s="5" t="b">
        <f>FALSE()</f>
        <v>0</v>
      </c>
      <c r="M3" s="5" t="b">
        <f>FALSE()</f>
        <v>0</v>
      </c>
      <c r="N3" s="5" t="b">
        <f>FALSE()</f>
        <v>0</v>
      </c>
    </row>
    <row r="4" spans="1:14" x14ac:dyDescent="0.25">
      <c r="A4" s="2" t="s">
        <v>24</v>
      </c>
      <c r="B4" s="2" t="s">
        <v>25</v>
      </c>
      <c r="C4" s="2" t="s">
        <v>26</v>
      </c>
      <c r="D4" s="3">
        <v>46197</v>
      </c>
      <c r="E4" s="2" t="s">
        <v>27</v>
      </c>
      <c r="F4" s="4">
        <v>6665</v>
      </c>
      <c r="G4" s="2" t="s">
        <v>18</v>
      </c>
      <c r="H4" s="5">
        <v>2</v>
      </c>
      <c r="I4" s="3">
        <v>46197</v>
      </c>
      <c r="J4" s="3">
        <v>46197</v>
      </c>
      <c r="K4" s="2" t="s">
        <v>19</v>
      </c>
      <c r="L4" s="5" t="b">
        <f>FALSE()</f>
        <v>0</v>
      </c>
      <c r="M4" s="5" t="b">
        <f>FALSE()</f>
        <v>0</v>
      </c>
      <c r="N4" s="5" t="b">
        <f>FALSE()</f>
        <v>0</v>
      </c>
    </row>
    <row r="5" spans="1:14" x14ac:dyDescent="0.25">
      <c r="A5" s="2" t="s">
        <v>28</v>
      </c>
      <c r="B5" s="2" t="s">
        <v>29</v>
      </c>
      <c r="C5" s="2" t="s">
        <v>30</v>
      </c>
      <c r="D5" s="3">
        <v>46196</v>
      </c>
      <c r="E5" s="2" t="s">
        <v>31</v>
      </c>
      <c r="F5" s="4">
        <v>22383.16</v>
      </c>
      <c r="G5" s="2" t="s">
        <v>18</v>
      </c>
      <c r="H5" s="5">
        <v>0</v>
      </c>
      <c r="I5" s="3">
        <v>46196</v>
      </c>
      <c r="J5" s="3">
        <v>46196</v>
      </c>
      <c r="K5" s="2" t="s">
        <v>19</v>
      </c>
      <c r="L5" s="5" t="b">
        <f>FALSE()</f>
        <v>0</v>
      </c>
      <c r="M5" s="5" t="b">
        <f>FALSE()</f>
        <v>0</v>
      </c>
      <c r="N5" s="5" t="b">
        <f>FALSE()</f>
        <v>0</v>
      </c>
    </row>
    <row r="6" spans="1:14" x14ac:dyDescent="0.25">
      <c r="A6" s="2" t="s">
        <v>32</v>
      </c>
      <c r="B6" s="2" t="s">
        <v>33</v>
      </c>
      <c r="C6" s="2" t="s">
        <v>34</v>
      </c>
      <c r="D6" s="3">
        <v>46196</v>
      </c>
      <c r="E6" s="2" t="s">
        <v>35</v>
      </c>
      <c r="F6" s="4">
        <v>30238.48</v>
      </c>
      <c r="G6" s="2" t="s">
        <v>18</v>
      </c>
      <c r="H6" s="5">
        <v>0</v>
      </c>
      <c r="I6" s="3">
        <v>46196</v>
      </c>
      <c r="J6" s="3">
        <v>46196</v>
      </c>
      <c r="K6" s="2" t="s">
        <v>19</v>
      </c>
      <c r="L6" s="5" t="b">
        <f>FALSE()</f>
        <v>0</v>
      </c>
      <c r="M6" s="5" t="b">
        <f>FALSE()</f>
        <v>0</v>
      </c>
      <c r="N6" s="5" t="b">
        <f>FALSE()</f>
        <v>0</v>
      </c>
    </row>
    <row r="7" spans="1:14" x14ac:dyDescent="0.25">
      <c r="A7" s="2" t="s">
        <v>36</v>
      </c>
      <c r="B7" s="2" t="s">
        <v>37</v>
      </c>
      <c r="C7" s="2" t="s">
        <v>38</v>
      </c>
      <c r="D7" s="3">
        <v>46196</v>
      </c>
      <c r="E7" s="2" t="s">
        <v>39</v>
      </c>
      <c r="F7" s="4">
        <v>21862.400000000001</v>
      </c>
      <c r="G7" s="2" t="s">
        <v>18</v>
      </c>
      <c r="H7" s="5">
        <v>0</v>
      </c>
      <c r="I7" s="3">
        <v>46196</v>
      </c>
      <c r="J7" s="3">
        <v>46196</v>
      </c>
      <c r="K7" s="2" t="s">
        <v>19</v>
      </c>
      <c r="L7" s="5" t="b">
        <f>FALSE()</f>
        <v>0</v>
      </c>
      <c r="M7" s="5" t="b">
        <f>FALSE()</f>
        <v>0</v>
      </c>
      <c r="N7" s="5" t="b">
        <f>FALSE()</f>
        <v>0</v>
      </c>
    </row>
    <row r="8" spans="1:14" x14ac:dyDescent="0.25">
      <c r="A8" s="2" t="s">
        <v>40</v>
      </c>
      <c r="B8" s="2" t="s">
        <v>41</v>
      </c>
      <c r="C8" s="2" t="s">
        <v>42</v>
      </c>
      <c r="D8" s="3">
        <v>46195</v>
      </c>
      <c r="E8" s="2" t="s">
        <v>43</v>
      </c>
      <c r="F8" s="4">
        <v>27636.68</v>
      </c>
      <c r="G8" s="2" t="s">
        <v>18</v>
      </c>
      <c r="H8" s="5">
        <v>2</v>
      </c>
      <c r="I8" s="3">
        <v>46195</v>
      </c>
      <c r="J8" s="3">
        <v>46195</v>
      </c>
      <c r="K8" s="2" t="s">
        <v>19</v>
      </c>
      <c r="L8" s="5" t="b">
        <f>FALSE()</f>
        <v>0</v>
      </c>
      <c r="M8" s="5" t="b">
        <f>FALSE()</f>
        <v>0</v>
      </c>
      <c r="N8" s="5" t="b">
        <f>FALSE()</f>
        <v>0</v>
      </c>
    </row>
    <row r="9" spans="1:14" x14ac:dyDescent="0.25">
      <c r="A9" s="2" t="s">
        <v>44</v>
      </c>
      <c r="B9" s="2" t="s">
        <v>45</v>
      </c>
      <c r="C9" s="2" t="s">
        <v>46</v>
      </c>
      <c r="D9" s="3">
        <v>46195</v>
      </c>
      <c r="E9" s="2" t="s">
        <v>47</v>
      </c>
      <c r="F9" s="4">
        <v>30466.240000000002</v>
      </c>
      <c r="G9" s="2" t="s">
        <v>18</v>
      </c>
      <c r="H9" s="5">
        <v>2</v>
      </c>
      <c r="I9" s="3">
        <v>46195</v>
      </c>
      <c r="J9" s="3">
        <v>46195</v>
      </c>
      <c r="K9" s="2" t="s">
        <v>19</v>
      </c>
      <c r="L9" s="5" t="b">
        <f>FALSE()</f>
        <v>0</v>
      </c>
      <c r="M9" s="5" t="b">
        <f>FALSE()</f>
        <v>0</v>
      </c>
      <c r="N9" s="5" t="b">
        <f>FALSE()</f>
        <v>0</v>
      </c>
    </row>
    <row r="10" spans="1:14" x14ac:dyDescent="0.25">
      <c r="A10" s="2" t="s">
        <v>48</v>
      </c>
      <c r="B10" s="2" t="s">
        <v>49</v>
      </c>
      <c r="C10" s="2" t="s">
        <v>50</v>
      </c>
      <c r="D10" s="3">
        <v>46195</v>
      </c>
      <c r="E10" s="2" t="s">
        <v>51</v>
      </c>
      <c r="F10" s="4">
        <v>2229</v>
      </c>
      <c r="G10" s="2" t="s">
        <v>18</v>
      </c>
      <c r="H10" s="5">
        <v>1</v>
      </c>
      <c r="I10" s="3">
        <v>46195</v>
      </c>
      <c r="J10" s="3">
        <v>46195</v>
      </c>
      <c r="K10" s="2" t="s">
        <v>19</v>
      </c>
      <c r="L10" s="5" t="b">
        <f>FALSE()</f>
        <v>0</v>
      </c>
      <c r="M10" s="5" t="b">
        <f>FALSE()</f>
        <v>0</v>
      </c>
      <c r="N10" s="5" t="b">
        <f>FALSE()</f>
        <v>0</v>
      </c>
    </row>
    <row r="11" spans="1:14" x14ac:dyDescent="0.25">
      <c r="A11" s="2" t="s">
        <v>52</v>
      </c>
      <c r="B11" s="2" t="s">
        <v>21</v>
      </c>
      <c r="C11" s="2" t="s">
        <v>22</v>
      </c>
      <c r="D11" s="3">
        <v>46191</v>
      </c>
      <c r="E11" s="2" t="s">
        <v>53</v>
      </c>
      <c r="F11" s="4">
        <v>29305.64</v>
      </c>
      <c r="G11" s="2" t="s">
        <v>18</v>
      </c>
      <c r="H11" s="5">
        <v>0</v>
      </c>
      <c r="I11" s="3">
        <v>46191</v>
      </c>
      <c r="J11" s="3">
        <v>46191</v>
      </c>
      <c r="K11" s="2" t="s">
        <v>19</v>
      </c>
      <c r="L11" s="5" t="b">
        <f>FALSE()</f>
        <v>0</v>
      </c>
      <c r="M11" s="5" t="b">
        <f>FALSE()</f>
        <v>0</v>
      </c>
      <c r="N11" s="5" t="b">
        <f>FALSE()</f>
        <v>0</v>
      </c>
    </row>
    <row r="12" spans="1:14" x14ac:dyDescent="0.25">
      <c r="A12" s="2" t="s">
        <v>54</v>
      </c>
      <c r="B12" s="2" t="s">
        <v>55</v>
      </c>
      <c r="C12" s="2" t="s">
        <v>56</v>
      </c>
      <c r="D12" s="3">
        <v>46191</v>
      </c>
      <c r="E12" s="2" t="s">
        <v>57</v>
      </c>
      <c r="F12" s="4">
        <v>21388.799999999999</v>
      </c>
      <c r="G12" s="2" t="s">
        <v>18</v>
      </c>
      <c r="H12" s="5">
        <v>0</v>
      </c>
      <c r="I12" s="3">
        <v>46191</v>
      </c>
      <c r="J12" s="3">
        <v>46191</v>
      </c>
      <c r="K12" s="2" t="s">
        <v>19</v>
      </c>
      <c r="L12" s="5" t="b">
        <f>FALSE()</f>
        <v>0</v>
      </c>
      <c r="M12" s="5" t="b">
        <f>FALSE()</f>
        <v>0</v>
      </c>
      <c r="N12" s="5" t="b">
        <f>FALSE()</f>
        <v>0</v>
      </c>
    </row>
    <row r="13" spans="1:14" x14ac:dyDescent="0.25">
      <c r="A13" s="2" t="s">
        <v>58</v>
      </c>
      <c r="B13" s="2" t="s">
        <v>59</v>
      </c>
      <c r="C13" s="2" t="s">
        <v>60</v>
      </c>
      <c r="D13" s="3">
        <v>46191</v>
      </c>
      <c r="E13" s="2" t="s">
        <v>61</v>
      </c>
      <c r="F13" s="4">
        <v>30204.240000000002</v>
      </c>
      <c r="G13" s="2" t="s">
        <v>18</v>
      </c>
      <c r="H13" s="5">
        <v>0</v>
      </c>
      <c r="I13" s="3">
        <v>46191</v>
      </c>
      <c r="J13" s="3">
        <v>46191</v>
      </c>
      <c r="K13" s="2" t="s">
        <v>19</v>
      </c>
      <c r="L13" s="5" t="b">
        <f>FALSE()</f>
        <v>0</v>
      </c>
      <c r="M13" s="5" t="b">
        <f>FALSE()</f>
        <v>0</v>
      </c>
      <c r="N13" s="5" t="b">
        <f>FALSE()</f>
        <v>0</v>
      </c>
    </row>
    <row r="14" spans="1:14" x14ac:dyDescent="0.25">
      <c r="A14" s="2" t="s">
        <v>62</v>
      </c>
      <c r="B14" s="2" t="s">
        <v>29</v>
      </c>
      <c r="C14" s="2" t="s">
        <v>30</v>
      </c>
      <c r="D14" s="3">
        <v>46191</v>
      </c>
      <c r="E14" s="2" t="s">
        <v>63</v>
      </c>
      <c r="F14" s="4">
        <v>17434.8</v>
      </c>
      <c r="G14" s="2" t="s">
        <v>18</v>
      </c>
      <c r="H14" s="5">
        <v>0</v>
      </c>
      <c r="I14" s="3">
        <v>46191</v>
      </c>
      <c r="J14" s="3">
        <v>46191</v>
      </c>
      <c r="K14" s="2" t="s">
        <v>19</v>
      </c>
      <c r="L14" s="5" t="b">
        <f>FALSE()</f>
        <v>0</v>
      </c>
      <c r="M14" s="5" t="b">
        <f>FALSE()</f>
        <v>0</v>
      </c>
      <c r="N14" s="5" t="b">
        <f>FALSE()</f>
        <v>0</v>
      </c>
    </row>
    <row r="15" spans="1:14" x14ac:dyDescent="0.25">
      <c r="A15" s="2" t="s">
        <v>64</v>
      </c>
      <c r="B15" s="2" t="s">
        <v>65</v>
      </c>
      <c r="C15" s="2" t="s">
        <v>66</v>
      </c>
      <c r="D15" s="3">
        <v>46191</v>
      </c>
      <c r="E15" s="2" t="s">
        <v>67</v>
      </c>
      <c r="F15" s="4">
        <v>33283.199999999997</v>
      </c>
      <c r="G15" s="2" t="s">
        <v>18</v>
      </c>
      <c r="H15" s="5">
        <v>0</v>
      </c>
      <c r="I15" s="3">
        <v>46191</v>
      </c>
      <c r="J15" s="3">
        <v>46191</v>
      </c>
      <c r="K15" s="2" t="s">
        <v>19</v>
      </c>
      <c r="L15" s="5" t="b">
        <f>FALSE()</f>
        <v>0</v>
      </c>
      <c r="M15" s="5" t="b">
        <f>FALSE()</f>
        <v>0</v>
      </c>
      <c r="N15" s="5" t="b">
        <f>FALSE()</f>
        <v>0</v>
      </c>
    </row>
    <row r="16" spans="1:14" x14ac:dyDescent="0.25">
      <c r="A16" s="2" t="s">
        <v>68</v>
      </c>
      <c r="B16" s="2" t="s">
        <v>69</v>
      </c>
      <c r="C16" s="2" t="s">
        <v>70</v>
      </c>
      <c r="D16" s="3">
        <v>46190</v>
      </c>
      <c r="E16" s="2" t="s">
        <v>71</v>
      </c>
      <c r="F16" s="4">
        <v>4043.7</v>
      </c>
      <c r="G16" s="2" t="s">
        <v>18</v>
      </c>
      <c r="H16" s="5">
        <v>1</v>
      </c>
      <c r="I16" s="3">
        <v>46190</v>
      </c>
      <c r="J16" s="3">
        <v>46190</v>
      </c>
      <c r="K16" s="2" t="s">
        <v>19</v>
      </c>
      <c r="L16" s="5" t="b">
        <f>FALSE()</f>
        <v>0</v>
      </c>
      <c r="M16" s="5" t="b">
        <f>FALSE()</f>
        <v>0</v>
      </c>
      <c r="N16" s="5" t="b">
        <f>FALSE()</f>
        <v>0</v>
      </c>
    </row>
    <row r="17" spans="1:14" x14ac:dyDescent="0.25">
      <c r="A17" s="2" t="s">
        <v>72</v>
      </c>
      <c r="B17" s="2" t="s">
        <v>73</v>
      </c>
      <c r="C17" s="2" t="s">
        <v>74</v>
      </c>
      <c r="D17" s="3">
        <v>46190</v>
      </c>
      <c r="E17" s="2" t="s">
        <v>75</v>
      </c>
      <c r="F17" s="4">
        <v>20860</v>
      </c>
      <c r="G17" s="2" t="s">
        <v>18</v>
      </c>
      <c r="H17" s="5">
        <v>4</v>
      </c>
      <c r="I17" s="3">
        <v>46190</v>
      </c>
      <c r="J17" s="3">
        <v>46190</v>
      </c>
      <c r="K17" s="2" t="s">
        <v>19</v>
      </c>
      <c r="L17" s="5" t="b">
        <f>FALSE()</f>
        <v>0</v>
      </c>
      <c r="M17" s="5" t="b">
        <f>FALSE()</f>
        <v>0</v>
      </c>
      <c r="N17" s="5" t="b">
        <f>FALSE()</f>
        <v>0</v>
      </c>
    </row>
    <row r="18" spans="1:14" x14ac:dyDescent="0.25">
      <c r="A18" s="2" t="s">
        <v>76</v>
      </c>
      <c r="B18" s="2" t="s">
        <v>77</v>
      </c>
      <c r="C18" s="2" t="s">
        <v>78</v>
      </c>
      <c r="D18" s="3">
        <v>46190</v>
      </c>
      <c r="E18" s="2" t="s">
        <v>79</v>
      </c>
      <c r="F18" s="4">
        <v>6720</v>
      </c>
      <c r="G18" s="2" t="s">
        <v>18</v>
      </c>
      <c r="H18" s="5">
        <v>1</v>
      </c>
      <c r="I18" s="3">
        <v>46190</v>
      </c>
      <c r="J18" s="3">
        <v>46190</v>
      </c>
      <c r="K18" s="2" t="s">
        <v>19</v>
      </c>
      <c r="L18" s="5" t="b">
        <f>FALSE()</f>
        <v>0</v>
      </c>
      <c r="M18" s="5" t="b">
        <f>FALSE()</f>
        <v>0</v>
      </c>
      <c r="N18" s="5" t="b">
        <f>FALSE()</f>
        <v>0</v>
      </c>
    </row>
    <row r="19" spans="1:14" x14ac:dyDescent="0.25">
      <c r="A19" s="2" t="s">
        <v>80</v>
      </c>
      <c r="B19" s="2" t="s">
        <v>81</v>
      </c>
      <c r="C19" s="2" t="s">
        <v>82</v>
      </c>
      <c r="D19" s="3">
        <v>46190</v>
      </c>
      <c r="E19" s="2" t="s">
        <v>83</v>
      </c>
      <c r="F19" s="4">
        <v>23856</v>
      </c>
      <c r="G19" s="2" t="s">
        <v>18</v>
      </c>
      <c r="H19" s="5">
        <v>2</v>
      </c>
      <c r="I19" s="3">
        <v>46190</v>
      </c>
      <c r="J19" s="3">
        <v>46190</v>
      </c>
      <c r="K19" s="2" t="s">
        <v>19</v>
      </c>
      <c r="L19" s="5" t="b">
        <f>FALSE()</f>
        <v>0</v>
      </c>
      <c r="M19" s="5" t="b">
        <f>FALSE()</f>
        <v>0</v>
      </c>
      <c r="N19" s="5" t="b">
        <f>FALSE()</f>
        <v>0</v>
      </c>
    </row>
    <row r="20" spans="1:14" x14ac:dyDescent="0.25">
      <c r="A20" s="2" t="s">
        <v>84</v>
      </c>
      <c r="B20" s="2" t="s">
        <v>55</v>
      </c>
      <c r="C20" s="2" t="s">
        <v>56</v>
      </c>
      <c r="D20" s="3">
        <v>46189</v>
      </c>
      <c r="E20" s="2" t="s">
        <v>85</v>
      </c>
      <c r="F20" s="4">
        <v>32083.200000000001</v>
      </c>
      <c r="G20" s="2" t="s">
        <v>18</v>
      </c>
      <c r="H20" s="5">
        <v>1</v>
      </c>
      <c r="I20" s="3">
        <v>46189</v>
      </c>
      <c r="J20" s="3">
        <v>46189</v>
      </c>
      <c r="K20" s="2" t="s">
        <v>19</v>
      </c>
      <c r="L20" s="5" t="b">
        <f>FALSE()</f>
        <v>0</v>
      </c>
      <c r="M20" s="5" t="b">
        <f>FALSE()</f>
        <v>0</v>
      </c>
      <c r="N20" s="5" t="b">
        <f>FALSE()</f>
        <v>0</v>
      </c>
    </row>
    <row r="21" spans="1:14" x14ac:dyDescent="0.25">
      <c r="A21" s="2" t="s">
        <v>86</v>
      </c>
      <c r="B21" s="2" t="s">
        <v>87</v>
      </c>
      <c r="C21" s="2" t="s">
        <v>88</v>
      </c>
      <c r="D21" s="3">
        <v>46189</v>
      </c>
      <c r="E21" s="2" t="s">
        <v>89</v>
      </c>
      <c r="F21" s="4">
        <v>33965.33</v>
      </c>
      <c r="G21" s="2" t="s">
        <v>18</v>
      </c>
      <c r="H21" s="5">
        <v>2</v>
      </c>
      <c r="I21" s="3">
        <v>46189</v>
      </c>
      <c r="J21" s="3">
        <v>46189</v>
      </c>
      <c r="K21" s="2" t="s">
        <v>19</v>
      </c>
      <c r="L21" s="5" t="b">
        <f>FALSE()</f>
        <v>0</v>
      </c>
      <c r="M21" s="5" t="b">
        <f>FALSE()</f>
        <v>0</v>
      </c>
      <c r="N21" s="5" t="b">
        <f>FALSE()</f>
        <v>0</v>
      </c>
    </row>
    <row r="22" spans="1:14" x14ac:dyDescent="0.25">
      <c r="A22" s="2" t="s">
        <v>90</v>
      </c>
      <c r="B22" s="2" t="s">
        <v>91</v>
      </c>
      <c r="C22" s="2" t="s">
        <v>92</v>
      </c>
      <c r="D22" s="3">
        <v>46188</v>
      </c>
      <c r="E22" s="2" t="s">
        <v>93</v>
      </c>
      <c r="F22" s="4">
        <v>16995.2</v>
      </c>
      <c r="G22" s="2" t="s">
        <v>18</v>
      </c>
      <c r="H22" s="5">
        <v>4</v>
      </c>
      <c r="I22" s="3">
        <v>46188</v>
      </c>
      <c r="J22" s="3">
        <v>46188</v>
      </c>
      <c r="K22" s="2" t="s">
        <v>19</v>
      </c>
      <c r="L22" s="5" t="b">
        <f>FALSE()</f>
        <v>0</v>
      </c>
      <c r="M22" s="5" t="b">
        <f>FALSE()</f>
        <v>0</v>
      </c>
      <c r="N22" s="5" t="b">
        <f>FALSE()</f>
        <v>0</v>
      </c>
    </row>
    <row r="23" spans="1:14" x14ac:dyDescent="0.25">
      <c r="A23" s="2" t="s">
        <v>94</v>
      </c>
      <c r="B23" s="2" t="s">
        <v>95</v>
      </c>
      <c r="C23" s="2" t="s">
        <v>96</v>
      </c>
      <c r="D23" s="3">
        <v>46188</v>
      </c>
      <c r="E23" s="2" t="s">
        <v>97</v>
      </c>
      <c r="F23" s="4">
        <v>29779.68</v>
      </c>
      <c r="G23" s="2" t="s">
        <v>18</v>
      </c>
      <c r="H23" s="5">
        <v>2</v>
      </c>
      <c r="I23" s="3">
        <v>46188</v>
      </c>
      <c r="J23" s="3">
        <v>46188</v>
      </c>
      <c r="K23" s="2" t="s">
        <v>19</v>
      </c>
      <c r="L23" s="5" t="b">
        <f>FALSE()</f>
        <v>0</v>
      </c>
      <c r="M23" s="5" t="b">
        <f>FALSE()</f>
        <v>0</v>
      </c>
      <c r="N23" s="5" t="b">
        <f>FALSE()</f>
        <v>0</v>
      </c>
    </row>
    <row r="24" spans="1:14" x14ac:dyDescent="0.25">
      <c r="A24" s="2" t="s">
        <v>98</v>
      </c>
      <c r="B24" s="2" t="s">
        <v>99</v>
      </c>
      <c r="C24" s="2" t="s">
        <v>100</v>
      </c>
      <c r="D24" s="3">
        <v>46185</v>
      </c>
      <c r="E24" s="2" t="s">
        <v>101</v>
      </c>
      <c r="F24" s="4">
        <v>33665.599999999999</v>
      </c>
      <c r="G24" s="2" t="s">
        <v>18</v>
      </c>
      <c r="H24" s="5">
        <v>1</v>
      </c>
      <c r="I24" s="3">
        <v>46185</v>
      </c>
      <c r="J24" s="3">
        <v>46185</v>
      </c>
      <c r="K24" s="2" t="s">
        <v>19</v>
      </c>
      <c r="L24" s="5" t="b">
        <f>FALSE()</f>
        <v>0</v>
      </c>
      <c r="M24" s="5" t="b">
        <f>FALSE()</f>
        <v>0</v>
      </c>
      <c r="N24" s="5" t="b">
        <f>FALSE()</f>
        <v>0</v>
      </c>
    </row>
    <row r="25" spans="1:14" x14ac:dyDescent="0.25">
      <c r="A25" s="2" t="s">
        <v>102</v>
      </c>
      <c r="B25" s="2" t="s">
        <v>103</v>
      </c>
      <c r="C25" s="2" t="s">
        <v>104</v>
      </c>
      <c r="D25" s="3">
        <v>46184</v>
      </c>
      <c r="E25" s="2" t="s">
        <v>105</v>
      </c>
      <c r="F25" s="4">
        <v>18179.439999999999</v>
      </c>
      <c r="G25" s="2" t="s">
        <v>18</v>
      </c>
      <c r="H25" s="5">
        <v>2</v>
      </c>
      <c r="I25" s="3">
        <v>46184</v>
      </c>
      <c r="J25" s="3">
        <v>46184</v>
      </c>
      <c r="K25" s="2" t="s">
        <v>19</v>
      </c>
      <c r="L25" s="5" t="b">
        <f>FALSE()</f>
        <v>0</v>
      </c>
      <c r="M25" s="5" t="b">
        <f>FALSE()</f>
        <v>0</v>
      </c>
      <c r="N25" s="5" t="b">
        <f>FALSE()</f>
        <v>0</v>
      </c>
    </row>
    <row r="26" spans="1:14" x14ac:dyDescent="0.25">
      <c r="A26" s="2" t="s">
        <v>106</v>
      </c>
      <c r="B26" s="2" t="s">
        <v>29</v>
      </c>
      <c r="C26" s="2" t="s">
        <v>30</v>
      </c>
      <c r="D26" s="3">
        <v>46184</v>
      </c>
      <c r="E26" s="2" t="s">
        <v>107</v>
      </c>
      <c r="F26" s="4">
        <v>23097.8</v>
      </c>
      <c r="G26" s="2" t="s">
        <v>18</v>
      </c>
      <c r="H26" s="5">
        <v>1</v>
      </c>
      <c r="I26" s="3">
        <v>46184</v>
      </c>
      <c r="J26" s="3">
        <v>46184</v>
      </c>
      <c r="K26" s="2" t="s">
        <v>19</v>
      </c>
      <c r="L26" s="5" t="b">
        <f>FALSE()</f>
        <v>0</v>
      </c>
      <c r="M26" s="5" t="b">
        <f>FALSE()</f>
        <v>0</v>
      </c>
      <c r="N26" s="5" t="b">
        <f>FALSE()</f>
        <v>0</v>
      </c>
    </row>
    <row r="27" spans="1:14" x14ac:dyDescent="0.25">
      <c r="A27" s="2" t="s">
        <v>108</v>
      </c>
      <c r="B27" s="2" t="s">
        <v>25</v>
      </c>
      <c r="C27" s="2" t="s">
        <v>26</v>
      </c>
      <c r="D27" s="3">
        <v>46184</v>
      </c>
      <c r="E27" s="2" t="s">
        <v>109</v>
      </c>
      <c r="F27" s="4">
        <v>6940</v>
      </c>
      <c r="G27" s="2" t="s">
        <v>18</v>
      </c>
      <c r="H27" s="5">
        <v>2</v>
      </c>
      <c r="I27" s="3">
        <v>46184</v>
      </c>
      <c r="J27" s="3">
        <v>46184</v>
      </c>
      <c r="K27" s="2" t="s">
        <v>19</v>
      </c>
      <c r="L27" s="5" t="b">
        <f>FALSE()</f>
        <v>0</v>
      </c>
      <c r="M27" s="5" t="b">
        <f>FALSE()</f>
        <v>0</v>
      </c>
      <c r="N27" s="5" t="b">
        <f>FALSE()</f>
        <v>0</v>
      </c>
    </row>
    <row r="28" spans="1:14" x14ac:dyDescent="0.25">
      <c r="A28" s="2" t="s">
        <v>110</v>
      </c>
      <c r="B28" s="2" t="s">
        <v>55</v>
      </c>
      <c r="C28" s="2" t="s">
        <v>56</v>
      </c>
      <c r="D28" s="3">
        <v>46184</v>
      </c>
      <c r="E28" s="2" t="s">
        <v>111</v>
      </c>
      <c r="F28" s="4">
        <v>32083.200000000001</v>
      </c>
      <c r="G28" s="2" t="s">
        <v>18</v>
      </c>
      <c r="H28" s="5">
        <v>1</v>
      </c>
      <c r="I28" s="3">
        <v>46184</v>
      </c>
      <c r="J28" s="3">
        <v>46184</v>
      </c>
      <c r="K28" s="2" t="s">
        <v>19</v>
      </c>
      <c r="L28" s="5" t="b">
        <f>FALSE()</f>
        <v>0</v>
      </c>
      <c r="M28" s="5" t="b">
        <f>FALSE()</f>
        <v>0</v>
      </c>
      <c r="N28" s="5" t="b">
        <f>FALSE()</f>
        <v>0</v>
      </c>
    </row>
    <row r="29" spans="1:14" x14ac:dyDescent="0.25">
      <c r="A29" s="2" t="s">
        <v>112</v>
      </c>
      <c r="B29" s="2" t="s">
        <v>69</v>
      </c>
      <c r="C29" s="2" t="s">
        <v>70</v>
      </c>
      <c r="D29" s="3">
        <v>46183</v>
      </c>
      <c r="E29" s="2" t="s">
        <v>113</v>
      </c>
      <c r="F29" s="4">
        <v>2276.8000000000002</v>
      </c>
      <c r="G29" s="2" t="s">
        <v>18</v>
      </c>
      <c r="H29" s="5">
        <v>1</v>
      </c>
      <c r="I29" s="3">
        <v>46183</v>
      </c>
      <c r="J29" s="3">
        <v>46183</v>
      </c>
      <c r="K29" s="2" t="s">
        <v>19</v>
      </c>
      <c r="L29" s="5" t="b">
        <f>FALSE()</f>
        <v>0</v>
      </c>
      <c r="M29" s="5" t="b">
        <f>FALSE()</f>
        <v>0</v>
      </c>
      <c r="N29" s="5" t="b">
        <f>FALSE()</f>
        <v>0</v>
      </c>
    </row>
    <row r="30" spans="1:14" x14ac:dyDescent="0.25">
      <c r="A30" s="2" t="s">
        <v>114</v>
      </c>
      <c r="B30" s="2" t="s">
        <v>21</v>
      </c>
      <c r="C30" s="2" t="s">
        <v>22</v>
      </c>
      <c r="D30" s="3">
        <v>46183</v>
      </c>
      <c r="E30" s="2" t="s">
        <v>115</v>
      </c>
      <c r="F30" s="4">
        <v>22521.4</v>
      </c>
      <c r="G30" s="2" t="s">
        <v>18</v>
      </c>
      <c r="H30" s="5">
        <v>2</v>
      </c>
      <c r="I30" s="3">
        <v>46183</v>
      </c>
      <c r="J30" s="3">
        <v>46183</v>
      </c>
      <c r="K30" s="2" t="s">
        <v>19</v>
      </c>
      <c r="L30" s="5" t="b">
        <f>FALSE()</f>
        <v>0</v>
      </c>
      <c r="M30" s="5" t="b">
        <f>FALSE()</f>
        <v>0</v>
      </c>
      <c r="N30" s="5" t="b">
        <f>FALSE()</f>
        <v>0</v>
      </c>
    </row>
    <row r="31" spans="1:14" x14ac:dyDescent="0.25">
      <c r="A31" s="2" t="s">
        <v>116</v>
      </c>
      <c r="B31" s="2" t="s">
        <v>41</v>
      </c>
      <c r="C31" s="2" t="s">
        <v>42</v>
      </c>
      <c r="D31" s="3">
        <v>46183</v>
      </c>
      <c r="E31" s="2" t="s">
        <v>117</v>
      </c>
      <c r="F31" s="4">
        <v>26113.599999999999</v>
      </c>
      <c r="G31" s="2" t="s">
        <v>18</v>
      </c>
      <c r="H31" s="5">
        <v>2</v>
      </c>
      <c r="I31" s="3">
        <v>46183</v>
      </c>
      <c r="J31" s="3">
        <v>46183</v>
      </c>
      <c r="K31" s="2" t="s">
        <v>19</v>
      </c>
      <c r="L31" s="5" t="b">
        <f>TRUE()</f>
        <v>1</v>
      </c>
      <c r="M31" s="5" t="b">
        <f>FALSE()</f>
        <v>0</v>
      </c>
      <c r="N31" s="5" t="b">
        <f>FALSE()</f>
        <v>0</v>
      </c>
    </row>
    <row r="32" spans="1:14" x14ac:dyDescent="0.25">
      <c r="A32" s="2" t="s">
        <v>118</v>
      </c>
      <c r="B32" s="2" t="s">
        <v>119</v>
      </c>
      <c r="C32" s="2" t="s">
        <v>120</v>
      </c>
      <c r="D32" s="3">
        <v>46183</v>
      </c>
      <c r="E32" s="2" t="s">
        <v>121</v>
      </c>
      <c r="F32" s="4">
        <v>12979.44</v>
      </c>
      <c r="G32" s="2" t="s">
        <v>18</v>
      </c>
      <c r="H32" s="5">
        <v>2</v>
      </c>
      <c r="I32" s="3">
        <v>46183</v>
      </c>
      <c r="J32" s="3">
        <v>46183</v>
      </c>
      <c r="K32" s="2" t="s">
        <v>19</v>
      </c>
      <c r="L32" s="5" t="b">
        <f>FALSE()</f>
        <v>0</v>
      </c>
      <c r="M32" s="5" t="b">
        <f>FALSE()</f>
        <v>0</v>
      </c>
      <c r="N32" s="5" t="b">
        <f>FALSE()</f>
        <v>0</v>
      </c>
    </row>
    <row r="33" spans="1:14" x14ac:dyDescent="0.25">
      <c r="A33" s="2" t="s">
        <v>122</v>
      </c>
      <c r="B33" s="2" t="s">
        <v>123</v>
      </c>
      <c r="C33" s="2" t="s">
        <v>124</v>
      </c>
      <c r="D33" s="3">
        <v>46183</v>
      </c>
      <c r="E33" s="2" t="s">
        <v>125</v>
      </c>
      <c r="F33" s="4">
        <v>10694.6</v>
      </c>
      <c r="G33" s="2" t="s">
        <v>18</v>
      </c>
      <c r="H33" s="5">
        <v>1</v>
      </c>
      <c r="I33" s="3">
        <v>46183</v>
      </c>
      <c r="J33" s="3">
        <v>46183</v>
      </c>
      <c r="K33" s="2" t="s">
        <v>19</v>
      </c>
      <c r="L33" s="5" t="b">
        <f>FALSE()</f>
        <v>0</v>
      </c>
      <c r="M33" s="5" t="b">
        <f>FALSE()</f>
        <v>0</v>
      </c>
      <c r="N33" s="5" t="b">
        <f>FALSE()</f>
        <v>0</v>
      </c>
    </row>
    <row r="34" spans="1:14" x14ac:dyDescent="0.25">
      <c r="A34" s="2" t="s">
        <v>126</v>
      </c>
      <c r="B34" s="2" t="s">
        <v>81</v>
      </c>
      <c r="C34" s="2" t="s">
        <v>82</v>
      </c>
      <c r="D34" s="3">
        <v>46183</v>
      </c>
      <c r="E34" s="2" t="s">
        <v>127</v>
      </c>
      <c r="F34" s="4">
        <v>24920</v>
      </c>
      <c r="G34" s="2" t="s">
        <v>18</v>
      </c>
      <c r="H34" s="5">
        <v>2</v>
      </c>
      <c r="I34" s="3">
        <v>46183</v>
      </c>
      <c r="J34" s="3">
        <v>46183</v>
      </c>
      <c r="K34" s="2" t="s">
        <v>19</v>
      </c>
      <c r="L34" s="5" t="b">
        <f>FALSE()</f>
        <v>0</v>
      </c>
      <c r="M34" s="5" t="b">
        <f>FALSE()</f>
        <v>0</v>
      </c>
      <c r="N34" s="5" t="b">
        <f>FALSE()</f>
        <v>0</v>
      </c>
    </row>
    <row r="35" spans="1:14" x14ac:dyDescent="0.25">
      <c r="A35" s="2" t="s">
        <v>128</v>
      </c>
      <c r="B35" s="2" t="s">
        <v>55</v>
      </c>
      <c r="C35" s="2" t="s">
        <v>56</v>
      </c>
      <c r="D35" s="3">
        <v>46182</v>
      </c>
      <c r="E35" s="2" t="s">
        <v>129</v>
      </c>
      <c r="F35" s="4">
        <v>17111.04</v>
      </c>
      <c r="G35" s="2" t="s">
        <v>18</v>
      </c>
      <c r="H35" s="5">
        <v>1</v>
      </c>
      <c r="I35" s="3">
        <v>46182</v>
      </c>
      <c r="J35" s="3">
        <v>46182</v>
      </c>
      <c r="K35" s="2" t="s">
        <v>19</v>
      </c>
      <c r="L35" s="5" t="b">
        <f>FALSE()</f>
        <v>0</v>
      </c>
      <c r="M35" s="5" t="b">
        <f>FALSE()</f>
        <v>0</v>
      </c>
      <c r="N35" s="5" t="b">
        <f>FALSE()</f>
        <v>0</v>
      </c>
    </row>
    <row r="36" spans="1:14" x14ac:dyDescent="0.25">
      <c r="A36" s="2" t="s">
        <v>130</v>
      </c>
      <c r="B36" s="2" t="s">
        <v>99</v>
      </c>
      <c r="C36" s="2" t="s">
        <v>100</v>
      </c>
      <c r="D36" s="3">
        <v>46182</v>
      </c>
      <c r="E36" s="2" t="s">
        <v>131</v>
      </c>
      <c r="F36" s="4">
        <v>31873.439999999999</v>
      </c>
      <c r="G36" s="2" t="s">
        <v>18</v>
      </c>
      <c r="H36" s="5">
        <v>1</v>
      </c>
      <c r="I36" s="3">
        <v>46182</v>
      </c>
      <c r="J36" s="3">
        <v>46182</v>
      </c>
      <c r="K36" s="2" t="s">
        <v>19</v>
      </c>
      <c r="L36" s="5" t="b">
        <f>FALSE()</f>
        <v>0</v>
      </c>
      <c r="M36" s="5" t="b">
        <f>FALSE()</f>
        <v>0</v>
      </c>
      <c r="N36" s="5" t="b">
        <f>FALSE()</f>
        <v>0</v>
      </c>
    </row>
    <row r="37" spans="1:14" x14ac:dyDescent="0.25">
      <c r="A37" s="2" t="s">
        <v>132</v>
      </c>
      <c r="B37" s="2" t="s">
        <v>45</v>
      </c>
      <c r="C37" s="2" t="s">
        <v>46</v>
      </c>
      <c r="D37" s="3">
        <v>46182</v>
      </c>
      <c r="E37" s="2" t="s">
        <v>133</v>
      </c>
      <c r="F37" s="4">
        <v>4545.12</v>
      </c>
      <c r="G37" s="2" t="s">
        <v>18</v>
      </c>
      <c r="H37" s="5">
        <v>2</v>
      </c>
      <c r="I37" s="3">
        <v>46182</v>
      </c>
      <c r="J37" s="3">
        <v>46182</v>
      </c>
      <c r="K37" s="2" t="s">
        <v>19</v>
      </c>
      <c r="L37" s="5" t="b">
        <f>FALSE()</f>
        <v>0</v>
      </c>
      <c r="M37" s="5" t="b">
        <f>FALSE()</f>
        <v>0</v>
      </c>
      <c r="N37" s="5" t="b">
        <f>FALSE()</f>
        <v>0</v>
      </c>
    </row>
    <row r="38" spans="1:14" x14ac:dyDescent="0.25">
      <c r="A38" s="2" t="s">
        <v>134</v>
      </c>
      <c r="B38" s="2" t="s">
        <v>135</v>
      </c>
      <c r="C38" s="2" t="s">
        <v>136</v>
      </c>
      <c r="D38" s="3">
        <v>46182</v>
      </c>
      <c r="E38" s="2" t="s">
        <v>137</v>
      </c>
      <c r="F38" s="4">
        <v>23098</v>
      </c>
      <c r="G38" s="2" t="s">
        <v>18</v>
      </c>
      <c r="H38" s="5">
        <v>3</v>
      </c>
      <c r="I38" s="3">
        <v>46182</v>
      </c>
      <c r="J38" s="3">
        <v>46182</v>
      </c>
      <c r="K38" s="2" t="s">
        <v>19</v>
      </c>
      <c r="L38" s="5" t="b">
        <f>FALSE()</f>
        <v>0</v>
      </c>
      <c r="M38" s="5" t="b">
        <f>FALSE()</f>
        <v>0</v>
      </c>
      <c r="N38" s="5" t="b">
        <f>FALSE()</f>
        <v>0</v>
      </c>
    </row>
    <row r="39" spans="1:14" x14ac:dyDescent="0.25">
      <c r="A39" s="2" t="s">
        <v>138</v>
      </c>
      <c r="B39" s="2" t="s">
        <v>139</v>
      </c>
      <c r="C39" s="2" t="s">
        <v>140</v>
      </c>
      <c r="D39" s="3">
        <v>46181</v>
      </c>
      <c r="E39" s="2" t="s">
        <v>141</v>
      </c>
      <c r="F39" s="4">
        <v>15686.28</v>
      </c>
      <c r="G39" s="2" t="s">
        <v>18</v>
      </c>
      <c r="H39" s="5">
        <v>2</v>
      </c>
      <c r="I39" s="3">
        <v>46181</v>
      </c>
      <c r="J39" s="3">
        <v>46181</v>
      </c>
      <c r="K39" s="2" t="s">
        <v>19</v>
      </c>
      <c r="L39" s="5" t="b">
        <f>FALSE()</f>
        <v>0</v>
      </c>
      <c r="M39" s="5" t="b">
        <f>FALSE()</f>
        <v>0</v>
      </c>
      <c r="N39" s="5" t="b">
        <f>FALSE()</f>
        <v>0</v>
      </c>
    </row>
    <row r="40" spans="1:14" x14ac:dyDescent="0.25">
      <c r="A40" s="2" t="s">
        <v>142</v>
      </c>
      <c r="B40" s="2" t="s">
        <v>29</v>
      </c>
      <c r="C40" s="2" t="s">
        <v>30</v>
      </c>
      <c r="D40" s="3">
        <v>46178</v>
      </c>
      <c r="E40" s="2" t="s">
        <v>143</v>
      </c>
      <c r="F40" s="4">
        <v>16114.8</v>
      </c>
      <c r="G40" s="2" t="s">
        <v>18</v>
      </c>
      <c r="H40" s="5">
        <v>1</v>
      </c>
      <c r="I40" s="3">
        <v>46178</v>
      </c>
      <c r="J40" s="3">
        <v>46178</v>
      </c>
      <c r="K40" s="2" t="s">
        <v>19</v>
      </c>
      <c r="L40" s="5" t="b">
        <f>FALSE()</f>
        <v>0</v>
      </c>
      <c r="M40" s="5" t="b">
        <f>FALSE()</f>
        <v>0</v>
      </c>
      <c r="N40" s="5" t="b">
        <f>FALSE()</f>
        <v>0</v>
      </c>
    </row>
    <row r="41" spans="1:14" x14ac:dyDescent="0.25">
      <c r="A41" s="2" t="s">
        <v>144</v>
      </c>
      <c r="B41" s="2" t="s">
        <v>145</v>
      </c>
      <c r="C41" s="2" t="s">
        <v>146</v>
      </c>
      <c r="D41" s="3">
        <v>46177</v>
      </c>
      <c r="E41" s="2" t="s">
        <v>147</v>
      </c>
      <c r="F41" s="4">
        <v>18447.599999999999</v>
      </c>
      <c r="G41" s="2" t="s">
        <v>18</v>
      </c>
      <c r="H41" s="5">
        <v>2</v>
      </c>
      <c r="I41" s="3">
        <v>46177</v>
      </c>
      <c r="J41" s="3">
        <v>46177</v>
      </c>
      <c r="K41" s="2" t="s">
        <v>19</v>
      </c>
      <c r="L41" s="5" t="b">
        <f>FALSE()</f>
        <v>0</v>
      </c>
      <c r="M41" s="5" t="b">
        <f>FALSE()</f>
        <v>0</v>
      </c>
      <c r="N41" s="5" t="b">
        <f>FALSE()</f>
        <v>0</v>
      </c>
    </row>
    <row r="42" spans="1:14" x14ac:dyDescent="0.25">
      <c r="A42" s="2" t="s">
        <v>148</v>
      </c>
      <c r="B42" s="2" t="s">
        <v>149</v>
      </c>
      <c r="C42" s="2" t="s">
        <v>150</v>
      </c>
      <c r="D42" s="3">
        <v>46176</v>
      </c>
      <c r="E42" s="2" t="s">
        <v>151</v>
      </c>
      <c r="F42" s="4">
        <v>17388</v>
      </c>
      <c r="G42" s="2" t="s">
        <v>18</v>
      </c>
      <c r="H42" s="5">
        <v>1</v>
      </c>
      <c r="I42" s="3">
        <v>46176</v>
      </c>
      <c r="J42" s="3">
        <v>46176</v>
      </c>
      <c r="K42" s="2" t="s">
        <v>19</v>
      </c>
      <c r="L42" s="5" t="b">
        <f>FALSE()</f>
        <v>0</v>
      </c>
      <c r="M42" s="5" t="b">
        <f>FALSE()</f>
        <v>0</v>
      </c>
      <c r="N42" s="5" t="b">
        <f>FALSE()</f>
        <v>0</v>
      </c>
    </row>
    <row r="43" spans="1:14" x14ac:dyDescent="0.25">
      <c r="A43" s="2" t="s">
        <v>152</v>
      </c>
      <c r="B43" s="2" t="s">
        <v>99</v>
      </c>
      <c r="C43" s="2" t="s">
        <v>100</v>
      </c>
      <c r="D43" s="3">
        <v>46176</v>
      </c>
      <c r="E43" s="2" t="s">
        <v>153</v>
      </c>
      <c r="F43" s="4">
        <v>32119.200000000001</v>
      </c>
      <c r="G43" s="2" t="s">
        <v>18</v>
      </c>
      <c r="H43" s="5">
        <v>1</v>
      </c>
      <c r="I43" s="3">
        <v>46176</v>
      </c>
      <c r="J43" s="3">
        <v>46176</v>
      </c>
      <c r="K43" s="2" t="s">
        <v>19</v>
      </c>
      <c r="L43" s="5" t="b">
        <f>FALSE()</f>
        <v>0</v>
      </c>
      <c r="M43" s="5" t="b">
        <f>FALSE()</f>
        <v>0</v>
      </c>
      <c r="N43" s="5" t="b">
        <f>FALSE()</f>
        <v>0</v>
      </c>
    </row>
    <row r="44" spans="1:14" x14ac:dyDescent="0.25">
      <c r="A44" s="2" t="s">
        <v>154</v>
      </c>
      <c r="B44" s="2" t="s">
        <v>81</v>
      </c>
      <c r="C44" s="2" t="s">
        <v>82</v>
      </c>
      <c r="D44" s="3">
        <v>46176</v>
      </c>
      <c r="E44" s="2" t="s">
        <v>155</v>
      </c>
      <c r="F44" s="4">
        <v>23856</v>
      </c>
      <c r="G44" s="2" t="s">
        <v>18</v>
      </c>
      <c r="H44" s="5">
        <v>2</v>
      </c>
      <c r="I44" s="3">
        <v>46177</v>
      </c>
      <c r="J44" s="3">
        <v>46177</v>
      </c>
      <c r="K44" s="2" t="s">
        <v>19</v>
      </c>
      <c r="L44" s="5" t="b">
        <f>FALSE()</f>
        <v>0</v>
      </c>
      <c r="M44" s="5" t="b">
        <f>FALSE()</f>
        <v>0</v>
      </c>
      <c r="N44" s="5" t="b">
        <f>FALSE()</f>
        <v>0</v>
      </c>
    </row>
    <row r="45" spans="1:14" x14ac:dyDescent="0.25">
      <c r="A45" s="2" t="s">
        <v>156</v>
      </c>
      <c r="B45" s="2" t="s">
        <v>55</v>
      </c>
      <c r="C45" s="2" t="s">
        <v>56</v>
      </c>
      <c r="D45" s="3">
        <v>46176</v>
      </c>
      <c r="E45" s="2" t="s">
        <v>157</v>
      </c>
      <c r="F45" s="4">
        <v>17111.04</v>
      </c>
      <c r="G45" s="2" t="s">
        <v>18</v>
      </c>
      <c r="H45" s="5">
        <v>1</v>
      </c>
      <c r="I45" s="3">
        <v>46176</v>
      </c>
      <c r="J45" s="3">
        <v>46176</v>
      </c>
      <c r="K45" s="2" t="s">
        <v>19</v>
      </c>
      <c r="L45" s="5" t="b">
        <f>FALSE()</f>
        <v>0</v>
      </c>
      <c r="M45" s="5" t="b">
        <f>FALSE()</f>
        <v>0</v>
      </c>
      <c r="N45" s="5" t="b">
        <f>FALSE()</f>
        <v>0</v>
      </c>
    </row>
    <row r="46" spans="1:14" x14ac:dyDescent="0.25">
      <c r="A46" s="2" t="s">
        <v>158</v>
      </c>
      <c r="B46" s="2" t="s">
        <v>37</v>
      </c>
      <c r="C46" s="2" t="s">
        <v>38</v>
      </c>
      <c r="D46" s="3">
        <v>46176</v>
      </c>
      <c r="E46" s="2" t="s">
        <v>159</v>
      </c>
      <c r="F46" s="4">
        <v>22016.400000000001</v>
      </c>
      <c r="G46" s="2" t="s">
        <v>18</v>
      </c>
      <c r="H46" s="5">
        <v>2</v>
      </c>
      <c r="I46" s="3">
        <v>46176</v>
      </c>
      <c r="J46" s="3">
        <v>46176</v>
      </c>
      <c r="K46" s="2" t="s">
        <v>19</v>
      </c>
      <c r="L46" s="5" t="b">
        <f>FALSE()</f>
        <v>0</v>
      </c>
      <c r="M46" s="5" t="b">
        <f>FALSE()</f>
        <v>0</v>
      </c>
      <c r="N46" s="5" t="b">
        <f>FALSE()</f>
        <v>0</v>
      </c>
    </row>
    <row r="47" spans="1:14" x14ac:dyDescent="0.25">
      <c r="A47" s="2" t="s">
        <v>160</v>
      </c>
      <c r="B47" s="2" t="s">
        <v>15</v>
      </c>
      <c r="C47" s="2" t="s">
        <v>16</v>
      </c>
      <c r="D47" s="3">
        <v>46175</v>
      </c>
      <c r="E47" s="2" t="s">
        <v>161</v>
      </c>
      <c r="F47" s="4">
        <v>34423.199999999997</v>
      </c>
      <c r="G47" s="2" t="s">
        <v>18</v>
      </c>
      <c r="H47" s="5">
        <v>1</v>
      </c>
      <c r="I47" s="3">
        <v>46175</v>
      </c>
      <c r="J47" s="3">
        <v>46175</v>
      </c>
      <c r="K47" s="2" t="s">
        <v>19</v>
      </c>
      <c r="L47" s="5" t="b">
        <f>FALSE()</f>
        <v>0</v>
      </c>
      <c r="M47" s="5" t="b">
        <f>FALSE()</f>
        <v>0</v>
      </c>
      <c r="N47" s="5" t="b">
        <f>FALSE()</f>
        <v>0</v>
      </c>
    </row>
    <row r="48" spans="1:14" x14ac:dyDescent="0.25">
      <c r="A48" s="2" t="s">
        <v>162</v>
      </c>
      <c r="B48" s="2" t="s">
        <v>163</v>
      </c>
      <c r="C48" s="2" t="s">
        <v>164</v>
      </c>
      <c r="D48" s="3">
        <v>46175</v>
      </c>
      <c r="E48" s="2" t="s">
        <v>165</v>
      </c>
      <c r="F48" s="4">
        <v>11968.16</v>
      </c>
      <c r="G48" s="2" t="s">
        <v>18</v>
      </c>
      <c r="H48" s="5">
        <v>1</v>
      </c>
      <c r="I48" s="3">
        <v>46175</v>
      </c>
      <c r="J48" s="3">
        <v>46175</v>
      </c>
      <c r="K48" s="2" t="s">
        <v>19</v>
      </c>
      <c r="L48" s="5" t="b">
        <f>FALSE()</f>
        <v>0</v>
      </c>
      <c r="M48" s="5" t="b">
        <f>FALSE()</f>
        <v>0</v>
      </c>
      <c r="N48" s="5" t="b">
        <f>FALSE()</f>
        <v>0</v>
      </c>
    </row>
    <row r="49" spans="1:14" x14ac:dyDescent="0.25">
      <c r="A49" s="2" t="s">
        <v>166</v>
      </c>
      <c r="B49" s="2" t="s">
        <v>167</v>
      </c>
      <c r="C49" s="2" t="s">
        <v>168</v>
      </c>
      <c r="D49" s="3">
        <v>46175</v>
      </c>
      <c r="E49" s="2" t="s">
        <v>169</v>
      </c>
      <c r="F49" s="4">
        <v>18020.8</v>
      </c>
      <c r="G49" s="2" t="s">
        <v>18</v>
      </c>
      <c r="H49" s="5">
        <v>1</v>
      </c>
      <c r="I49" s="3">
        <v>46175</v>
      </c>
      <c r="J49" s="3">
        <v>46175</v>
      </c>
      <c r="K49" s="2" t="s">
        <v>19</v>
      </c>
      <c r="L49" s="5" t="b">
        <f>FALSE()</f>
        <v>0</v>
      </c>
      <c r="M49" s="5" t="b">
        <f>FALSE()</f>
        <v>0</v>
      </c>
      <c r="N49" s="5" t="b">
        <f>FALSE()</f>
        <v>0</v>
      </c>
    </row>
    <row r="50" spans="1:14" x14ac:dyDescent="0.25">
      <c r="A50" s="2" t="s">
        <v>170</v>
      </c>
      <c r="B50" s="2" t="s">
        <v>171</v>
      </c>
      <c r="C50" s="2" t="s">
        <v>172</v>
      </c>
      <c r="D50" s="3">
        <v>46175</v>
      </c>
      <c r="E50" s="2" t="s">
        <v>173</v>
      </c>
      <c r="F50" s="4">
        <v>25200</v>
      </c>
      <c r="G50" s="2" t="s">
        <v>18</v>
      </c>
      <c r="H50" s="5">
        <v>2</v>
      </c>
      <c r="I50" s="3">
        <v>46175</v>
      </c>
      <c r="J50" s="3">
        <v>46175</v>
      </c>
      <c r="K50" s="2" t="s">
        <v>19</v>
      </c>
      <c r="L50" s="5" t="b">
        <f>FALSE()</f>
        <v>0</v>
      </c>
      <c r="M50" s="5" t="b">
        <f>FALSE()</f>
        <v>0</v>
      </c>
      <c r="N50" s="5" t="b">
        <f>FALSE()</f>
        <v>0</v>
      </c>
    </row>
    <row r="51" spans="1:14" x14ac:dyDescent="0.25">
      <c r="A51" s="2" t="s">
        <v>174</v>
      </c>
      <c r="B51" s="2" t="s">
        <v>87</v>
      </c>
      <c r="C51" s="2" t="s">
        <v>88</v>
      </c>
      <c r="D51" s="3">
        <v>46175</v>
      </c>
      <c r="E51" s="2" t="s">
        <v>175</v>
      </c>
      <c r="F51" s="4">
        <v>34324.959999999999</v>
      </c>
      <c r="G51" s="2" t="s">
        <v>18</v>
      </c>
      <c r="H51" s="5">
        <v>2</v>
      </c>
      <c r="I51" s="3">
        <v>46175</v>
      </c>
      <c r="J51" s="3">
        <v>46175</v>
      </c>
      <c r="K51" s="2" t="s">
        <v>19</v>
      </c>
      <c r="L51" s="5" t="b">
        <f>FALSE()</f>
        <v>0</v>
      </c>
      <c r="M51" s="5" t="b">
        <f>FALSE()</f>
        <v>0</v>
      </c>
      <c r="N51" s="5" t="b">
        <f>FALSE()</f>
        <v>0</v>
      </c>
    </row>
    <row r="52" spans="1:14" x14ac:dyDescent="0.25">
      <c r="A52" s="2" t="s">
        <v>176</v>
      </c>
      <c r="B52" s="2" t="s">
        <v>177</v>
      </c>
      <c r="C52" s="2" t="s">
        <v>178</v>
      </c>
      <c r="D52" s="3">
        <v>46174</v>
      </c>
      <c r="E52" s="2" t="s">
        <v>179</v>
      </c>
      <c r="F52" s="4">
        <v>13558.2</v>
      </c>
      <c r="G52" s="2" t="s">
        <v>18</v>
      </c>
      <c r="H52" s="5">
        <v>2</v>
      </c>
      <c r="I52" s="3">
        <v>46174</v>
      </c>
      <c r="J52" s="3">
        <v>46174</v>
      </c>
      <c r="K52" s="2" t="s">
        <v>19</v>
      </c>
      <c r="L52" s="5" t="b">
        <f>FALSE()</f>
        <v>0</v>
      </c>
      <c r="M52" s="5" t="b">
        <f>FALSE()</f>
        <v>0</v>
      </c>
      <c r="N52" s="5" t="b">
        <f>FALSE()</f>
        <v>0</v>
      </c>
    </row>
    <row r="53" spans="1:14" x14ac:dyDescent="0.25">
      <c r="A53" s="2" t="s">
        <v>180</v>
      </c>
      <c r="B53" s="2" t="s">
        <v>181</v>
      </c>
      <c r="C53" s="2" t="s">
        <v>182</v>
      </c>
      <c r="D53" s="3">
        <v>46174</v>
      </c>
      <c r="E53" s="2" t="s">
        <v>183</v>
      </c>
      <c r="F53" s="4">
        <v>22158.6</v>
      </c>
      <c r="G53" s="2" t="s">
        <v>18</v>
      </c>
      <c r="H53" s="5">
        <v>2</v>
      </c>
      <c r="I53" s="3">
        <v>46174</v>
      </c>
      <c r="J53" s="3">
        <v>46174</v>
      </c>
      <c r="K53" s="2" t="s">
        <v>19</v>
      </c>
      <c r="L53" s="5" t="b">
        <f>FALSE()</f>
        <v>0</v>
      </c>
      <c r="M53" s="5" t="b">
        <f>FALSE()</f>
        <v>0</v>
      </c>
      <c r="N53" s="5" t="b">
        <f>FALSE()</f>
        <v>0</v>
      </c>
    </row>
    <row r="54" spans="1:14" x14ac:dyDescent="0.25">
      <c r="A54" s="2" t="s">
        <v>184</v>
      </c>
      <c r="B54" s="2" t="s">
        <v>59</v>
      </c>
      <c r="C54" s="2" t="s">
        <v>60</v>
      </c>
      <c r="D54" s="3">
        <v>46174</v>
      </c>
      <c r="E54" s="2" t="s">
        <v>185</v>
      </c>
      <c r="F54" s="4">
        <v>28488.62</v>
      </c>
      <c r="G54" s="2" t="s">
        <v>18</v>
      </c>
      <c r="H54" s="5">
        <v>2</v>
      </c>
      <c r="I54" s="3">
        <v>46174</v>
      </c>
      <c r="J54" s="3">
        <v>46174</v>
      </c>
      <c r="K54" s="2" t="s">
        <v>19</v>
      </c>
      <c r="L54" s="5" t="b">
        <f>FALSE()</f>
        <v>0</v>
      </c>
      <c r="M54" s="5" t="b">
        <f>FALSE()</f>
        <v>0</v>
      </c>
      <c r="N54" s="5" t="b">
        <f>FALSE()</f>
        <v>0</v>
      </c>
    </row>
    <row r="55" spans="1:14" x14ac:dyDescent="0.25">
      <c r="A55" s="2" t="s">
        <v>186</v>
      </c>
      <c r="B55" s="2" t="s">
        <v>45</v>
      </c>
      <c r="C55" s="2" t="s">
        <v>46</v>
      </c>
      <c r="D55" s="3">
        <v>46170</v>
      </c>
      <c r="E55" s="2" t="s">
        <v>187</v>
      </c>
      <c r="F55" s="4">
        <v>30060.799999999999</v>
      </c>
      <c r="G55" s="2" t="s">
        <v>18</v>
      </c>
      <c r="H55" s="5">
        <v>2</v>
      </c>
      <c r="I55" s="3">
        <v>46170</v>
      </c>
      <c r="J55" s="3">
        <v>46170</v>
      </c>
      <c r="K55" s="2" t="s">
        <v>19</v>
      </c>
      <c r="L55" s="5" t="b">
        <f>TRUE()</f>
        <v>1</v>
      </c>
      <c r="M55" s="5" t="b">
        <f>FALSE()</f>
        <v>0</v>
      </c>
      <c r="N55" s="5" t="b">
        <f>FALSE()</f>
        <v>0</v>
      </c>
    </row>
    <row r="56" spans="1:14" x14ac:dyDescent="0.25">
      <c r="A56" s="2" t="s">
        <v>188</v>
      </c>
      <c r="B56" s="2" t="s">
        <v>21</v>
      </c>
      <c r="C56" s="2" t="s">
        <v>22</v>
      </c>
      <c r="D56" s="3">
        <v>46170</v>
      </c>
      <c r="E56" s="2" t="s">
        <v>189</v>
      </c>
      <c r="F56" s="4">
        <v>24209.52</v>
      </c>
      <c r="G56" s="2" t="s">
        <v>18</v>
      </c>
      <c r="H56" s="5">
        <v>2</v>
      </c>
      <c r="I56" s="3">
        <v>46170</v>
      </c>
      <c r="J56" s="3">
        <v>46170</v>
      </c>
      <c r="K56" s="2" t="s">
        <v>19</v>
      </c>
      <c r="L56" s="5" t="b">
        <f>FALSE()</f>
        <v>0</v>
      </c>
      <c r="M56" s="5" t="b">
        <f>FALSE()</f>
        <v>0</v>
      </c>
      <c r="N56" s="5" t="b">
        <f>FALSE()</f>
        <v>0</v>
      </c>
    </row>
    <row r="57" spans="1:14" x14ac:dyDescent="0.25">
      <c r="A57" s="2" t="s">
        <v>190</v>
      </c>
      <c r="B57" s="2" t="s">
        <v>55</v>
      </c>
      <c r="C57" s="2" t="s">
        <v>56</v>
      </c>
      <c r="D57" s="3">
        <v>46170</v>
      </c>
      <c r="E57" s="2" t="s">
        <v>191</v>
      </c>
      <c r="F57" s="4">
        <v>13902.72</v>
      </c>
      <c r="G57" s="2" t="s">
        <v>18</v>
      </c>
      <c r="H57" s="5">
        <v>1</v>
      </c>
      <c r="I57" s="3">
        <v>46170</v>
      </c>
      <c r="J57" s="3">
        <v>46170</v>
      </c>
      <c r="K57" s="2" t="s">
        <v>19</v>
      </c>
      <c r="L57" s="5" t="b">
        <f>FALSE()</f>
        <v>0</v>
      </c>
      <c r="M57" s="5" t="b">
        <f>FALSE()</f>
        <v>0</v>
      </c>
      <c r="N57" s="5" t="b">
        <f>FALSE()</f>
        <v>0</v>
      </c>
    </row>
    <row r="58" spans="1:14" x14ac:dyDescent="0.25">
      <c r="A58" s="2" t="s">
        <v>192</v>
      </c>
      <c r="B58" s="2" t="s">
        <v>81</v>
      </c>
      <c r="C58" s="2" t="s">
        <v>82</v>
      </c>
      <c r="D58" s="3">
        <v>46170</v>
      </c>
      <c r="E58" s="2" t="s">
        <v>193</v>
      </c>
      <c r="F58" s="4">
        <v>26852</v>
      </c>
      <c r="G58" s="2" t="s">
        <v>18</v>
      </c>
      <c r="H58" s="5">
        <v>2</v>
      </c>
      <c r="I58" s="3">
        <v>46170</v>
      </c>
      <c r="J58" s="3">
        <v>46170</v>
      </c>
      <c r="K58" s="2" t="s">
        <v>19</v>
      </c>
      <c r="L58" s="5" t="b">
        <f>FALSE()</f>
        <v>0</v>
      </c>
      <c r="M58" s="5" t="b">
        <f>FALSE()</f>
        <v>0</v>
      </c>
      <c r="N58" s="5" t="b">
        <f>FALSE()</f>
        <v>0</v>
      </c>
    </row>
    <row r="59" spans="1:14" x14ac:dyDescent="0.25">
      <c r="A59" s="2" t="s">
        <v>194</v>
      </c>
      <c r="B59" s="2" t="s">
        <v>195</v>
      </c>
      <c r="C59" s="2" t="s">
        <v>196</v>
      </c>
      <c r="D59" s="3">
        <v>46169</v>
      </c>
      <c r="E59" s="2" t="s">
        <v>197</v>
      </c>
      <c r="F59" s="4">
        <v>24873.360000000001</v>
      </c>
      <c r="G59" s="2" t="s">
        <v>18</v>
      </c>
      <c r="H59" s="5">
        <v>2</v>
      </c>
      <c r="I59" s="3">
        <v>46169</v>
      </c>
      <c r="J59" s="3">
        <v>46169</v>
      </c>
      <c r="K59" s="2" t="s">
        <v>19</v>
      </c>
      <c r="L59" s="5" t="b">
        <f>FALSE()</f>
        <v>0</v>
      </c>
      <c r="M59" s="5" t="b">
        <f>FALSE()</f>
        <v>0</v>
      </c>
      <c r="N59" s="5" t="b">
        <f>FALSE()</f>
        <v>0</v>
      </c>
    </row>
    <row r="60" spans="1:14" x14ac:dyDescent="0.25">
      <c r="A60" s="2" t="s">
        <v>198</v>
      </c>
      <c r="B60" s="2" t="s">
        <v>199</v>
      </c>
      <c r="C60" s="2" t="s">
        <v>200</v>
      </c>
      <c r="D60" s="3">
        <v>46169</v>
      </c>
      <c r="E60" s="2" t="s">
        <v>201</v>
      </c>
      <c r="F60" s="4">
        <v>8477</v>
      </c>
      <c r="G60" s="2" t="s">
        <v>18</v>
      </c>
      <c r="H60" s="5">
        <v>0</v>
      </c>
      <c r="I60" s="3">
        <v>46169</v>
      </c>
      <c r="J60" s="3">
        <v>46169</v>
      </c>
      <c r="K60" s="2" t="s">
        <v>19</v>
      </c>
      <c r="L60" s="5" t="b">
        <f>FALSE()</f>
        <v>0</v>
      </c>
      <c r="M60" s="5" t="b">
        <f>FALSE()</f>
        <v>0</v>
      </c>
      <c r="N60" s="5" t="b">
        <f>FALSE()</f>
        <v>0</v>
      </c>
    </row>
    <row r="61" spans="1:14" x14ac:dyDescent="0.25">
      <c r="A61" s="2" t="s">
        <v>202</v>
      </c>
      <c r="B61" s="2" t="s">
        <v>33</v>
      </c>
      <c r="C61" s="2" t="s">
        <v>34</v>
      </c>
      <c r="D61" s="3">
        <v>46168</v>
      </c>
      <c r="E61" s="2" t="s">
        <v>203</v>
      </c>
      <c r="F61" s="4">
        <v>20374.560000000001</v>
      </c>
      <c r="G61" s="2" t="s">
        <v>18</v>
      </c>
      <c r="H61" s="5">
        <v>4</v>
      </c>
      <c r="I61" s="3">
        <v>46168</v>
      </c>
      <c r="J61" s="3">
        <v>46168</v>
      </c>
      <c r="K61" s="2" t="s">
        <v>19</v>
      </c>
      <c r="L61" s="5" t="b">
        <f>FALSE()</f>
        <v>0</v>
      </c>
      <c r="M61" s="5" t="b">
        <f>FALSE()</f>
        <v>0</v>
      </c>
      <c r="N61" s="5" t="b">
        <f>FALSE()</f>
        <v>0</v>
      </c>
    </row>
    <row r="62" spans="1:14" x14ac:dyDescent="0.25">
      <c r="A62" s="2" t="s">
        <v>204</v>
      </c>
      <c r="B62" s="2" t="s">
        <v>49</v>
      </c>
      <c r="C62" s="2" t="s">
        <v>50</v>
      </c>
      <c r="D62" s="3">
        <v>46168</v>
      </c>
      <c r="E62" s="2" t="s">
        <v>205</v>
      </c>
      <c r="F62" s="4">
        <v>1854</v>
      </c>
      <c r="G62" s="2" t="s">
        <v>18</v>
      </c>
      <c r="H62" s="5">
        <v>1</v>
      </c>
      <c r="I62" s="3">
        <v>46168</v>
      </c>
      <c r="J62" s="3">
        <v>46168</v>
      </c>
      <c r="K62" s="2" t="s">
        <v>19</v>
      </c>
      <c r="L62" s="5" t="b">
        <f>FALSE()</f>
        <v>0</v>
      </c>
      <c r="M62" s="5" t="b">
        <f>FALSE()</f>
        <v>0</v>
      </c>
      <c r="N62" s="5" t="b">
        <f>FALSE()</f>
        <v>0</v>
      </c>
    </row>
    <row r="63" spans="1:14" x14ac:dyDescent="0.25">
      <c r="A63" s="2" t="s">
        <v>206</v>
      </c>
      <c r="B63" s="2" t="s">
        <v>29</v>
      </c>
      <c r="C63" s="2" t="s">
        <v>30</v>
      </c>
      <c r="D63" s="3">
        <v>46167</v>
      </c>
      <c r="E63" s="2" t="s">
        <v>207</v>
      </c>
      <c r="F63" s="4">
        <v>21973.040000000001</v>
      </c>
      <c r="G63" s="2" t="s">
        <v>18</v>
      </c>
      <c r="H63" s="5">
        <v>1</v>
      </c>
      <c r="I63" s="3">
        <v>46171</v>
      </c>
      <c r="J63" s="3">
        <v>46171</v>
      </c>
      <c r="K63" s="2" t="s">
        <v>19</v>
      </c>
      <c r="L63" s="5" t="b">
        <f>FALSE()</f>
        <v>0</v>
      </c>
      <c r="M63" s="5" t="b">
        <f>FALSE()</f>
        <v>0</v>
      </c>
      <c r="N63" s="5" t="b">
        <f>FALSE()</f>
        <v>0</v>
      </c>
    </row>
    <row r="64" spans="1:14" x14ac:dyDescent="0.25">
      <c r="A64" s="2" t="s">
        <v>208</v>
      </c>
      <c r="B64" s="2" t="s">
        <v>99</v>
      </c>
      <c r="C64" s="2" t="s">
        <v>100</v>
      </c>
      <c r="D64" s="3">
        <v>46167</v>
      </c>
      <c r="E64" s="2" t="s">
        <v>209</v>
      </c>
      <c r="F64" s="4">
        <v>21452.48</v>
      </c>
      <c r="G64" s="2" t="s">
        <v>18</v>
      </c>
      <c r="H64" s="5">
        <v>1</v>
      </c>
      <c r="I64" s="3">
        <v>46167</v>
      </c>
      <c r="J64" s="3">
        <v>46167</v>
      </c>
      <c r="K64" s="2" t="s">
        <v>19</v>
      </c>
      <c r="L64" s="5" t="b">
        <f>FALSE()</f>
        <v>0</v>
      </c>
      <c r="M64" s="5" t="b">
        <f>FALSE()</f>
        <v>0</v>
      </c>
      <c r="N64" s="5" t="b">
        <f>FALSE()</f>
        <v>0</v>
      </c>
    </row>
    <row r="65" spans="1:14" x14ac:dyDescent="0.25">
      <c r="A65" s="2" t="s">
        <v>210</v>
      </c>
      <c r="B65" s="2" t="s">
        <v>149</v>
      </c>
      <c r="C65" s="2" t="s">
        <v>150</v>
      </c>
      <c r="D65" s="3">
        <v>46167</v>
      </c>
      <c r="E65" s="2" t="s">
        <v>211</v>
      </c>
      <c r="F65" s="4">
        <v>30850.400000000001</v>
      </c>
      <c r="G65" s="2" t="s">
        <v>18</v>
      </c>
      <c r="H65" s="5">
        <v>1</v>
      </c>
      <c r="I65" s="3">
        <v>46167</v>
      </c>
      <c r="J65" s="3">
        <v>46167</v>
      </c>
      <c r="K65" s="2" t="s">
        <v>19</v>
      </c>
      <c r="L65" s="5" t="b">
        <f>FALSE()</f>
        <v>0</v>
      </c>
      <c r="M65" s="5" t="b">
        <f>FALSE()</f>
        <v>0</v>
      </c>
      <c r="N65" s="5" t="b">
        <f>FALSE()</f>
        <v>0</v>
      </c>
    </row>
    <row r="66" spans="1:14" x14ac:dyDescent="0.25">
      <c r="A66" s="2" t="s">
        <v>212</v>
      </c>
      <c r="B66" s="2" t="s">
        <v>29</v>
      </c>
      <c r="C66" s="2" t="s">
        <v>30</v>
      </c>
      <c r="D66" s="3">
        <v>46164</v>
      </c>
      <c r="E66" s="2" t="s">
        <v>213</v>
      </c>
      <c r="F66" s="4">
        <v>13426.16</v>
      </c>
      <c r="G66" s="2" t="s">
        <v>18</v>
      </c>
      <c r="H66" s="5">
        <v>2</v>
      </c>
      <c r="I66" s="3">
        <v>46164</v>
      </c>
      <c r="J66" s="3">
        <v>46164</v>
      </c>
      <c r="K66" s="2" t="s">
        <v>19</v>
      </c>
      <c r="L66" s="5" t="b">
        <f>TRUE()</f>
        <v>1</v>
      </c>
      <c r="M66" s="5" t="b">
        <f>FALSE()</f>
        <v>0</v>
      </c>
      <c r="N66" s="5" t="b">
        <f>FALSE()</f>
        <v>0</v>
      </c>
    </row>
    <row r="67" spans="1:14" x14ac:dyDescent="0.25">
      <c r="A67" s="2" t="s">
        <v>214</v>
      </c>
      <c r="B67" s="2" t="s">
        <v>99</v>
      </c>
      <c r="C67" s="2" t="s">
        <v>100</v>
      </c>
      <c r="D67" s="3">
        <v>46164</v>
      </c>
      <c r="E67" s="2" t="s">
        <v>215</v>
      </c>
      <c r="F67" s="4">
        <v>31762.080000000002</v>
      </c>
      <c r="G67" s="2" t="s">
        <v>18</v>
      </c>
      <c r="H67" s="5">
        <v>2</v>
      </c>
      <c r="I67" s="3">
        <v>46164</v>
      </c>
      <c r="J67" s="3">
        <v>46164</v>
      </c>
      <c r="K67" s="2" t="s">
        <v>19</v>
      </c>
      <c r="L67" s="5" t="b">
        <f>FALSE()</f>
        <v>0</v>
      </c>
      <c r="M67" s="5" t="b">
        <f>FALSE()</f>
        <v>0</v>
      </c>
      <c r="N67" s="5" t="b">
        <f>FALSE()</f>
        <v>0</v>
      </c>
    </row>
    <row r="68" spans="1:14" x14ac:dyDescent="0.25">
      <c r="A68" s="2" t="s">
        <v>216</v>
      </c>
      <c r="B68" s="2" t="s">
        <v>21</v>
      </c>
      <c r="C68" s="2" t="s">
        <v>22</v>
      </c>
      <c r="D68" s="3">
        <v>46163</v>
      </c>
      <c r="E68" s="2" t="s">
        <v>217</v>
      </c>
      <c r="F68" s="4">
        <v>23678.240000000002</v>
      </c>
      <c r="G68" s="2" t="s">
        <v>18</v>
      </c>
      <c r="H68" s="5">
        <v>2</v>
      </c>
      <c r="I68" s="3">
        <v>46163</v>
      </c>
      <c r="J68" s="3">
        <v>46163</v>
      </c>
      <c r="K68" s="2" t="s">
        <v>19</v>
      </c>
      <c r="L68" s="5" t="b">
        <f>FALSE()</f>
        <v>0</v>
      </c>
      <c r="M68" s="5" t="b">
        <f>FALSE()</f>
        <v>0</v>
      </c>
      <c r="N68" s="5" t="b">
        <f>FALSE()</f>
        <v>0</v>
      </c>
    </row>
    <row r="69" spans="1:14" x14ac:dyDescent="0.25">
      <c r="A69" s="2" t="s">
        <v>218</v>
      </c>
      <c r="B69" s="2" t="s">
        <v>55</v>
      </c>
      <c r="C69" s="2" t="s">
        <v>56</v>
      </c>
      <c r="D69" s="3">
        <v>46163</v>
      </c>
      <c r="E69" s="2" t="s">
        <v>219</v>
      </c>
      <c r="F69" s="4">
        <v>32083.200000000001</v>
      </c>
      <c r="G69" s="2" t="s">
        <v>18</v>
      </c>
      <c r="H69" s="5">
        <v>2</v>
      </c>
      <c r="I69" s="3">
        <v>46164</v>
      </c>
      <c r="J69" s="3">
        <v>46164</v>
      </c>
      <c r="K69" s="2" t="s">
        <v>19</v>
      </c>
      <c r="L69" s="5" t="b">
        <f>FALSE()</f>
        <v>0</v>
      </c>
      <c r="M69" s="5" t="b">
        <f>FALSE()</f>
        <v>0</v>
      </c>
      <c r="N69" s="5" t="b">
        <f>FALSE()</f>
        <v>0</v>
      </c>
    </row>
    <row r="70" spans="1:14" x14ac:dyDescent="0.25">
      <c r="A70" s="2" t="s">
        <v>220</v>
      </c>
      <c r="B70" s="2" t="s">
        <v>41</v>
      </c>
      <c r="C70" s="2" t="s">
        <v>42</v>
      </c>
      <c r="D70" s="3">
        <v>46163</v>
      </c>
      <c r="E70" s="2" t="s">
        <v>221</v>
      </c>
      <c r="F70" s="4">
        <v>27870.880000000001</v>
      </c>
      <c r="G70" s="2" t="s">
        <v>18</v>
      </c>
      <c r="H70" s="5">
        <v>2</v>
      </c>
      <c r="I70" s="3">
        <v>46163</v>
      </c>
      <c r="J70" s="3">
        <v>46163</v>
      </c>
      <c r="K70" s="2" t="s">
        <v>19</v>
      </c>
      <c r="L70" s="5" t="b">
        <f>TRUE()</f>
        <v>1</v>
      </c>
      <c r="M70" s="5" t="b">
        <f>FALSE()</f>
        <v>0</v>
      </c>
      <c r="N70" s="5" t="b">
        <f>FALSE()</f>
        <v>0</v>
      </c>
    </row>
    <row r="71" spans="1:14" x14ac:dyDescent="0.25">
      <c r="A71" s="2" t="s">
        <v>222</v>
      </c>
      <c r="B71" s="2" t="s">
        <v>139</v>
      </c>
      <c r="C71" s="2" t="s">
        <v>140</v>
      </c>
      <c r="D71" s="3">
        <v>46163</v>
      </c>
      <c r="E71" s="2" t="s">
        <v>223</v>
      </c>
      <c r="F71" s="4">
        <v>15747.32</v>
      </c>
      <c r="G71" s="2" t="s">
        <v>18</v>
      </c>
      <c r="H71" s="5">
        <v>2</v>
      </c>
      <c r="I71" s="3">
        <v>46163</v>
      </c>
      <c r="J71" s="3">
        <v>46163</v>
      </c>
      <c r="K71" s="2" t="s">
        <v>19</v>
      </c>
      <c r="L71" s="5" t="b">
        <f>FALSE()</f>
        <v>0</v>
      </c>
      <c r="M71" s="5" t="b">
        <f>FALSE()</f>
        <v>0</v>
      </c>
      <c r="N71" s="5" t="b">
        <f>FALSE()</f>
        <v>0</v>
      </c>
    </row>
    <row r="72" spans="1:14" x14ac:dyDescent="0.25">
      <c r="A72" s="2" t="s">
        <v>224</v>
      </c>
      <c r="B72" s="2" t="s">
        <v>73</v>
      </c>
      <c r="C72" s="2" t="s">
        <v>74</v>
      </c>
      <c r="D72" s="3">
        <v>46163</v>
      </c>
      <c r="E72" s="2" t="s">
        <v>225</v>
      </c>
      <c r="F72" s="4">
        <v>20309.650000000001</v>
      </c>
      <c r="G72" s="2" t="s">
        <v>18</v>
      </c>
      <c r="H72" s="5">
        <v>4</v>
      </c>
      <c r="I72" s="3">
        <v>46163</v>
      </c>
      <c r="J72" s="3">
        <v>46163</v>
      </c>
      <c r="K72" s="2" t="s">
        <v>19</v>
      </c>
      <c r="L72" s="5" t="b">
        <f>FALSE()</f>
        <v>0</v>
      </c>
      <c r="M72" s="5" t="b">
        <f>FALSE()</f>
        <v>0</v>
      </c>
      <c r="N72" s="5" t="b">
        <f>FALSE()</f>
        <v>0</v>
      </c>
    </row>
    <row r="73" spans="1:14" x14ac:dyDescent="0.25">
      <c r="A73" s="2" t="s">
        <v>226</v>
      </c>
      <c r="B73" s="2" t="s">
        <v>227</v>
      </c>
      <c r="C73" s="2" t="s">
        <v>228</v>
      </c>
      <c r="D73" s="3">
        <v>46162</v>
      </c>
      <c r="E73" s="2" t="s">
        <v>229</v>
      </c>
      <c r="F73" s="4">
        <v>12109.6</v>
      </c>
      <c r="G73" s="2" t="s">
        <v>18</v>
      </c>
      <c r="H73" s="5">
        <v>3</v>
      </c>
      <c r="I73" s="3">
        <v>46162</v>
      </c>
      <c r="J73" s="3">
        <v>46162</v>
      </c>
      <c r="K73" s="2" t="s">
        <v>19</v>
      </c>
      <c r="L73" s="5" t="b">
        <f>FALSE()</f>
        <v>0</v>
      </c>
      <c r="M73" s="5" t="b">
        <f>FALSE()</f>
        <v>0</v>
      </c>
      <c r="N73" s="5" t="b">
        <f>FALSE()</f>
        <v>0</v>
      </c>
    </row>
    <row r="74" spans="1:14" x14ac:dyDescent="0.25">
      <c r="A74" s="2" t="s">
        <v>230</v>
      </c>
      <c r="B74" s="2" t="s">
        <v>25</v>
      </c>
      <c r="C74" s="2" t="s">
        <v>26</v>
      </c>
      <c r="D74" s="3">
        <v>46162</v>
      </c>
      <c r="E74" s="2" t="s">
        <v>231</v>
      </c>
      <c r="F74" s="4">
        <v>10722.36</v>
      </c>
      <c r="G74" s="2" t="s">
        <v>18</v>
      </c>
      <c r="H74" s="5">
        <v>6</v>
      </c>
      <c r="I74" s="3">
        <v>46162</v>
      </c>
      <c r="J74" s="3">
        <v>46162</v>
      </c>
      <c r="K74" s="2" t="s">
        <v>19</v>
      </c>
      <c r="L74" s="5" t="b">
        <f>FALSE()</f>
        <v>0</v>
      </c>
      <c r="M74" s="5" t="b">
        <f>FALSE()</f>
        <v>0</v>
      </c>
      <c r="N74" s="5" t="b">
        <f>FALSE()</f>
        <v>0</v>
      </c>
    </row>
    <row r="75" spans="1:14" x14ac:dyDescent="0.25">
      <c r="A75" s="2" t="s">
        <v>232</v>
      </c>
      <c r="B75" s="2" t="s">
        <v>81</v>
      </c>
      <c r="C75" s="2" t="s">
        <v>82</v>
      </c>
      <c r="D75" s="3">
        <v>46162</v>
      </c>
      <c r="E75" s="2" t="s">
        <v>233</v>
      </c>
      <c r="F75" s="4">
        <v>32816</v>
      </c>
      <c r="G75" s="2" t="s">
        <v>18</v>
      </c>
      <c r="H75" s="5">
        <v>6</v>
      </c>
      <c r="I75" s="3">
        <v>46162</v>
      </c>
      <c r="J75" s="3">
        <v>46162</v>
      </c>
      <c r="K75" s="2" t="s">
        <v>19</v>
      </c>
      <c r="L75" s="5" t="b">
        <f>TRUE()</f>
        <v>1</v>
      </c>
      <c r="M75" s="5" t="b">
        <f>FALSE()</f>
        <v>0</v>
      </c>
      <c r="N75" s="5" t="b">
        <f>FALSE()</f>
        <v>0</v>
      </c>
    </row>
    <row r="76" spans="1:14" x14ac:dyDescent="0.25">
      <c r="A76" s="2" t="s">
        <v>234</v>
      </c>
      <c r="B76" s="2" t="s">
        <v>177</v>
      </c>
      <c r="C76" s="2" t="s">
        <v>178</v>
      </c>
      <c r="D76" s="3">
        <v>46161</v>
      </c>
      <c r="E76" s="2" t="s">
        <v>235</v>
      </c>
      <c r="F76" s="4">
        <v>3206.4</v>
      </c>
      <c r="G76" s="2" t="s">
        <v>18</v>
      </c>
      <c r="H76" s="5">
        <v>8</v>
      </c>
      <c r="I76" s="3">
        <v>46160</v>
      </c>
      <c r="J76" s="3">
        <v>46160</v>
      </c>
      <c r="K76" s="2" t="s">
        <v>19</v>
      </c>
      <c r="L76" s="5" t="b">
        <f>FALSE()</f>
        <v>0</v>
      </c>
      <c r="M76" s="5" t="b">
        <f>FALSE()</f>
        <v>0</v>
      </c>
      <c r="N76" s="5" t="b">
        <f>FALSE()</f>
        <v>0</v>
      </c>
    </row>
    <row r="77" spans="1:14" x14ac:dyDescent="0.25">
      <c r="A77" s="2" t="s">
        <v>236</v>
      </c>
      <c r="B77" s="2" t="s">
        <v>103</v>
      </c>
      <c r="C77" s="2" t="s">
        <v>104</v>
      </c>
      <c r="D77" s="3">
        <v>46161</v>
      </c>
      <c r="E77" s="2" t="s">
        <v>237</v>
      </c>
      <c r="F77" s="4">
        <v>11629.12</v>
      </c>
      <c r="G77" s="2" t="s">
        <v>18</v>
      </c>
      <c r="H77" s="5">
        <v>6</v>
      </c>
      <c r="I77" s="3">
        <v>46160</v>
      </c>
      <c r="J77" s="3">
        <v>46160</v>
      </c>
      <c r="K77" s="2" t="s">
        <v>19</v>
      </c>
      <c r="L77" s="5" t="b">
        <f>TRUE()</f>
        <v>1</v>
      </c>
      <c r="M77" s="5" t="b">
        <f>FALSE()</f>
        <v>0</v>
      </c>
      <c r="N77" s="5" t="b">
        <f>FALSE()</f>
        <v>0</v>
      </c>
    </row>
    <row r="78" spans="1:14" x14ac:dyDescent="0.25">
      <c r="A78" s="2" t="s">
        <v>238</v>
      </c>
      <c r="B78" s="2" t="s">
        <v>95</v>
      </c>
      <c r="C78" s="2" t="s">
        <v>96</v>
      </c>
      <c r="D78" s="3">
        <v>46161</v>
      </c>
      <c r="E78" s="2" t="s">
        <v>239</v>
      </c>
      <c r="F78" s="4">
        <v>28707.68</v>
      </c>
      <c r="G78" s="2" t="s">
        <v>18</v>
      </c>
      <c r="H78" s="5">
        <v>6</v>
      </c>
      <c r="I78" s="3">
        <v>46160</v>
      </c>
      <c r="J78" s="3">
        <v>46160</v>
      </c>
      <c r="K78" s="2" t="s">
        <v>19</v>
      </c>
      <c r="L78" s="5" t="b">
        <f>FALSE()</f>
        <v>0</v>
      </c>
      <c r="M78" s="5" t="b">
        <f>FALSE()</f>
        <v>0</v>
      </c>
      <c r="N78" s="5" t="b">
        <f>FALSE()</f>
        <v>0</v>
      </c>
    </row>
    <row r="79" spans="1:14" x14ac:dyDescent="0.25">
      <c r="A79" s="2" t="s">
        <v>240</v>
      </c>
      <c r="B79" s="2" t="s">
        <v>87</v>
      </c>
      <c r="C79" s="2" t="s">
        <v>88</v>
      </c>
      <c r="D79" s="3">
        <v>46161</v>
      </c>
      <c r="E79" s="2" t="s">
        <v>241</v>
      </c>
      <c r="F79" s="4">
        <v>34521.18</v>
      </c>
      <c r="G79" s="2" t="s">
        <v>18</v>
      </c>
      <c r="H79" s="5">
        <v>6</v>
      </c>
      <c r="I79" s="3">
        <v>46161</v>
      </c>
      <c r="J79" s="3">
        <v>46161</v>
      </c>
      <c r="K79" s="2" t="s">
        <v>19</v>
      </c>
      <c r="L79" s="5" t="b">
        <f>FALSE()</f>
        <v>0</v>
      </c>
      <c r="M79" s="5" t="b">
        <f>FALSE()</f>
        <v>0</v>
      </c>
      <c r="N79" s="5" t="b">
        <f>FALSE()</f>
        <v>0</v>
      </c>
    </row>
    <row r="80" spans="1:14" x14ac:dyDescent="0.25">
      <c r="A80" s="2" t="s">
        <v>242</v>
      </c>
      <c r="B80" s="2" t="s">
        <v>69</v>
      </c>
      <c r="C80" s="2" t="s">
        <v>70</v>
      </c>
      <c r="D80" s="3">
        <v>46157</v>
      </c>
      <c r="E80" s="2" t="s">
        <v>243</v>
      </c>
      <c r="F80" s="4">
        <v>1446.02</v>
      </c>
      <c r="G80" s="2" t="s">
        <v>18</v>
      </c>
      <c r="H80" s="5">
        <v>1</v>
      </c>
      <c r="I80" s="3">
        <v>46170</v>
      </c>
      <c r="J80" s="3">
        <v>46170</v>
      </c>
      <c r="K80" s="2" t="s">
        <v>19</v>
      </c>
      <c r="L80" s="5" t="b">
        <f>TRUE()</f>
        <v>1</v>
      </c>
      <c r="M80" s="5" t="b">
        <f>FALSE()</f>
        <v>0</v>
      </c>
      <c r="N80" s="5" t="b">
        <f>FALSE()</f>
        <v>0</v>
      </c>
    </row>
    <row r="81" spans="1:14" x14ac:dyDescent="0.25">
      <c r="A81" s="2" t="s">
        <v>244</v>
      </c>
      <c r="B81" s="2" t="s">
        <v>21</v>
      </c>
      <c r="C81" s="2" t="s">
        <v>22</v>
      </c>
      <c r="D81" s="3">
        <v>46156</v>
      </c>
      <c r="E81" s="2" t="s">
        <v>245</v>
      </c>
      <c r="F81" s="4">
        <v>20019.04</v>
      </c>
      <c r="G81" s="2" t="s">
        <v>18</v>
      </c>
      <c r="H81" s="5">
        <v>4</v>
      </c>
      <c r="I81" s="3">
        <v>46156</v>
      </c>
      <c r="J81" s="3">
        <v>46156</v>
      </c>
      <c r="K81" s="2" t="s">
        <v>19</v>
      </c>
      <c r="L81" s="5" t="b">
        <f>FALSE()</f>
        <v>0</v>
      </c>
      <c r="M81" s="5" t="b">
        <f>FALSE()</f>
        <v>0</v>
      </c>
      <c r="N81" s="5" t="b">
        <f>FALSE()</f>
        <v>0</v>
      </c>
    </row>
    <row r="82" spans="1:14" x14ac:dyDescent="0.25">
      <c r="A82" s="2" t="s">
        <v>246</v>
      </c>
      <c r="B82" s="2" t="s">
        <v>119</v>
      </c>
      <c r="C82" s="2" t="s">
        <v>120</v>
      </c>
      <c r="D82" s="3">
        <v>46156</v>
      </c>
      <c r="E82" s="2" t="s">
        <v>247</v>
      </c>
      <c r="F82" s="4">
        <v>12190.28</v>
      </c>
      <c r="G82" s="2" t="s">
        <v>18</v>
      </c>
      <c r="H82" s="5">
        <v>4</v>
      </c>
      <c r="I82" s="3">
        <v>46156</v>
      </c>
      <c r="J82" s="3">
        <v>46156</v>
      </c>
      <c r="K82" s="2" t="s">
        <v>19</v>
      </c>
      <c r="L82" s="5" t="b">
        <f>FALSE()</f>
        <v>0</v>
      </c>
      <c r="M82" s="5" t="b">
        <f>FALSE()</f>
        <v>0</v>
      </c>
      <c r="N82" s="5" t="b">
        <f>FALSE()</f>
        <v>0</v>
      </c>
    </row>
    <row r="83" spans="1:14" x14ac:dyDescent="0.25">
      <c r="A83" s="2" t="s">
        <v>248</v>
      </c>
      <c r="B83" s="2" t="s">
        <v>29</v>
      </c>
      <c r="C83" s="2" t="s">
        <v>30</v>
      </c>
      <c r="D83" s="3">
        <v>46156</v>
      </c>
      <c r="E83" s="2" t="s">
        <v>249</v>
      </c>
      <c r="F83" s="4">
        <v>11026.92</v>
      </c>
      <c r="G83" s="2" t="s">
        <v>18</v>
      </c>
      <c r="H83" s="5">
        <v>2</v>
      </c>
      <c r="I83" s="3">
        <v>46156</v>
      </c>
      <c r="J83" s="3">
        <v>46156</v>
      </c>
      <c r="K83" s="2" t="s">
        <v>19</v>
      </c>
      <c r="L83" s="5" t="b">
        <f>TRUE()</f>
        <v>1</v>
      </c>
      <c r="M83" s="5" t="b">
        <f>FALSE()</f>
        <v>0</v>
      </c>
      <c r="N83" s="5" t="b">
        <f>FALSE()</f>
        <v>0</v>
      </c>
    </row>
    <row r="84" spans="1:14" x14ac:dyDescent="0.25">
      <c r="A84" s="2" t="s">
        <v>250</v>
      </c>
      <c r="B84" s="2" t="s">
        <v>81</v>
      </c>
      <c r="C84" s="2" t="s">
        <v>82</v>
      </c>
      <c r="D84" s="3">
        <v>46156</v>
      </c>
      <c r="E84" s="2" t="s">
        <v>251</v>
      </c>
      <c r="F84" s="4">
        <v>24822</v>
      </c>
      <c r="G84" s="2" t="s">
        <v>18</v>
      </c>
      <c r="H84" s="5">
        <v>3</v>
      </c>
      <c r="I84" s="3">
        <v>46156</v>
      </c>
      <c r="J84" s="3">
        <v>46156</v>
      </c>
      <c r="K84" s="2" t="s">
        <v>19</v>
      </c>
      <c r="L84" s="5" t="b">
        <f>TRUE()</f>
        <v>1</v>
      </c>
      <c r="M84" s="5" t="b">
        <f>FALSE()</f>
        <v>0</v>
      </c>
      <c r="N84" s="5" t="b">
        <f>FALSE()</f>
        <v>0</v>
      </c>
    </row>
    <row r="85" spans="1:14" x14ac:dyDescent="0.25">
      <c r="A85" s="2" t="s">
        <v>252</v>
      </c>
      <c r="B85" s="2" t="s">
        <v>69</v>
      </c>
      <c r="C85" s="2" t="s">
        <v>70</v>
      </c>
      <c r="D85" s="3">
        <v>46155</v>
      </c>
      <c r="E85" s="2" t="s">
        <v>253</v>
      </c>
      <c r="F85" s="4">
        <v>1586.6</v>
      </c>
      <c r="G85" s="2" t="s">
        <v>18</v>
      </c>
      <c r="H85" s="5">
        <v>2</v>
      </c>
      <c r="I85" s="3">
        <v>46155</v>
      </c>
      <c r="J85" s="3">
        <v>46155</v>
      </c>
      <c r="K85" s="2" t="s">
        <v>19</v>
      </c>
      <c r="L85" s="5" t="b">
        <f>TRUE()</f>
        <v>1</v>
      </c>
      <c r="M85" s="5" t="b">
        <f>FALSE()</f>
        <v>0</v>
      </c>
      <c r="N85" s="5" t="b">
        <f>FALSE()</f>
        <v>0</v>
      </c>
    </row>
    <row r="86" spans="1:14" x14ac:dyDescent="0.25">
      <c r="A86" s="2" t="s">
        <v>254</v>
      </c>
      <c r="B86" s="2" t="s">
        <v>99</v>
      </c>
      <c r="C86" s="2" t="s">
        <v>100</v>
      </c>
      <c r="D86" s="3">
        <v>46154</v>
      </c>
      <c r="E86" s="2" t="s">
        <v>255</v>
      </c>
      <c r="F86" s="4">
        <v>32237.119999999999</v>
      </c>
      <c r="G86" s="2" t="s">
        <v>18</v>
      </c>
      <c r="H86" s="5">
        <v>3</v>
      </c>
      <c r="I86" s="3">
        <v>46154</v>
      </c>
      <c r="J86" s="3">
        <v>46154</v>
      </c>
      <c r="K86" s="2" t="s">
        <v>19</v>
      </c>
      <c r="L86" s="5" t="b">
        <f>TRUE()</f>
        <v>1</v>
      </c>
      <c r="M86" s="5" t="b">
        <f>FALSE()</f>
        <v>0</v>
      </c>
      <c r="N86" s="5" t="b">
        <f>FALSE()</f>
        <v>0</v>
      </c>
    </row>
    <row r="87" spans="1:14" x14ac:dyDescent="0.25">
      <c r="A87" s="2" t="s">
        <v>256</v>
      </c>
      <c r="B87" s="2" t="s">
        <v>91</v>
      </c>
      <c r="C87" s="2" t="s">
        <v>92</v>
      </c>
      <c r="D87" s="3">
        <v>46154</v>
      </c>
      <c r="E87" s="2" t="s">
        <v>257</v>
      </c>
      <c r="F87" s="4">
        <v>12350.06</v>
      </c>
      <c r="G87" s="2" t="s">
        <v>18</v>
      </c>
      <c r="H87" s="5">
        <v>3</v>
      </c>
      <c r="I87" s="3">
        <v>46154</v>
      </c>
      <c r="J87" s="3">
        <v>46154</v>
      </c>
      <c r="K87" s="2" t="s">
        <v>19</v>
      </c>
      <c r="L87" s="5" t="b">
        <f>TRUE()</f>
        <v>1</v>
      </c>
      <c r="M87" s="5" t="b">
        <f>FALSE()</f>
        <v>0</v>
      </c>
      <c r="N87" s="5" t="b">
        <f>FALSE()</f>
        <v>0</v>
      </c>
    </row>
    <row r="88" spans="1:14" x14ac:dyDescent="0.25">
      <c r="A88" s="2" t="s">
        <v>258</v>
      </c>
      <c r="B88" s="2" t="s">
        <v>139</v>
      </c>
      <c r="C88" s="2" t="s">
        <v>140</v>
      </c>
      <c r="D88" s="3">
        <v>46154</v>
      </c>
      <c r="E88" s="2" t="s">
        <v>259</v>
      </c>
      <c r="F88" s="4">
        <v>13933.7</v>
      </c>
      <c r="G88" s="2" t="s">
        <v>18</v>
      </c>
      <c r="H88" s="5">
        <v>4</v>
      </c>
      <c r="I88" s="3">
        <v>46154</v>
      </c>
      <c r="J88" s="3">
        <v>46154</v>
      </c>
      <c r="K88" s="2" t="s">
        <v>19</v>
      </c>
      <c r="L88" s="5" t="b">
        <f>FALSE()</f>
        <v>0</v>
      </c>
      <c r="M88" s="5" t="b">
        <f>FALSE()</f>
        <v>0</v>
      </c>
      <c r="N88" s="5" t="b">
        <f>FALSE()</f>
        <v>0</v>
      </c>
    </row>
    <row r="89" spans="1:14" x14ac:dyDescent="0.25">
      <c r="A89" s="2" t="s">
        <v>260</v>
      </c>
      <c r="B89" s="2" t="s">
        <v>171</v>
      </c>
      <c r="C89" s="2" t="s">
        <v>172</v>
      </c>
      <c r="D89" s="3">
        <v>46154</v>
      </c>
      <c r="E89" s="2" t="s">
        <v>261</v>
      </c>
      <c r="F89" s="4">
        <v>25200</v>
      </c>
      <c r="G89" s="2" t="s">
        <v>18</v>
      </c>
      <c r="H89" s="5">
        <v>6</v>
      </c>
      <c r="I89" s="3">
        <v>46154</v>
      </c>
      <c r="J89" s="3">
        <v>46154</v>
      </c>
      <c r="K89" s="2" t="s">
        <v>19</v>
      </c>
      <c r="L89" s="5" t="b">
        <f>TRUE()</f>
        <v>1</v>
      </c>
      <c r="M89" s="5" t="b">
        <f>FALSE()</f>
        <v>0</v>
      </c>
      <c r="N89" s="5" t="b">
        <f>FALSE()</f>
        <v>0</v>
      </c>
    </row>
    <row r="90" spans="1:14" x14ac:dyDescent="0.25">
      <c r="A90" s="2" t="s">
        <v>262</v>
      </c>
      <c r="B90" s="2" t="s">
        <v>195</v>
      </c>
      <c r="C90" s="2" t="s">
        <v>196</v>
      </c>
      <c r="D90" s="3">
        <v>46153</v>
      </c>
      <c r="E90" s="2" t="s">
        <v>263</v>
      </c>
      <c r="F90" s="4">
        <v>22721.14</v>
      </c>
      <c r="G90" s="2" t="s">
        <v>18</v>
      </c>
      <c r="H90" s="5">
        <v>2</v>
      </c>
      <c r="I90" s="3">
        <v>46153</v>
      </c>
      <c r="J90" s="3">
        <v>46153</v>
      </c>
      <c r="K90" s="2" t="s">
        <v>19</v>
      </c>
      <c r="L90" s="5" t="b">
        <f>TRUE()</f>
        <v>1</v>
      </c>
      <c r="M90" s="5" t="b">
        <f>FALSE()</f>
        <v>0</v>
      </c>
      <c r="N90" s="5" t="b">
        <f>FALSE()</f>
        <v>0</v>
      </c>
    </row>
    <row r="91" spans="1:14" x14ac:dyDescent="0.25">
      <c r="A91" s="2" t="s">
        <v>264</v>
      </c>
      <c r="B91" s="2" t="s">
        <v>37</v>
      </c>
      <c r="C91" s="2" t="s">
        <v>38</v>
      </c>
      <c r="D91" s="3">
        <v>46153</v>
      </c>
      <c r="E91" s="2" t="s">
        <v>265</v>
      </c>
      <c r="F91" s="4">
        <v>22221.919999999998</v>
      </c>
      <c r="G91" s="2" t="s">
        <v>18</v>
      </c>
      <c r="H91" s="5">
        <v>2</v>
      </c>
      <c r="I91" s="3">
        <v>46153</v>
      </c>
      <c r="J91" s="3">
        <v>46153</v>
      </c>
      <c r="K91" s="2" t="s">
        <v>19</v>
      </c>
      <c r="L91" s="5" t="b">
        <f>FALSE()</f>
        <v>0</v>
      </c>
      <c r="M91" s="5" t="b">
        <f>FALSE()</f>
        <v>0</v>
      </c>
      <c r="N91" s="5" t="b">
        <f>FALSE()</f>
        <v>0</v>
      </c>
    </row>
    <row r="92" spans="1:14" x14ac:dyDescent="0.25">
      <c r="A92" s="2" t="s">
        <v>266</v>
      </c>
      <c r="B92" s="2" t="s">
        <v>267</v>
      </c>
      <c r="C92" s="2" t="s">
        <v>268</v>
      </c>
      <c r="D92" s="3">
        <v>46150</v>
      </c>
      <c r="E92" s="2" t="s">
        <v>269</v>
      </c>
      <c r="F92" s="4">
        <v>1232</v>
      </c>
      <c r="G92" s="2" t="s">
        <v>18</v>
      </c>
      <c r="H92" s="5">
        <v>1</v>
      </c>
      <c r="I92" s="3">
        <v>46150</v>
      </c>
      <c r="J92" s="3">
        <v>46150</v>
      </c>
      <c r="K92" s="2" t="s">
        <v>19</v>
      </c>
      <c r="L92" s="5" t="b">
        <f>FALSE()</f>
        <v>0</v>
      </c>
      <c r="M92" s="5" t="b">
        <f>FALSE()</f>
        <v>0</v>
      </c>
      <c r="N92" s="5" t="b">
        <f>FALSE()</f>
        <v>0</v>
      </c>
    </row>
    <row r="93" spans="1:14" x14ac:dyDescent="0.25">
      <c r="A93" s="2" t="s">
        <v>270</v>
      </c>
      <c r="B93" s="2" t="s">
        <v>29</v>
      </c>
      <c r="C93" s="2" t="s">
        <v>30</v>
      </c>
      <c r="D93" s="3">
        <v>46149</v>
      </c>
      <c r="E93" s="2" t="s">
        <v>271</v>
      </c>
      <c r="F93" s="4">
        <v>11468.48</v>
      </c>
      <c r="G93" s="2" t="s">
        <v>18</v>
      </c>
      <c r="H93" s="5">
        <v>1</v>
      </c>
      <c r="I93" s="3">
        <v>46149</v>
      </c>
      <c r="J93" s="3">
        <v>46149</v>
      </c>
      <c r="K93" s="2" t="s">
        <v>19</v>
      </c>
      <c r="L93" s="5" t="b">
        <f>TRUE()</f>
        <v>1</v>
      </c>
      <c r="M93" s="5" t="b">
        <f>FALSE()</f>
        <v>0</v>
      </c>
      <c r="N93" s="5" t="b">
        <f>FALSE()</f>
        <v>0</v>
      </c>
    </row>
    <row r="94" spans="1:14" x14ac:dyDescent="0.25">
      <c r="A94" s="2" t="s">
        <v>272</v>
      </c>
      <c r="B94" s="2" t="s">
        <v>21</v>
      </c>
      <c r="C94" s="2" t="s">
        <v>22</v>
      </c>
      <c r="D94" s="3">
        <v>46149</v>
      </c>
      <c r="E94" s="2" t="s">
        <v>273</v>
      </c>
      <c r="F94" s="4">
        <v>27135.16</v>
      </c>
      <c r="G94" s="2" t="s">
        <v>18</v>
      </c>
      <c r="H94" s="5">
        <v>2</v>
      </c>
      <c r="I94" s="3">
        <v>46149</v>
      </c>
      <c r="J94" s="3">
        <v>46149</v>
      </c>
      <c r="K94" s="2" t="s">
        <v>19</v>
      </c>
      <c r="L94" s="5" t="b">
        <f>FALSE()</f>
        <v>0</v>
      </c>
      <c r="M94" s="5" t="b">
        <f>FALSE()</f>
        <v>0</v>
      </c>
      <c r="N94" s="5" t="b">
        <f>FALSE()</f>
        <v>0</v>
      </c>
    </row>
    <row r="95" spans="1:14" x14ac:dyDescent="0.25">
      <c r="A95" s="2" t="s">
        <v>274</v>
      </c>
      <c r="B95" s="2" t="s">
        <v>123</v>
      </c>
      <c r="C95" s="2" t="s">
        <v>124</v>
      </c>
      <c r="D95" s="3">
        <v>46149</v>
      </c>
      <c r="E95" s="2" t="s">
        <v>275</v>
      </c>
      <c r="F95" s="4">
        <v>10694.6</v>
      </c>
      <c r="G95" s="2" t="s">
        <v>18</v>
      </c>
      <c r="H95" s="5">
        <v>1</v>
      </c>
      <c r="I95" s="3">
        <v>46149</v>
      </c>
      <c r="J95" s="3">
        <v>46149</v>
      </c>
      <c r="K95" s="2" t="s">
        <v>19</v>
      </c>
      <c r="L95" s="5" t="b">
        <f>TRUE()</f>
        <v>1</v>
      </c>
      <c r="M95" s="5" t="b">
        <f>FALSE()</f>
        <v>0</v>
      </c>
      <c r="N95" s="5" t="b">
        <f>FALSE()</f>
        <v>0</v>
      </c>
    </row>
    <row r="96" spans="1:14" x14ac:dyDescent="0.25">
      <c r="A96" s="2" t="s">
        <v>276</v>
      </c>
      <c r="B96" s="2" t="s">
        <v>45</v>
      </c>
      <c r="C96" s="2" t="s">
        <v>46</v>
      </c>
      <c r="D96" s="3">
        <v>46148</v>
      </c>
      <c r="E96" s="2" t="s">
        <v>277</v>
      </c>
      <c r="F96" s="4">
        <v>28224</v>
      </c>
      <c r="G96" s="2" t="s">
        <v>18</v>
      </c>
      <c r="H96" s="5">
        <v>2</v>
      </c>
      <c r="I96" s="3">
        <v>46148</v>
      </c>
      <c r="J96" s="3">
        <v>46148</v>
      </c>
      <c r="K96" s="2" t="s">
        <v>19</v>
      </c>
      <c r="L96" s="5" t="b">
        <f>TRUE()</f>
        <v>1</v>
      </c>
      <c r="M96" s="5" t="b">
        <f>FALSE()</f>
        <v>0</v>
      </c>
      <c r="N96" s="5" t="b">
        <f>FALSE()</f>
        <v>0</v>
      </c>
    </row>
    <row r="97" spans="1:14" x14ac:dyDescent="0.25">
      <c r="A97" s="2" t="s">
        <v>278</v>
      </c>
      <c r="B97" s="2" t="s">
        <v>25</v>
      </c>
      <c r="C97" s="2" t="s">
        <v>26</v>
      </c>
      <c r="D97" s="3">
        <v>46148</v>
      </c>
      <c r="E97" s="2" t="s">
        <v>279</v>
      </c>
      <c r="F97" s="4">
        <v>13715.5</v>
      </c>
      <c r="G97" s="2" t="s">
        <v>18</v>
      </c>
      <c r="H97" s="5">
        <v>3</v>
      </c>
      <c r="I97" s="3">
        <v>46148</v>
      </c>
      <c r="J97" s="3">
        <v>46148</v>
      </c>
      <c r="K97" s="2" t="s">
        <v>19</v>
      </c>
      <c r="L97" s="5" t="b">
        <f>FALSE()</f>
        <v>0</v>
      </c>
      <c r="M97" s="5" t="b">
        <f>FALSE()</f>
        <v>0</v>
      </c>
      <c r="N97" s="5" t="b">
        <f>FALSE()</f>
        <v>0</v>
      </c>
    </row>
    <row r="98" spans="1:14" x14ac:dyDescent="0.25">
      <c r="A98" s="2" t="s">
        <v>280</v>
      </c>
      <c r="B98" s="2" t="s">
        <v>81</v>
      </c>
      <c r="C98" s="2" t="s">
        <v>82</v>
      </c>
      <c r="D98" s="3">
        <v>46148</v>
      </c>
      <c r="E98" s="2" t="s">
        <v>281</v>
      </c>
      <c r="F98" s="4">
        <v>19768</v>
      </c>
      <c r="G98" s="2" t="s">
        <v>18</v>
      </c>
      <c r="H98" s="5">
        <v>2</v>
      </c>
      <c r="I98" s="3">
        <v>46148</v>
      </c>
      <c r="J98" s="3">
        <v>46148</v>
      </c>
      <c r="K98" s="2" t="s">
        <v>19</v>
      </c>
      <c r="L98" s="5" t="b">
        <f>TRUE()</f>
        <v>1</v>
      </c>
      <c r="M98" s="5" t="b">
        <f>FALSE()</f>
        <v>0</v>
      </c>
      <c r="N98" s="5" t="b">
        <f>FALSE()</f>
        <v>0</v>
      </c>
    </row>
    <row r="99" spans="1:14" x14ac:dyDescent="0.25">
      <c r="A99" s="2" t="s">
        <v>282</v>
      </c>
      <c r="B99" s="2" t="s">
        <v>145</v>
      </c>
      <c r="C99" s="2" t="s">
        <v>146</v>
      </c>
      <c r="D99" s="3">
        <v>46148</v>
      </c>
      <c r="E99" s="2" t="s">
        <v>283</v>
      </c>
      <c r="F99" s="4">
        <v>20478.8</v>
      </c>
      <c r="G99" s="2" t="s">
        <v>18</v>
      </c>
      <c r="H99" s="5">
        <v>2</v>
      </c>
      <c r="I99" s="3">
        <v>46149</v>
      </c>
      <c r="J99" s="3">
        <v>46149</v>
      </c>
      <c r="K99" s="2" t="s">
        <v>19</v>
      </c>
      <c r="L99" s="5" t="b">
        <f>TRUE()</f>
        <v>1</v>
      </c>
      <c r="M99" s="5" t="b">
        <f>FALSE()</f>
        <v>0</v>
      </c>
      <c r="N99" s="5" t="b">
        <f>FALSE()</f>
        <v>0</v>
      </c>
    </row>
    <row r="100" spans="1:14" x14ac:dyDescent="0.25">
      <c r="A100" s="2" t="s">
        <v>284</v>
      </c>
      <c r="B100" s="2" t="s">
        <v>135</v>
      </c>
      <c r="C100" s="2" t="s">
        <v>136</v>
      </c>
      <c r="D100" s="3">
        <v>46147</v>
      </c>
      <c r="E100" s="2" t="s">
        <v>285</v>
      </c>
      <c r="F100" s="4">
        <v>24663</v>
      </c>
      <c r="G100" s="2" t="s">
        <v>18</v>
      </c>
      <c r="H100" s="5">
        <v>3</v>
      </c>
      <c r="I100" s="3">
        <v>46147</v>
      </c>
      <c r="J100" s="3">
        <v>46147</v>
      </c>
      <c r="K100" s="2" t="s">
        <v>19</v>
      </c>
      <c r="L100" s="5" t="b">
        <f>TRUE()</f>
        <v>1</v>
      </c>
      <c r="M100" s="5" t="b">
        <f>FALSE()</f>
        <v>0</v>
      </c>
      <c r="N100" s="5" t="b">
        <f>FALSE()</f>
        <v>0</v>
      </c>
    </row>
    <row r="101" spans="1:14" x14ac:dyDescent="0.25">
      <c r="A101" s="2" t="s">
        <v>286</v>
      </c>
      <c r="B101" s="2" t="s">
        <v>33</v>
      </c>
      <c r="C101" s="2" t="s">
        <v>34</v>
      </c>
      <c r="D101" s="3">
        <v>46147</v>
      </c>
      <c r="E101" s="2" t="s">
        <v>287</v>
      </c>
      <c r="F101" s="4">
        <v>25695.84</v>
      </c>
      <c r="G101" s="2" t="s">
        <v>18</v>
      </c>
      <c r="H101" s="5">
        <v>4</v>
      </c>
      <c r="I101" s="3">
        <v>46147</v>
      </c>
      <c r="J101" s="3">
        <v>46147</v>
      </c>
      <c r="K101" s="2" t="s">
        <v>19</v>
      </c>
      <c r="L101" s="5" t="b">
        <f>TRUE()</f>
        <v>1</v>
      </c>
      <c r="M101" s="5" t="b">
        <f>FALSE()</f>
        <v>0</v>
      </c>
      <c r="N101" s="5" t="b">
        <f>FALSE()</f>
        <v>0</v>
      </c>
    </row>
    <row r="102" spans="1:14" x14ac:dyDescent="0.25">
      <c r="A102" s="2" t="s">
        <v>288</v>
      </c>
      <c r="B102" s="2" t="s">
        <v>87</v>
      </c>
      <c r="C102" s="2" t="s">
        <v>88</v>
      </c>
      <c r="D102" s="3">
        <v>46147</v>
      </c>
      <c r="E102" s="2" t="s">
        <v>289</v>
      </c>
      <c r="F102" s="4">
        <v>34693.599999999999</v>
      </c>
      <c r="G102" s="2" t="s">
        <v>18</v>
      </c>
      <c r="H102" s="5">
        <v>2</v>
      </c>
      <c r="I102" s="3">
        <v>46147</v>
      </c>
      <c r="J102" s="3">
        <v>46147</v>
      </c>
      <c r="K102" s="2" t="s">
        <v>19</v>
      </c>
      <c r="L102" s="5" t="b">
        <f>FALSE()</f>
        <v>0</v>
      </c>
      <c r="M102" s="5" t="b">
        <f>FALSE()</f>
        <v>0</v>
      </c>
      <c r="N102" s="5" t="b">
        <f>FALSE()</f>
        <v>0</v>
      </c>
    </row>
    <row r="103" spans="1:14" x14ac:dyDescent="0.25">
      <c r="A103" s="2" t="s">
        <v>290</v>
      </c>
      <c r="B103" s="2" t="s">
        <v>99</v>
      </c>
      <c r="C103" s="2" t="s">
        <v>100</v>
      </c>
      <c r="D103" s="3">
        <v>46146</v>
      </c>
      <c r="E103" s="2" t="s">
        <v>291</v>
      </c>
      <c r="F103" s="4">
        <v>33250.879999999997</v>
      </c>
      <c r="G103" s="2" t="s">
        <v>18</v>
      </c>
      <c r="H103" s="5">
        <v>2</v>
      </c>
      <c r="I103" s="3">
        <v>46146</v>
      </c>
      <c r="J103" s="3">
        <v>46146</v>
      </c>
      <c r="K103" s="2" t="s">
        <v>19</v>
      </c>
      <c r="L103" s="5" t="b">
        <f>TRUE()</f>
        <v>1</v>
      </c>
      <c r="M103" s="5" t="b">
        <f>FALSE()</f>
        <v>0</v>
      </c>
      <c r="N103" s="5" t="b">
        <f>FALSE()</f>
        <v>0</v>
      </c>
    </row>
    <row r="104" spans="1:14" x14ac:dyDescent="0.25">
      <c r="A104" s="2" t="s">
        <v>292</v>
      </c>
      <c r="B104" s="2" t="s">
        <v>181</v>
      </c>
      <c r="C104" s="2" t="s">
        <v>182</v>
      </c>
      <c r="D104" s="3">
        <v>46146</v>
      </c>
      <c r="E104" s="2" t="s">
        <v>293</v>
      </c>
      <c r="F104" s="4">
        <v>21658.52</v>
      </c>
      <c r="G104" s="2" t="s">
        <v>18</v>
      </c>
      <c r="H104" s="5">
        <v>2</v>
      </c>
      <c r="I104" s="3">
        <v>46146</v>
      </c>
      <c r="J104" s="3">
        <v>46146</v>
      </c>
      <c r="K104" s="2" t="s">
        <v>19</v>
      </c>
      <c r="L104" s="5" t="b">
        <f>FALSE()</f>
        <v>0</v>
      </c>
      <c r="M104" s="5" t="b">
        <f>FALSE()</f>
        <v>0</v>
      </c>
      <c r="N104" s="5" t="b">
        <f>FALSE()</f>
        <v>0</v>
      </c>
    </row>
    <row r="105" spans="1:14" x14ac:dyDescent="0.25">
      <c r="A105" s="2" t="s">
        <v>294</v>
      </c>
      <c r="B105" s="2" t="s">
        <v>295</v>
      </c>
      <c r="C105" s="2" t="s">
        <v>296</v>
      </c>
      <c r="D105" s="3">
        <v>46146</v>
      </c>
      <c r="E105" s="2" t="s">
        <v>297</v>
      </c>
      <c r="F105" s="4">
        <v>7828.8</v>
      </c>
      <c r="G105" s="2" t="s">
        <v>18</v>
      </c>
      <c r="H105" s="5">
        <v>1</v>
      </c>
      <c r="I105" s="3">
        <v>46146</v>
      </c>
      <c r="J105" s="3">
        <v>46146</v>
      </c>
      <c r="K105" s="2" t="s">
        <v>19</v>
      </c>
      <c r="L105" s="5" t="b">
        <f>TRUE()</f>
        <v>1</v>
      </c>
      <c r="M105" s="5" t="b">
        <f>FALSE()</f>
        <v>0</v>
      </c>
      <c r="N105" s="5" t="b">
        <f>FALSE()</f>
        <v>0</v>
      </c>
    </row>
    <row r="106" spans="1:14" x14ac:dyDescent="0.25">
      <c r="A106" s="2" t="s">
        <v>298</v>
      </c>
      <c r="B106" s="2" t="s">
        <v>21</v>
      </c>
      <c r="C106" s="2" t="s">
        <v>22</v>
      </c>
      <c r="D106" s="3">
        <v>46142</v>
      </c>
      <c r="E106" s="2" t="s">
        <v>299</v>
      </c>
      <c r="F106" s="4">
        <v>30082.959999999999</v>
      </c>
      <c r="G106" s="2" t="s">
        <v>18</v>
      </c>
      <c r="H106" s="5">
        <v>2</v>
      </c>
      <c r="I106" s="3">
        <v>46142</v>
      </c>
      <c r="J106" s="3">
        <v>46142</v>
      </c>
      <c r="K106" s="2" t="s">
        <v>19</v>
      </c>
      <c r="L106" s="5" t="b">
        <f>TRUE()</f>
        <v>1</v>
      </c>
      <c r="M106" s="5" t="b">
        <f>FALSE()</f>
        <v>0</v>
      </c>
      <c r="N106" s="5" t="b">
        <f>FALSE()</f>
        <v>0</v>
      </c>
    </row>
    <row r="107" spans="1:14" x14ac:dyDescent="0.25">
      <c r="A107" s="2" t="s">
        <v>300</v>
      </c>
      <c r="B107" s="2" t="s">
        <v>73</v>
      </c>
      <c r="C107" s="2" t="s">
        <v>74</v>
      </c>
      <c r="D107" s="3">
        <v>46142</v>
      </c>
      <c r="E107" s="2" t="s">
        <v>301</v>
      </c>
      <c r="F107" s="4">
        <v>18425.400000000001</v>
      </c>
      <c r="G107" s="2" t="s">
        <v>18</v>
      </c>
      <c r="H107" s="5">
        <v>4</v>
      </c>
      <c r="I107" s="3">
        <v>46142</v>
      </c>
      <c r="J107" s="3">
        <v>46142</v>
      </c>
      <c r="K107" s="2" t="s">
        <v>19</v>
      </c>
      <c r="L107" s="5" t="b">
        <f>TRUE()</f>
        <v>1</v>
      </c>
      <c r="M107" s="5" t="b">
        <f>FALSE()</f>
        <v>0</v>
      </c>
      <c r="N107" s="5" t="b">
        <f>FALSE()</f>
        <v>0</v>
      </c>
    </row>
    <row r="108" spans="1:14" x14ac:dyDescent="0.25">
      <c r="A108" s="2" t="s">
        <v>302</v>
      </c>
      <c r="B108" s="2" t="s">
        <v>29</v>
      </c>
      <c r="C108" s="2" t="s">
        <v>30</v>
      </c>
      <c r="D108" s="3">
        <v>46142</v>
      </c>
      <c r="E108" s="2" t="s">
        <v>303</v>
      </c>
      <c r="F108" s="4">
        <v>10568.97</v>
      </c>
      <c r="G108" s="2" t="s">
        <v>18</v>
      </c>
      <c r="H108" s="5">
        <v>1</v>
      </c>
      <c r="I108" s="3">
        <v>46142</v>
      </c>
      <c r="J108" s="3">
        <v>46142</v>
      </c>
      <c r="K108" s="2" t="s">
        <v>19</v>
      </c>
      <c r="L108" s="5" t="b">
        <f>TRUE()</f>
        <v>1</v>
      </c>
      <c r="M108" s="5" t="b">
        <f>FALSE()</f>
        <v>0</v>
      </c>
      <c r="N108" s="5" t="b">
        <f>FALSE()</f>
        <v>0</v>
      </c>
    </row>
    <row r="109" spans="1:14" x14ac:dyDescent="0.25">
      <c r="A109" s="2" t="s">
        <v>304</v>
      </c>
      <c r="B109" s="2" t="s">
        <v>81</v>
      </c>
      <c r="C109" s="2" t="s">
        <v>82</v>
      </c>
      <c r="D109" s="3">
        <v>46142</v>
      </c>
      <c r="E109" s="2" t="s">
        <v>305</v>
      </c>
      <c r="F109" s="4">
        <v>24472</v>
      </c>
      <c r="G109" s="2" t="s">
        <v>18</v>
      </c>
      <c r="H109" s="5">
        <v>2</v>
      </c>
      <c r="I109" s="3">
        <v>46142</v>
      </c>
      <c r="J109" s="3">
        <v>46142</v>
      </c>
      <c r="K109" s="2" t="s">
        <v>19</v>
      </c>
      <c r="L109" s="5" t="b">
        <f>TRUE()</f>
        <v>1</v>
      </c>
      <c r="M109" s="5" t="b">
        <f>FALSE()</f>
        <v>0</v>
      </c>
      <c r="N109" s="5" t="b">
        <f>FALSE()</f>
        <v>0</v>
      </c>
    </row>
    <row r="110" spans="1:14" x14ac:dyDescent="0.25">
      <c r="A110" s="2" t="s">
        <v>306</v>
      </c>
      <c r="B110" s="2" t="s">
        <v>41</v>
      </c>
      <c r="C110" s="2" t="s">
        <v>42</v>
      </c>
      <c r="D110" s="3">
        <v>46141</v>
      </c>
      <c r="E110" s="2" t="s">
        <v>307</v>
      </c>
      <c r="F110" s="4">
        <v>27053.040000000001</v>
      </c>
      <c r="G110" s="2" t="s">
        <v>18</v>
      </c>
      <c r="H110" s="5">
        <v>2</v>
      </c>
      <c r="I110" s="3">
        <v>46141</v>
      </c>
      <c r="J110" s="3">
        <v>46141</v>
      </c>
      <c r="K110" s="2" t="s">
        <v>19</v>
      </c>
      <c r="L110" s="5" t="b">
        <f>TRUE()</f>
        <v>1</v>
      </c>
      <c r="M110" s="5" t="b">
        <f>FALSE()</f>
        <v>0</v>
      </c>
      <c r="N110" s="5" t="b">
        <f>FALSE()</f>
        <v>0</v>
      </c>
    </row>
    <row r="111" spans="1:14" x14ac:dyDescent="0.25">
      <c r="A111" s="2" t="s">
        <v>308</v>
      </c>
      <c r="B111" s="2" t="s">
        <v>227</v>
      </c>
      <c r="C111" s="2" t="s">
        <v>228</v>
      </c>
      <c r="D111" s="3">
        <v>46141</v>
      </c>
      <c r="E111" s="2" t="s">
        <v>309</v>
      </c>
      <c r="F111" s="4">
        <v>11829.6</v>
      </c>
      <c r="G111" s="2" t="s">
        <v>18</v>
      </c>
      <c r="H111" s="5">
        <v>1</v>
      </c>
      <c r="I111" s="3">
        <v>46141</v>
      </c>
      <c r="J111" s="3">
        <v>46141</v>
      </c>
      <c r="K111" s="2" t="s">
        <v>19</v>
      </c>
      <c r="L111" s="5" t="b">
        <f>FALSE()</f>
        <v>0</v>
      </c>
      <c r="M111" s="5" t="b">
        <f>FALSE()</f>
        <v>0</v>
      </c>
      <c r="N111" s="5" t="b">
        <f>FALSE()</f>
        <v>0</v>
      </c>
    </row>
    <row r="112" spans="1:14" x14ac:dyDescent="0.25">
      <c r="A112" s="2" t="s">
        <v>310</v>
      </c>
      <c r="B112" s="2" t="s">
        <v>81</v>
      </c>
      <c r="C112" s="2" t="s">
        <v>82</v>
      </c>
      <c r="D112" s="3">
        <v>46140</v>
      </c>
      <c r="E112" s="2" t="s">
        <v>311</v>
      </c>
      <c r="F112" s="4">
        <v>2016</v>
      </c>
      <c r="G112" s="2" t="s">
        <v>18</v>
      </c>
      <c r="H112" s="5">
        <v>5</v>
      </c>
      <c r="I112" s="3">
        <v>46140</v>
      </c>
      <c r="J112" s="3">
        <v>46140</v>
      </c>
      <c r="K112" s="2" t="s">
        <v>19</v>
      </c>
      <c r="L112" s="5" t="b">
        <f>FALSE()</f>
        <v>0</v>
      </c>
      <c r="M112" s="5" t="b">
        <f>FALSE()</f>
        <v>0</v>
      </c>
      <c r="N112" s="5" t="b">
        <f>FALSE()</f>
        <v>0</v>
      </c>
    </row>
    <row r="113" spans="1:14" x14ac:dyDescent="0.25">
      <c r="A113" s="2" t="s">
        <v>312</v>
      </c>
      <c r="B113" s="2" t="s">
        <v>167</v>
      </c>
      <c r="C113" s="2" t="s">
        <v>168</v>
      </c>
      <c r="D113" s="3">
        <v>46140</v>
      </c>
      <c r="E113" s="2" t="s">
        <v>313</v>
      </c>
      <c r="F113" s="4">
        <v>16154.6</v>
      </c>
      <c r="G113" s="2" t="s">
        <v>18</v>
      </c>
      <c r="H113" s="5">
        <v>2</v>
      </c>
      <c r="I113" s="3">
        <v>46140</v>
      </c>
      <c r="J113" s="3">
        <v>46140</v>
      </c>
      <c r="K113" s="2" t="s">
        <v>19</v>
      </c>
      <c r="L113" s="5" t="b">
        <f>TRUE()</f>
        <v>1</v>
      </c>
      <c r="M113" s="5" t="b">
        <f>FALSE()</f>
        <v>0</v>
      </c>
      <c r="N113" s="5" t="b">
        <f>FALSE()</f>
        <v>0</v>
      </c>
    </row>
    <row r="114" spans="1:14" x14ac:dyDescent="0.25">
      <c r="A114" s="2" t="s">
        <v>314</v>
      </c>
      <c r="B114" s="2" t="s">
        <v>65</v>
      </c>
      <c r="C114" s="2" t="s">
        <v>315</v>
      </c>
      <c r="D114" s="3">
        <v>46140</v>
      </c>
      <c r="E114" s="2" t="s">
        <v>316</v>
      </c>
      <c r="F114" s="4">
        <v>35103.599999999999</v>
      </c>
      <c r="G114" s="2" t="s">
        <v>18</v>
      </c>
      <c r="H114" s="5">
        <v>6</v>
      </c>
      <c r="I114" s="3">
        <v>46140</v>
      </c>
      <c r="J114" s="3">
        <v>46140</v>
      </c>
      <c r="K114" s="2" t="s">
        <v>19</v>
      </c>
      <c r="L114" s="5" t="b">
        <f>TRUE()</f>
        <v>1</v>
      </c>
      <c r="M114" s="5" t="b">
        <f>FALSE()</f>
        <v>0</v>
      </c>
      <c r="N114" s="5" t="b">
        <f>FALSE()</f>
        <v>0</v>
      </c>
    </row>
    <row r="115" spans="1:14" x14ac:dyDescent="0.25">
      <c r="A115" s="2" t="s">
        <v>317</v>
      </c>
      <c r="B115" s="2" t="s">
        <v>41</v>
      </c>
      <c r="C115" s="2" t="s">
        <v>42</v>
      </c>
      <c r="D115" s="3">
        <v>46139</v>
      </c>
      <c r="E115" s="2" t="s">
        <v>318</v>
      </c>
      <c r="F115" s="4">
        <v>27570.04</v>
      </c>
      <c r="G115" s="2" t="s">
        <v>18</v>
      </c>
      <c r="H115" s="5">
        <v>2</v>
      </c>
      <c r="I115" s="3">
        <v>46139</v>
      </c>
      <c r="J115" s="3">
        <v>46139</v>
      </c>
      <c r="K115" s="2" t="s">
        <v>19</v>
      </c>
      <c r="L115" s="5" t="b">
        <f>TRUE()</f>
        <v>1</v>
      </c>
      <c r="M115" s="5" t="b">
        <f>FALSE()</f>
        <v>0</v>
      </c>
      <c r="N115" s="5" t="b">
        <f>FALSE()</f>
        <v>0</v>
      </c>
    </row>
    <row r="116" spans="1:14" x14ac:dyDescent="0.25">
      <c r="A116" s="2" t="s">
        <v>319</v>
      </c>
      <c r="B116" s="2" t="s">
        <v>177</v>
      </c>
      <c r="C116" s="2" t="s">
        <v>178</v>
      </c>
      <c r="D116" s="3">
        <v>46139</v>
      </c>
      <c r="E116" s="2" t="s">
        <v>320</v>
      </c>
      <c r="F116" s="4">
        <v>10668.4</v>
      </c>
      <c r="G116" s="2" t="s">
        <v>18</v>
      </c>
      <c r="H116" s="5">
        <v>2</v>
      </c>
      <c r="I116" s="3">
        <v>46139</v>
      </c>
      <c r="J116" s="3">
        <v>46139</v>
      </c>
      <c r="K116" s="2" t="s">
        <v>19</v>
      </c>
      <c r="L116" s="5" t="b">
        <f>TRUE()</f>
        <v>1</v>
      </c>
      <c r="M116" s="5" t="b">
        <f>FALSE()</f>
        <v>0</v>
      </c>
      <c r="N116" s="5" t="b">
        <f>FALSE()</f>
        <v>0</v>
      </c>
    </row>
    <row r="117" spans="1:14" x14ac:dyDescent="0.25">
      <c r="A117" s="2" t="s">
        <v>321</v>
      </c>
      <c r="B117" s="2" t="s">
        <v>29</v>
      </c>
      <c r="C117" s="2" t="s">
        <v>30</v>
      </c>
      <c r="D117" s="3">
        <v>46136</v>
      </c>
      <c r="E117" s="2" t="s">
        <v>322</v>
      </c>
      <c r="F117" s="4">
        <v>15403.24</v>
      </c>
      <c r="G117" s="2" t="s">
        <v>18</v>
      </c>
      <c r="H117" s="5">
        <v>1</v>
      </c>
      <c r="I117" s="3">
        <v>46136</v>
      </c>
      <c r="J117" s="3">
        <v>46136</v>
      </c>
      <c r="K117" s="2" t="s">
        <v>19</v>
      </c>
      <c r="L117" s="5" t="b">
        <f>TRUE()</f>
        <v>1</v>
      </c>
      <c r="M117" s="5" t="b">
        <f>FALSE()</f>
        <v>0</v>
      </c>
      <c r="N117" s="5" t="b">
        <f>FALSE()</f>
        <v>0</v>
      </c>
    </row>
    <row r="118" spans="1:14" x14ac:dyDescent="0.25">
      <c r="A118" s="2" t="s">
        <v>323</v>
      </c>
      <c r="B118" s="2" t="s">
        <v>21</v>
      </c>
      <c r="C118" s="2" t="s">
        <v>22</v>
      </c>
      <c r="D118" s="3">
        <v>46135</v>
      </c>
      <c r="E118" s="2" t="s">
        <v>324</v>
      </c>
      <c r="F118" s="4">
        <v>28252.04</v>
      </c>
      <c r="G118" s="2" t="s">
        <v>18</v>
      </c>
      <c r="H118" s="5">
        <v>2</v>
      </c>
      <c r="I118" s="3">
        <v>46135</v>
      </c>
      <c r="J118" s="3">
        <v>46135</v>
      </c>
      <c r="K118" s="2" t="s">
        <v>19</v>
      </c>
      <c r="L118" s="5" t="b">
        <f>TRUE()</f>
        <v>1</v>
      </c>
      <c r="M118" s="5" t="b">
        <f>FALSE()</f>
        <v>0</v>
      </c>
      <c r="N118" s="5" t="b">
        <f>FALSE()</f>
        <v>0</v>
      </c>
    </row>
    <row r="119" spans="1:14" x14ac:dyDescent="0.25">
      <c r="A119" s="2" t="s">
        <v>325</v>
      </c>
      <c r="B119" s="2" t="s">
        <v>69</v>
      </c>
      <c r="C119" s="2" t="s">
        <v>70</v>
      </c>
      <c r="D119" s="3">
        <v>46135</v>
      </c>
      <c r="E119" s="2" t="s">
        <v>326</v>
      </c>
      <c r="F119" s="4">
        <v>1973.6</v>
      </c>
      <c r="G119" s="2" t="s">
        <v>18</v>
      </c>
      <c r="H119" s="5">
        <v>1</v>
      </c>
      <c r="I119" s="3">
        <v>46135</v>
      </c>
      <c r="J119" s="3">
        <v>46135</v>
      </c>
      <c r="K119" s="2" t="s">
        <v>19</v>
      </c>
      <c r="L119" s="5" t="b">
        <f>TRUE()</f>
        <v>1</v>
      </c>
      <c r="M119" s="5" t="b">
        <f>FALSE()</f>
        <v>0</v>
      </c>
      <c r="N119" s="5" t="b">
        <f>FALSE()</f>
        <v>0</v>
      </c>
    </row>
    <row r="120" spans="1:14" x14ac:dyDescent="0.25">
      <c r="A120" s="2" t="s">
        <v>327</v>
      </c>
      <c r="B120" s="2" t="s">
        <v>29</v>
      </c>
      <c r="C120" s="2" t="s">
        <v>30</v>
      </c>
      <c r="D120" s="3">
        <v>46135</v>
      </c>
      <c r="E120" s="2" t="s">
        <v>328</v>
      </c>
      <c r="F120" s="4">
        <v>12612.88</v>
      </c>
      <c r="G120" s="2" t="s">
        <v>18</v>
      </c>
      <c r="H120" s="5">
        <v>1</v>
      </c>
      <c r="I120" s="3">
        <v>46135</v>
      </c>
      <c r="J120" s="3">
        <v>46135</v>
      </c>
      <c r="K120" s="2" t="s">
        <v>19</v>
      </c>
      <c r="L120" s="5" t="b">
        <f>TRUE()</f>
        <v>1</v>
      </c>
      <c r="M120" s="5" t="b">
        <f>FALSE()</f>
        <v>0</v>
      </c>
      <c r="N120" s="5" t="b">
        <f>FALSE()</f>
        <v>0</v>
      </c>
    </row>
    <row r="121" spans="1:14" x14ac:dyDescent="0.25">
      <c r="A121" s="2" t="s">
        <v>329</v>
      </c>
      <c r="B121" s="2" t="s">
        <v>139</v>
      </c>
      <c r="C121" s="2" t="s">
        <v>140</v>
      </c>
      <c r="D121" s="3">
        <v>46135</v>
      </c>
      <c r="E121" s="2" t="s">
        <v>330</v>
      </c>
      <c r="F121" s="4">
        <v>16007.27</v>
      </c>
      <c r="G121" s="2" t="s">
        <v>18</v>
      </c>
      <c r="H121" s="5">
        <v>2</v>
      </c>
      <c r="I121" s="3">
        <v>46135</v>
      </c>
      <c r="J121" s="3">
        <v>46135</v>
      </c>
      <c r="K121" s="2" t="s">
        <v>19</v>
      </c>
      <c r="L121" s="5" t="b">
        <f>TRUE()</f>
        <v>1</v>
      </c>
      <c r="M121" s="5" t="b">
        <f>FALSE()</f>
        <v>0</v>
      </c>
      <c r="N121" s="5" t="b">
        <f>FALSE()</f>
        <v>0</v>
      </c>
    </row>
    <row r="122" spans="1:14" x14ac:dyDescent="0.25">
      <c r="A122" s="2" t="s">
        <v>331</v>
      </c>
      <c r="B122" s="2" t="s">
        <v>25</v>
      </c>
      <c r="C122" s="2" t="s">
        <v>26</v>
      </c>
      <c r="D122" s="3">
        <v>46134</v>
      </c>
      <c r="E122" s="2" t="s">
        <v>332</v>
      </c>
      <c r="F122" s="4">
        <v>7433.44</v>
      </c>
      <c r="G122" s="2" t="s">
        <v>18</v>
      </c>
      <c r="H122" s="5">
        <v>4</v>
      </c>
      <c r="I122" s="3">
        <v>46134</v>
      </c>
      <c r="J122" s="3">
        <v>46134</v>
      </c>
      <c r="K122" s="2" t="s">
        <v>19</v>
      </c>
      <c r="L122" s="5" t="b">
        <f>FALSE()</f>
        <v>0</v>
      </c>
      <c r="M122" s="5" t="b">
        <f>FALSE()</f>
        <v>0</v>
      </c>
      <c r="N122" s="5" t="b">
        <f>FALSE()</f>
        <v>0</v>
      </c>
    </row>
    <row r="123" spans="1:14" x14ac:dyDescent="0.25">
      <c r="A123" s="2" t="s">
        <v>333</v>
      </c>
      <c r="B123" s="2" t="s">
        <v>33</v>
      </c>
      <c r="C123" s="2" t="s">
        <v>34</v>
      </c>
      <c r="D123" s="3">
        <v>46134</v>
      </c>
      <c r="E123" s="2" t="s">
        <v>334</v>
      </c>
      <c r="F123" s="4">
        <v>20203.16</v>
      </c>
      <c r="G123" s="2" t="s">
        <v>18</v>
      </c>
      <c r="H123" s="5">
        <v>4</v>
      </c>
      <c r="I123" s="3">
        <v>46134</v>
      </c>
      <c r="J123" s="3">
        <v>46134</v>
      </c>
      <c r="K123" s="2" t="s">
        <v>19</v>
      </c>
      <c r="L123" s="5" t="b">
        <f>TRUE()</f>
        <v>1</v>
      </c>
      <c r="M123" s="5" t="b">
        <f>FALSE()</f>
        <v>0</v>
      </c>
      <c r="N123" s="5" t="b">
        <f>FALSE()</f>
        <v>0</v>
      </c>
    </row>
    <row r="124" spans="1:14" x14ac:dyDescent="0.25">
      <c r="A124" s="2" t="s">
        <v>335</v>
      </c>
      <c r="B124" s="2" t="s">
        <v>145</v>
      </c>
      <c r="C124" s="2" t="s">
        <v>146</v>
      </c>
      <c r="D124" s="3">
        <v>46134</v>
      </c>
      <c r="E124" s="2" t="s">
        <v>336</v>
      </c>
      <c r="F124" s="4">
        <v>21253.599999999999</v>
      </c>
      <c r="G124" s="2" t="s">
        <v>18</v>
      </c>
      <c r="H124" s="5">
        <v>2</v>
      </c>
      <c r="I124" s="3">
        <v>46134</v>
      </c>
      <c r="J124" s="3">
        <v>46134</v>
      </c>
      <c r="K124" s="2" t="s">
        <v>19</v>
      </c>
      <c r="L124" s="5" t="b">
        <f>TRUE()</f>
        <v>1</v>
      </c>
      <c r="M124" s="5" t="b">
        <f>FALSE()</f>
        <v>0</v>
      </c>
      <c r="N124" s="5" t="b">
        <f>FALSE()</f>
        <v>0</v>
      </c>
    </row>
    <row r="125" spans="1:14" x14ac:dyDescent="0.25">
      <c r="A125" s="2" t="s">
        <v>337</v>
      </c>
      <c r="B125" s="2" t="s">
        <v>81</v>
      </c>
      <c r="C125" s="2" t="s">
        <v>82</v>
      </c>
      <c r="D125" s="3">
        <v>46134</v>
      </c>
      <c r="E125" s="2" t="s">
        <v>338</v>
      </c>
      <c r="F125" s="4">
        <v>15456</v>
      </c>
      <c r="G125" s="2" t="s">
        <v>18</v>
      </c>
      <c r="H125" s="5">
        <v>4</v>
      </c>
      <c r="I125" s="3">
        <v>46134</v>
      </c>
      <c r="J125" s="3">
        <v>46134</v>
      </c>
      <c r="K125" s="2" t="s">
        <v>19</v>
      </c>
      <c r="L125" s="5" t="b">
        <f>TRUE()</f>
        <v>1</v>
      </c>
      <c r="M125" s="5" t="b">
        <f>FALSE()</f>
        <v>0</v>
      </c>
      <c r="N125" s="5" t="b">
        <f>FALSE()</f>
        <v>0</v>
      </c>
    </row>
    <row r="126" spans="1:14" x14ac:dyDescent="0.25">
      <c r="A126" s="2" t="s">
        <v>339</v>
      </c>
      <c r="B126" s="2" t="s">
        <v>135</v>
      </c>
      <c r="C126" s="2" t="s">
        <v>340</v>
      </c>
      <c r="D126" s="3">
        <v>46134</v>
      </c>
      <c r="E126" s="2" t="s">
        <v>341</v>
      </c>
      <c r="F126" s="4">
        <v>24502.6</v>
      </c>
      <c r="G126" s="2" t="s">
        <v>18</v>
      </c>
      <c r="H126" s="5">
        <v>3</v>
      </c>
      <c r="I126" s="3">
        <v>46134</v>
      </c>
      <c r="J126" s="3">
        <v>46134</v>
      </c>
      <c r="K126" s="2" t="s">
        <v>19</v>
      </c>
      <c r="L126" s="5" t="b">
        <f>TRUE()</f>
        <v>1</v>
      </c>
      <c r="M126" s="5" t="b">
        <f>FALSE()</f>
        <v>0</v>
      </c>
      <c r="N126" s="5" t="b">
        <f>FALSE()</f>
        <v>0</v>
      </c>
    </row>
    <row r="127" spans="1:14" x14ac:dyDescent="0.25">
      <c r="A127" s="2" t="s">
        <v>342</v>
      </c>
      <c r="B127" s="2" t="s">
        <v>45</v>
      </c>
      <c r="C127" s="2" t="s">
        <v>46</v>
      </c>
      <c r="D127" s="3">
        <v>46133</v>
      </c>
      <c r="E127" s="2" t="s">
        <v>343</v>
      </c>
      <c r="F127" s="4">
        <v>6416.64</v>
      </c>
      <c r="G127" s="2" t="s">
        <v>18</v>
      </c>
      <c r="H127" s="5">
        <v>2</v>
      </c>
      <c r="I127" s="3">
        <v>46133</v>
      </c>
      <c r="J127" s="3">
        <v>46133</v>
      </c>
      <c r="K127" s="2" t="s">
        <v>19</v>
      </c>
      <c r="L127" s="5" t="b">
        <f>TRUE()</f>
        <v>1</v>
      </c>
      <c r="M127" s="5" t="b">
        <f>FALSE()</f>
        <v>0</v>
      </c>
      <c r="N127" s="5" t="b">
        <f>FALSE()</f>
        <v>0</v>
      </c>
    </row>
    <row r="128" spans="1:14" x14ac:dyDescent="0.25">
      <c r="A128" s="2" t="s">
        <v>344</v>
      </c>
      <c r="B128" s="2" t="s">
        <v>15</v>
      </c>
      <c r="C128" s="2" t="s">
        <v>16</v>
      </c>
      <c r="D128" s="3">
        <v>46133</v>
      </c>
      <c r="E128" s="2" t="s">
        <v>345</v>
      </c>
      <c r="F128" s="4">
        <v>32264.400000000001</v>
      </c>
      <c r="G128" s="2" t="s">
        <v>18</v>
      </c>
      <c r="H128" s="5">
        <v>1</v>
      </c>
      <c r="I128" s="3">
        <v>46133</v>
      </c>
      <c r="J128" s="3">
        <v>46133</v>
      </c>
      <c r="K128" s="2" t="s">
        <v>19</v>
      </c>
      <c r="L128" s="5" t="b">
        <f>FALSE()</f>
        <v>0</v>
      </c>
      <c r="M128" s="5" t="b">
        <f>FALSE()</f>
        <v>0</v>
      </c>
      <c r="N128" s="5" t="b">
        <f>FALSE()</f>
        <v>0</v>
      </c>
    </row>
    <row r="129" spans="1:14" x14ac:dyDescent="0.25">
      <c r="A129" s="2" t="s">
        <v>346</v>
      </c>
      <c r="B129" s="2" t="s">
        <v>87</v>
      </c>
      <c r="C129" s="2" t="s">
        <v>88</v>
      </c>
      <c r="D129" s="3">
        <v>46133</v>
      </c>
      <c r="E129" s="2" t="s">
        <v>347</v>
      </c>
      <c r="F129" s="4">
        <v>33460.42</v>
      </c>
      <c r="G129" s="2" t="s">
        <v>18</v>
      </c>
      <c r="H129" s="5">
        <v>2</v>
      </c>
      <c r="I129" s="3">
        <v>46133</v>
      </c>
      <c r="J129" s="3">
        <v>46133</v>
      </c>
      <c r="K129" s="2" t="s">
        <v>19</v>
      </c>
      <c r="L129" s="5" t="b">
        <f>TRUE()</f>
        <v>1</v>
      </c>
      <c r="M129" s="5" t="b">
        <f>FALSE()</f>
        <v>0</v>
      </c>
      <c r="N129" s="5" t="b">
        <f>FALSE()</f>
        <v>0</v>
      </c>
    </row>
    <row r="130" spans="1:14" x14ac:dyDescent="0.25">
      <c r="A130" s="2" t="s">
        <v>348</v>
      </c>
      <c r="B130" s="2" t="s">
        <v>49</v>
      </c>
      <c r="C130" s="2" t="s">
        <v>349</v>
      </c>
      <c r="D130" s="3">
        <v>46133</v>
      </c>
      <c r="E130" s="2" t="s">
        <v>350</v>
      </c>
      <c r="F130" s="4">
        <v>1854</v>
      </c>
      <c r="G130" s="2" t="s">
        <v>18</v>
      </c>
      <c r="H130" s="5">
        <v>1</v>
      </c>
      <c r="I130" s="3">
        <v>46133</v>
      </c>
      <c r="J130" s="3">
        <v>46133</v>
      </c>
      <c r="K130" s="2" t="s">
        <v>19</v>
      </c>
      <c r="L130" s="5" t="b">
        <f>TRUE()</f>
        <v>1</v>
      </c>
      <c r="M130" s="5" t="b">
        <f>FALSE()</f>
        <v>0</v>
      </c>
      <c r="N130" s="5" t="b">
        <f>FALSE()</f>
        <v>0</v>
      </c>
    </row>
    <row r="131" spans="1:14" x14ac:dyDescent="0.25">
      <c r="A131" s="2" t="s">
        <v>351</v>
      </c>
      <c r="B131" s="2" t="s">
        <v>65</v>
      </c>
      <c r="C131" s="2" t="s">
        <v>315</v>
      </c>
      <c r="D131" s="3">
        <v>46133</v>
      </c>
      <c r="E131" s="2" t="s">
        <v>352</v>
      </c>
      <c r="F131" s="4">
        <v>31584</v>
      </c>
      <c r="G131" s="2" t="s">
        <v>18</v>
      </c>
      <c r="H131" s="5">
        <v>2</v>
      </c>
      <c r="I131" s="3">
        <v>46133</v>
      </c>
      <c r="J131" s="3">
        <v>46133</v>
      </c>
      <c r="K131" s="2" t="s">
        <v>19</v>
      </c>
      <c r="L131" s="5" t="b">
        <f>TRUE()</f>
        <v>1</v>
      </c>
      <c r="M131" s="5" t="b">
        <f>FALSE()</f>
        <v>0</v>
      </c>
      <c r="N131" s="5" t="b">
        <f>FALSE()</f>
        <v>0</v>
      </c>
    </row>
    <row r="132" spans="1:14" x14ac:dyDescent="0.25">
      <c r="A132" s="2" t="s">
        <v>353</v>
      </c>
      <c r="B132" s="2" t="s">
        <v>163</v>
      </c>
      <c r="C132" s="2" t="s">
        <v>164</v>
      </c>
      <c r="D132" s="3">
        <v>46132</v>
      </c>
      <c r="E132" s="2" t="s">
        <v>354</v>
      </c>
      <c r="F132" s="4">
        <v>9797.76</v>
      </c>
      <c r="G132" s="2" t="s">
        <v>18</v>
      </c>
      <c r="H132" s="5">
        <v>1</v>
      </c>
      <c r="I132" s="3">
        <v>46132</v>
      </c>
      <c r="J132" s="3">
        <v>46132</v>
      </c>
      <c r="K132" s="2" t="s">
        <v>19</v>
      </c>
      <c r="L132" s="5" t="b">
        <f>TRUE()</f>
        <v>1</v>
      </c>
      <c r="M132" s="5" t="b">
        <f>FALSE()</f>
        <v>0</v>
      </c>
      <c r="N132" s="5" t="b">
        <f>FALSE()</f>
        <v>0</v>
      </c>
    </row>
    <row r="133" spans="1:14" x14ac:dyDescent="0.25">
      <c r="A133" s="2" t="s">
        <v>355</v>
      </c>
      <c r="B133" s="2" t="s">
        <v>119</v>
      </c>
      <c r="C133" s="2" t="s">
        <v>120</v>
      </c>
      <c r="D133" s="3">
        <v>46132</v>
      </c>
      <c r="E133" s="2" t="s">
        <v>356</v>
      </c>
      <c r="F133" s="4">
        <v>12248.36</v>
      </c>
      <c r="G133" s="2" t="s">
        <v>18</v>
      </c>
      <c r="H133" s="5">
        <v>2</v>
      </c>
      <c r="I133" s="3">
        <v>46132</v>
      </c>
      <c r="J133" s="3">
        <v>46132</v>
      </c>
      <c r="K133" s="2" t="s">
        <v>19</v>
      </c>
      <c r="L133" s="5" t="b">
        <f>TRUE()</f>
        <v>1</v>
      </c>
      <c r="M133" s="5" t="b">
        <f>FALSE()</f>
        <v>0</v>
      </c>
      <c r="N133" s="5" t="b">
        <f>FALSE()</f>
        <v>0</v>
      </c>
    </row>
    <row r="134" spans="1:14" x14ac:dyDescent="0.25">
      <c r="A134" s="2" t="s">
        <v>357</v>
      </c>
      <c r="B134" s="2" t="s">
        <v>59</v>
      </c>
      <c r="C134" s="2" t="s">
        <v>60</v>
      </c>
      <c r="D134" s="3">
        <v>46132</v>
      </c>
      <c r="E134" s="2" t="s">
        <v>358</v>
      </c>
      <c r="F134" s="4">
        <v>30099.68</v>
      </c>
      <c r="G134" s="2" t="s">
        <v>18</v>
      </c>
      <c r="H134" s="5">
        <v>4</v>
      </c>
      <c r="I134" s="3">
        <v>46132</v>
      </c>
      <c r="J134" s="3">
        <v>46132</v>
      </c>
      <c r="K134" s="2" t="s">
        <v>19</v>
      </c>
      <c r="L134" s="5" t="b">
        <f>TRUE()</f>
        <v>1</v>
      </c>
      <c r="M134" s="5" t="b">
        <f>FALSE()</f>
        <v>0</v>
      </c>
      <c r="N134" s="5" t="b">
        <f>FALSE()</f>
        <v>0</v>
      </c>
    </row>
    <row r="135" spans="1:14" x14ac:dyDescent="0.25">
      <c r="A135" s="2" t="s">
        <v>359</v>
      </c>
      <c r="B135" s="2" t="s">
        <v>29</v>
      </c>
      <c r="C135" s="2" t="s">
        <v>30</v>
      </c>
      <c r="D135" s="3">
        <v>46132</v>
      </c>
      <c r="E135" s="2" t="s">
        <v>360</v>
      </c>
      <c r="F135" s="4">
        <v>12744.68</v>
      </c>
      <c r="G135" s="2" t="s">
        <v>18</v>
      </c>
      <c r="H135" s="5">
        <v>1</v>
      </c>
      <c r="I135" s="3">
        <v>46132</v>
      </c>
      <c r="J135" s="3">
        <v>46132</v>
      </c>
      <c r="K135" s="2" t="s">
        <v>19</v>
      </c>
      <c r="L135" s="5" t="b">
        <f>TRUE()</f>
        <v>1</v>
      </c>
      <c r="M135" s="5" t="b">
        <f>FALSE()</f>
        <v>0</v>
      </c>
      <c r="N135" s="5" t="b">
        <f>FALSE()</f>
        <v>0</v>
      </c>
    </row>
    <row r="136" spans="1:14" x14ac:dyDescent="0.25">
      <c r="A136" s="2" t="s">
        <v>361</v>
      </c>
      <c r="B136" s="2" t="s">
        <v>99</v>
      </c>
      <c r="C136" s="2" t="s">
        <v>100</v>
      </c>
      <c r="D136" s="3">
        <v>46128</v>
      </c>
      <c r="E136" s="2" t="s">
        <v>362</v>
      </c>
      <c r="F136" s="4">
        <v>32144.959999999999</v>
      </c>
      <c r="G136" s="2" t="s">
        <v>18</v>
      </c>
      <c r="H136" s="5">
        <v>2</v>
      </c>
      <c r="I136" s="3">
        <v>46128</v>
      </c>
      <c r="J136" s="3">
        <v>46128</v>
      </c>
      <c r="K136" s="2" t="s">
        <v>19</v>
      </c>
      <c r="L136" s="5" t="b">
        <f>TRUE()</f>
        <v>1</v>
      </c>
      <c r="M136" s="5" t="b">
        <f>FALSE()</f>
        <v>0</v>
      </c>
      <c r="N136" s="5" t="b">
        <f>FALSE()</f>
        <v>0</v>
      </c>
    </row>
    <row r="137" spans="1:14" x14ac:dyDescent="0.25">
      <c r="A137" s="2" t="s">
        <v>363</v>
      </c>
      <c r="B137" s="2" t="s">
        <v>21</v>
      </c>
      <c r="C137" s="2" t="s">
        <v>22</v>
      </c>
      <c r="D137" s="3">
        <v>46128</v>
      </c>
      <c r="E137" s="2" t="s">
        <v>364</v>
      </c>
      <c r="F137" s="4">
        <v>25661.96</v>
      </c>
      <c r="G137" s="2" t="s">
        <v>18</v>
      </c>
      <c r="H137" s="5">
        <v>2</v>
      </c>
      <c r="I137" s="3">
        <v>46128</v>
      </c>
      <c r="J137" s="3">
        <v>46128</v>
      </c>
      <c r="K137" s="2" t="s">
        <v>19</v>
      </c>
      <c r="L137" s="5" t="b">
        <f>TRUE()</f>
        <v>1</v>
      </c>
      <c r="M137" s="5" t="b">
        <f>FALSE()</f>
        <v>0</v>
      </c>
      <c r="N137" s="5" t="b">
        <f>FALSE()</f>
        <v>0</v>
      </c>
    </row>
    <row r="138" spans="1:14" x14ac:dyDescent="0.25">
      <c r="A138" s="2" t="s">
        <v>365</v>
      </c>
      <c r="B138" s="2" t="s">
        <v>41</v>
      </c>
      <c r="C138" s="2" t="s">
        <v>42</v>
      </c>
      <c r="D138" s="3">
        <v>46128</v>
      </c>
      <c r="E138" s="2" t="s">
        <v>366</v>
      </c>
      <c r="F138" s="4">
        <v>29252.240000000002</v>
      </c>
      <c r="G138" s="2" t="s">
        <v>18</v>
      </c>
      <c r="H138" s="5">
        <v>2</v>
      </c>
      <c r="I138" s="3">
        <v>46128</v>
      </c>
      <c r="J138" s="3">
        <v>46128</v>
      </c>
      <c r="K138" s="2" t="s">
        <v>19</v>
      </c>
      <c r="L138" s="5" t="b">
        <f>TRUE()</f>
        <v>1</v>
      </c>
      <c r="M138" s="5" t="b">
        <f>FALSE()</f>
        <v>0</v>
      </c>
      <c r="N138" s="5" t="b">
        <f>FALSE()</f>
        <v>0</v>
      </c>
    </row>
    <row r="139" spans="1:14" x14ac:dyDescent="0.25">
      <c r="A139" s="2" t="s">
        <v>367</v>
      </c>
      <c r="B139" s="2" t="s">
        <v>99</v>
      </c>
      <c r="C139" s="2" t="s">
        <v>100</v>
      </c>
      <c r="D139" s="3">
        <v>46128</v>
      </c>
      <c r="E139" s="2" t="s">
        <v>368</v>
      </c>
      <c r="F139" s="4">
        <v>33081.919999999998</v>
      </c>
      <c r="G139" s="2" t="s">
        <v>18</v>
      </c>
      <c r="H139" s="5">
        <v>2</v>
      </c>
      <c r="I139" s="3">
        <v>46128</v>
      </c>
      <c r="J139" s="3">
        <v>46128</v>
      </c>
      <c r="K139" s="2" t="s">
        <v>19</v>
      </c>
      <c r="L139" s="5" t="b">
        <f>TRUE()</f>
        <v>1</v>
      </c>
      <c r="M139" s="5" t="b">
        <f>FALSE()</f>
        <v>0</v>
      </c>
      <c r="N139" s="5" t="b">
        <f>FALSE()</f>
        <v>0</v>
      </c>
    </row>
    <row r="140" spans="1:14" x14ac:dyDescent="0.25">
      <c r="A140" s="2" t="s">
        <v>369</v>
      </c>
      <c r="B140" s="2" t="s">
        <v>29</v>
      </c>
      <c r="C140" s="2" t="s">
        <v>30</v>
      </c>
      <c r="D140" s="3">
        <v>46128</v>
      </c>
      <c r="E140" s="2" t="s">
        <v>370</v>
      </c>
      <c r="F140" s="4">
        <v>12471.6</v>
      </c>
      <c r="G140" s="2" t="s">
        <v>18</v>
      </c>
      <c r="H140" s="5">
        <v>1</v>
      </c>
      <c r="I140" s="3">
        <v>46128</v>
      </c>
      <c r="J140" s="3">
        <v>46128</v>
      </c>
      <c r="K140" s="2" t="s">
        <v>19</v>
      </c>
      <c r="L140" s="5" t="b">
        <f>TRUE()</f>
        <v>1</v>
      </c>
      <c r="M140" s="5" t="b">
        <f>FALSE()</f>
        <v>0</v>
      </c>
      <c r="N140" s="5" t="b">
        <f>FALSE()</f>
        <v>0</v>
      </c>
    </row>
    <row r="141" spans="1:14" x14ac:dyDescent="0.25">
      <c r="A141" s="2" t="s">
        <v>371</v>
      </c>
      <c r="B141" s="2" t="s">
        <v>37</v>
      </c>
      <c r="C141" s="2" t="s">
        <v>38</v>
      </c>
      <c r="D141" s="3">
        <v>46128</v>
      </c>
      <c r="E141" s="2" t="s">
        <v>372</v>
      </c>
      <c r="F141" s="4">
        <v>22112.16</v>
      </c>
      <c r="G141" s="2" t="s">
        <v>18</v>
      </c>
      <c r="H141" s="5">
        <v>2</v>
      </c>
      <c r="I141" s="3">
        <v>46128</v>
      </c>
      <c r="J141" s="3">
        <v>46128</v>
      </c>
      <c r="K141" s="2" t="s">
        <v>19</v>
      </c>
      <c r="L141" s="5" t="b">
        <f>TRUE()</f>
        <v>1</v>
      </c>
      <c r="M141" s="5" t="b">
        <f>FALSE()</f>
        <v>0</v>
      </c>
      <c r="N141" s="5" t="b">
        <f>FALSE()</f>
        <v>0</v>
      </c>
    </row>
    <row r="142" spans="1:14" x14ac:dyDescent="0.25">
      <c r="A142" s="2" t="s">
        <v>373</v>
      </c>
      <c r="B142" s="2" t="s">
        <v>103</v>
      </c>
      <c r="C142" s="2" t="s">
        <v>104</v>
      </c>
      <c r="D142" s="3">
        <v>46126</v>
      </c>
      <c r="E142" s="2" t="s">
        <v>374</v>
      </c>
      <c r="F142" s="4">
        <v>11830.16</v>
      </c>
      <c r="G142" s="2" t="s">
        <v>18</v>
      </c>
      <c r="H142" s="5">
        <v>2</v>
      </c>
      <c r="I142" s="3">
        <v>46127</v>
      </c>
      <c r="J142" s="3">
        <v>46127</v>
      </c>
      <c r="K142" s="2" t="s">
        <v>19</v>
      </c>
      <c r="L142" s="5" t="b">
        <f>TRUE()</f>
        <v>1</v>
      </c>
      <c r="M142" s="5" t="b">
        <f>FALSE()</f>
        <v>0</v>
      </c>
      <c r="N142" s="5" t="b">
        <f>FALSE()</f>
        <v>0</v>
      </c>
    </row>
    <row r="143" spans="1:14" x14ac:dyDescent="0.25">
      <c r="A143" s="2" t="s">
        <v>375</v>
      </c>
      <c r="B143" s="2" t="s">
        <v>81</v>
      </c>
      <c r="C143" s="2" t="s">
        <v>82</v>
      </c>
      <c r="D143" s="3">
        <v>46126</v>
      </c>
      <c r="E143" s="2" t="s">
        <v>376</v>
      </c>
      <c r="F143" s="4">
        <v>38640</v>
      </c>
      <c r="G143" s="2" t="s">
        <v>18</v>
      </c>
      <c r="H143" s="5">
        <v>5</v>
      </c>
      <c r="I143" s="3">
        <v>46127</v>
      </c>
      <c r="J143" s="3">
        <v>46127</v>
      </c>
      <c r="K143" s="2" t="s">
        <v>19</v>
      </c>
      <c r="L143" s="5" t="b">
        <f>TRUE()</f>
        <v>1</v>
      </c>
      <c r="M143" s="5" t="b">
        <f>FALSE()</f>
        <v>0</v>
      </c>
      <c r="N143" s="5" t="b">
        <f>FALSE()</f>
        <v>0</v>
      </c>
    </row>
    <row r="144" spans="1:14" x14ac:dyDescent="0.25">
      <c r="A144" s="2" t="s">
        <v>377</v>
      </c>
      <c r="B144" s="2" t="s">
        <v>65</v>
      </c>
      <c r="C144" s="2" t="s">
        <v>315</v>
      </c>
      <c r="D144" s="3">
        <v>46126</v>
      </c>
      <c r="E144" s="2" t="s">
        <v>378</v>
      </c>
      <c r="F144" s="4">
        <v>33139.599999999999</v>
      </c>
      <c r="G144" s="2" t="s">
        <v>18</v>
      </c>
      <c r="H144" s="5">
        <v>6</v>
      </c>
      <c r="I144" s="3">
        <v>46126</v>
      </c>
      <c r="J144" s="3">
        <v>46126</v>
      </c>
      <c r="K144" s="2" t="s">
        <v>19</v>
      </c>
      <c r="L144" s="5" t="b">
        <f>TRUE()</f>
        <v>1</v>
      </c>
      <c r="M144" s="5" t="b">
        <f>FALSE()</f>
        <v>0</v>
      </c>
      <c r="N144" s="5" t="b">
        <f>FALSE()</f>
        <v>0</v>
      </c>
    </row>
    <row r="145" spans="1:14" x14ac:dyDescent="0.25">
      <c r="A145" s="2" t="s">
        <v>379</v>
      </c>
      <c r="B145" s="2" t="s">
        <v>87</v>
      </c>
      <c r="C145" s="2" t="s">
        <v>88</v>
      </c>
      <c r="D145" s="3">
        <v>46126</v>
      </c>
      <c r="E145" s="2" t="s">
        <v>380</v>
      </c>
      <c r="F145" s="4">
        <v>34868.480000000003</v>
      </c>
      <c r="G145" s="2" t="s">
        <v>18</v>
      </c>
      <c r="H145" s="5">
        <v>2</v>
      </c>
      <c r="I145" s="3">
        <v>46126</v>
      </c>
      <c r="J145" s="3">
        <v>46126</v>
      </c>
      <c r="K145" s="2" t="s">
        <v>19</v>
      </c>
      <c r="L145" s="5" t="b">
        <f>TRUE()</f>
        <v>1</v>
      </c>
      <c r="M145" s="5" t="b">
        <f>FALSE()</f>
        <v>0</v>
      </c>
      <c r="N145" s="5" t="b">
        <f>FALSE()</f>
        <v>0</v>
      </c>
    </row>
    <row r="146" spans="1:14" x14ac:dyDescent="0.25">
      <c r="A146" s="2" t="s">
        <v>381</v>
      </c>
      <c r="B146" s="2" t="s">
        <v>95</v>
      </c>
      <c r="C146" s="2" t="s">
        <v>96</v>
      </c>
      <c r="D146" s="3">
        <v>46125</v>
      </c>
      <c r="E146" s="2" t="s">
        <v>382</v>
      </c>
      <c r="F146" s="4">
        <v>27643.360000000001</v>
      </c>
      <c r="G146" s="2" t="s">
        <v>18</v>
      </c>
      <c r="H146" s="5">
        <v>2</v>
      </c>
      <c r="I146" s="3">
        <v>46125</v>
      </c>
      <c r="J146" s="3">
        <v>46125</v>
      </c>
      <c r="K146" s="2" t="s">
        <v>19</v>
      </c>
      <c r="L146" s="5" t="b">
        <f>TRUE()</f>
        <v>1</v>
      </c>
      <c r="M146" s="5" t="b">
        <f>FALSE()</f>
        <v>0</v>
      </c>
      <c r="N146" s="5" t="b">
        <f>FALSE()</f>
        <v>0</v>
      </c>
    </row>
    <row r="147" spans="1:14" x14ac:dyDescent="0.25">
      <c r="A147" s="2" t="s">
        <v>383</v>
      </c>
      <c r="B147" s="2" t="s">
        <v>181</v>
      </c>
      <c r="C147" s="2" t="s">
        <v>182</v>
      </c>
      <c r="D147" s="3">
        <v>46125</v>
      </c>
      <c r="E147" s="2" t="s">
        <v>384</v>
      </c>
      <c r="F147" s="4">
        <v>20609.919999999998</v>
      </c>
      <c r="G147" s="2" t="s">
        <v>18</v>
      </c>
      <c r="H147" s="5">
        <v>2</v>
      </c>
      <c r="I147" s="3">
        <v>46125</v>
      </c>
      <c r="J147" s="3">
        <v>46125</v>
      </c>
      <c r="K147" s="2" t="s">
        <v>19</v>
      </c>
      <c r="L147" s="5" t="b">
        <f>TRUE()</f>
        <v>1</v>
      </c>
      <c r="M147" s="5" t="b">
        <f>FALSE()</f>
        <v>0</v>
      </c>
      <c r="N147" s="5" t="b">
        <f>FALSE()</f>
        <v>0</v>
      </c>
    </row>
    <row r="148" spans="1:14" x14ac:dyDescent="0.25">
      <c r="A148" s="2" t="s">
        <v>385</v>
      </c>
      <c r="B148" s="2" t="s">
        <v>295</v>
      </c>
      <c r="C148" s="2" t="s">
        <v>386</v>
      </c>
      <c r="D148" s="3">
        <v>46125</v>
      </c>
      <c r="E148" s="2" t="s">
        <v>387</v>
      </c>
      <c r="F148" s="4">
        <v>7828.8</v>
      </c>
      <c r="G148" s="2" t="s">
        <v>18</v>
      </c>
      <c r="H148" s="5">
        <v>1</v>
      </c>
      <c r="I148" s="3">
        <v>46125</v>
      </c>
      <c r="J148" s="3">
        <v>46125</v>
      </c>
      <c r="K148" s="2" t="s">
        <v>19</v>
      </c>
      <c r="L148" s="5" t="b">
        <f>TRUE()</f>
        <v>1</v>
      </c>
      <c r="M148" s="5" t="b">
        <f>FALSE()</f>
        <v>0</v>
      </c>
      <c r="N148" s="5" t="b">
        <f>FALSE()</f>
        <v>0</v>
      </c>
    </row>
    <row r="149" spans="1:14" x14ac:dyDescent="0.25">
      <c r="A149" s="2" t="s">
        <v>388</v>
      </c>
      <c r="B149" s="2" t="s">
        <v>21</v>
      </c>
      <c r="C149" s="2" t="s">
        <v>389</v>
      </c>
      <c r="D149" s="3">
        <v>46121</v>
      </c>
      <c r="E149" s="2" t="s">
        <v>390</v>
      </c>
      <c r="F149" s="4">
        <v>29434.28</v>
      </c>
      <c r="G149" s="2" t="s">
        <v>18</v>
      </c>
      <c r="H149" s="5">
        <v>2</v>
      </c>
      <c r="I149" s="3">
        <v>46121</v>
      </c>
      <c r="J149" s="3">
        <v>46121</v>
      </c>
      <c r="K149" s="2" t="s">
        <v>19</v>
      </c>
      <c r="L149" s="5" t="b">
        <f>TRUE()</f>
        <v>1</v>
      </c>
      <c r="M149" s="5" t="b">
        <f>FALSE()</f>
        <v>0</v>
      </c>
      <c r="N149" s="5" t="b">
        <f>FALSE()</f>
        <v>0</v>
      </c>
    </row>
    <row r="150" spans="1:14" x14ac:dyDescent="0.25">
      <c r="A150" s="2" t="s">
        <v>391</v>
      </c>
      <c r="B150" s="2" t="s">
        <v>123</v>
      </c>
      <c r="C150" s="2" t="s">
        <v>124</v>
      </c>
      <c r="D150" s="3">
        <v>46121</v>
      </c>
      <c r="E150" s="2" t="s">
        <v>392</v>
      </c>
      <c r="F150" s="4">
        <v>10278.799999999999</v>
      </c>
      <c r="G150" s="2" t="s">
        <v>18</v>
      </c>
      <c r="H150" s="5">
        <v>1</v>
      </c>
      <c r="I150" s="3">
        <v>46121</v>
      </c>
      <c r="J150" s="3">
        <v>46121</v>
      </c>
      <c r="K150" s="2" t="s">
        <v>19</v>
      </c>
      <c r="L150" s="5" t="b">
        <f>TRUE()</f>
        <v>1</v>
      </c>
      <c r="M150" s="5" t="b">
        <f>FALSE()</f>
        <v>0</v>
      </c>
      <c r="N150" s="5" t="b">
        <f>FALSE()</f>
        <v>0</v>
      </c>
    </row>
    <row r="151" spans="1:14" x14ac:dyDescent="0.25">
      <c r="A151" s="2" t="s">
        <v>393</v>
      </c>
      <c r="B151" s="2" t="s">
        <v>25</v>
      </c>
      <c r="C151" s="2" t="s">
        <v>26</v>
      </c>
      <c r="D151" s="3">
        <v>46120</v>
      </c>
      <c r="E151" s="2" t="s">
        <v>394</v>
      </c>
      <c r="F151" s="4">
        <v>6737.6</v>
      </c>
      <c r="G151" s="2" t="s">
        <v>18</v>
      </c>
      <c r="H151" s="5">
        <v>3</v>
      </c>
      <c r="I151" s="3">
        <v>46120</v>
      </c>
      <c r="J151" s="3">
        <v>46120</v>
      </c>
      <c r="K151" s="2" t="s">
        <v>19</v>
      </c>
      <c r="L151" s="5" t="b">
        <f>FALSE()</f>
        <v>0</v>
      </c>
      <c r="M151" s="5" t="b">
        <f>FALSE()</f>
        <v>0</v>
      </c>
      <c r="N151" s="5" t="b">
        <f>FALSE()</f>
        <v>0</v>
      </c>
    </row>
    <row r="152" spans="1:14" x14ac:dyDescent="0.25">
      <c r="A152" s="2" t="s">
        <v>395</v>
      </c>
      <c r="B152" s="2" t="s">
        <v>69</v>
      </c>
      <c r="C152" s="2" t="s">
        <v>70</v>
      </c>
      <c r="D152" s="3">
        <v>46120</v>
      </c>
      <c r="E152" s="2" t="s">
        <v>396</v>
      </c>
      <c r="F152" s="4">
        <v>3360.1</v>
      </c>
      <c r="G152" s="2" t="s">
        <v>18</v>
      </c>
      <c r="H152" s="5">
        <v>2</v>
      </c>
      <c r="I152" s="3">
        <v>46120</v>
      </c>
      <c r="J152" s="3">
        <v>46120</v>
      </c>
      <c r="K152" s="2" t="s">
        <v>19</v>
      </c>
      <c r="L152" s="5" t="b">
        <f>TRUE()</f>
        <v>1</v>
      </c>
      <c r="M152" s="5" t="b">
        <f>FALSE()</f>
        <v>0</v>
      </c>
      <c r="N152" s="5" t="b">
        <f>FALSE()</f>
        <v>0</v>
      </c>
    </row>
    <row r="153" spans="1:14" x14ac:dyDescent="0.25">
      <c r="A153" s="2" t="s">
        <v>397</v>
      </c>
      <c r="B153" s="2" t="s">
        <v>167</v>
      </c>
      <c r="C153" s="2" t="s">
        <v>168</v>
      </c>
      <c r="D153" s="3">
        <v>46120</v>
      </c>
      <c r="E153" s="2" t="s">
        <v>398</v>
      </c>
      <c r="F153" s="4">
        <v>16070.6</v>
      </c>
      <c r="G153" s="2" t="s">
        <v>18</v>
      </c>
      <c r="H153" s="5">
        <v>2</v>
      </c>
      <c r="I153" s="3">
        <v>46120</v>
      </c>
      <c r="J153" s="3">
        <v>46120</v>
      </c>
      <c r="K153" s="2" t="s">
        <v>19</v>
      </c>
      <c r="L153" s="5" t="b">
        <f>TRUE()</f>
        <v>1</v>
      </c>
      <c r="M153" s="5" t="b">
        <f>FALSE()</f>
        <v>0</v>
      </c>
      <c r="N153" s="5" t="b">
        <f>FALSE()</f>
        <v>0</v>
      </c>
    </row>
    <row r="154" spans="1:14" x14ac:dyDescent="0.25">
      <c r="A154" s="2" t="s">
        <v>399</v>
      </c>
      <c r="B154" s="2" t="s">
        <v>33</v>
      </c>
      <c r="C154" s="2" t="s">
        <v>34</v>
      </c>
      <c r="D154" s="3">
        <v>46119</v>
      </c>
      <c r="E154" s="2" t="s">
        <v>400</v>
      </c>
      <c r="F154" s="4">
        <v>28545.96</v>
      </c>
      <c r="G154" s="2" t="s">
        <v>18</v>
      </c>
      <c r="H154" s="5">
        <v>4</v>
      </c>
      <c r="I154" s="3">
        <v>46119</v>
      </c>
      <c r="J154" s="3">
        <v>46119</v>
      </c>
      <c r="K154" s="2" t="s">
        <v>19</v>
      </c>
      <c r="L154" s="5" t="b">
        <f>TRUE()</f>
        <v>1</v>
      </c>
      <c r="M154" s="5" t="b">
        <f>FALSE()</f>
        <v>0</v>
      </c>
      <c r="N154" s="5" t="b">
        <f>FALSE()</f>
        <v>0</v>
      </c>
    </row>
    <row r="155" spans="1:14" x14ac:dyDescent="0.25">
      <c r="A155" s="2" t="s">
        <v>401</v>
      </c>
      <c r="B155" s="2" t="s">
        <v>99</v>
      </c>
      <c r="C155" s="2" t="s">
        <v>100</v>
      </c>
      <c r="D155" s="3">
        <v>46119</v>
      </c>
      <c r="E155" s="2" t="s">
        <v>402</v>
      </c>
      <c r="F155" s="4">
        <v>33020.480000000003</v>
      </c>
      <c r="G155" s="2" t="s">
        <v>18</v>
      </c>
      <c r="H155" s="5">
        <v>2</v>
      </c>
      <c r="I155" s="3">
        <v>46119</v>
      </c>
      <c r="J155" s="3">
        <v>46119</v>
      </c>
      <c r="K155" s="2" t="s">
        <v>19</v>
      </c>
      <c r="L155" s="5" t="b">
        <f>TRUE()</f>
        <v>1</v>
      </c>
      <c r="M155" s="5" t="b">
        <f>FALSE()</f>
        <v>0</v>
      </c>
      <c r="N155" s="5" t="b">
        <f>FALSE()</f>
        <v>0</v>
      </c>
    </row>
    <row r="156" spans="1:14" x14ac:dyDescent="0.25">
      <c r="A156" s="2" t="s">
        <v>403</v>
      </c>
      <c r="B156" s="2" t="s">
        <v>77</v>
      </c>
      <c r="C156" s="2" t="s">
        <v>78</v>
      </c>
      <c r="D156" s="3">
        <v>46119</v>
      </c>
      <c r="E156" s="2" t="s">
        <v>404</v>
      </c>
      <c r="F156" s="4">
        <v>6720</v>
      </c>
      <c r="G156" s="2" t="s">
        <v>18</v>
      </c>
      <c r="H156" s="5">
        <v>2</v>
      </c>
      <c r="I156" s="3">
        <v>46119</v>
      </c>
      <c r="J156" s="3">
        <v>46119</v>
      </c>
      <c r="K156" s="2" t="s">
        <v>19</v>
      </c>
      <c r="L156" s="5" t="b">
        <f>FALSE()</f>
        <v>0</v>
      </c>
      <c r="M156" s="5" t="b">
        <f>FALSE()</f>
        <v>0</v>
      </c>
      <c r="N156" s="5" t="b">
        <f>FALSE()</f>
        <v>0</v>
      </c>
    </row>
    <row r="157" spans="1:14" x14ac:dyDescent="0.25">
      <c r="A157" s="2" t="s">
        <v>405</v>
      </c>
      <c r="B157" s="2" t="s">
        <v>227</v>
      </c>
      <c r="C157" s="2" t="s">
        <v>406</v>
      </c>
      <c r="D157" s="3">
        <v>46118</v>
      </c>
      <c r="E157" s="2" t="s">
        <v>407</v>
      </c>
      <c r="F157" s="4">
        <v>8984.7999999999993</v>
      </c>
      <c r="G157" s="2" t="s">
        <v>18</v>
      </c>
      <c r="H157" s="5">
        <v>2</v>
      </c>
      <c r="I157" s="3">
        <v>46118</v>
      </c>
      <c r="J157" s="3">
        <v>46118</v>
      </c>
      <c r="K157" s="2" t="s">
        <v>19</v>
      </c>
      <c r="L157" s="5" t="b">
        <f>TRUE()</f>
        <v>1</v>
      </c>
      <c r="M157" s="5" t="b">
        <f>FALSE()</f>
        <v>0</v>
      </c>
      <c r="N157" s="5" t="b">
        <f>FALSE()</f>
        <v>0</v>
      </c>
    </row>
    <row r="158" spans="1:14" x14ac:dyDescent="0.25">
      <c r="A158" s="2" t="s">
        <v>408</v>
      </c>
      <c r="B158" s="2" t="s">
        <v>177</v>
      </c>
      <c r="C158" s="2" t="s">
        <v>409</v>
      </c>
      <c r="D158" s="3">
        <v>46118</v>
      </c>
      <c r="E158" s="2" t="s">
        <v>410</v>
      </c>
      <c r="F158" s="4">
        <v>6804.3</v>
      </c>
      <c r="G158" s="2" t="s">
        <v>18</v>
      </c>
      <c r="H158" s="5">
        <v>4</v>
      </c>
      <c r="I158" s="3">
        <v>46118</v>
      </c>
      <c r="J158" s="3">
        <v>46118</v>
      </c>
      <c r="K158" s="2" t="s">
        <v>19</v>
      </c>
      <c r="L158" s="5" t="b">
        <f>TRUE()</f>
        <v>1</v>
      </c>
      <c r="M158" s="5" t="b">
        <f>FALSE()</f>
        <v>0</v>
      </c>
      <c r="N158" s="5" t="b">
        <f>FALSE()</f>
        <v>0</v>
      </c>
    </row>
    <row r="159" spans="1:14" x14ac:dyDescent="0.25">
      <c r="A159" s="2" t="s">
        <v>411</v>
      </c>
      <c r="B159" s="2" t="s">
        <v>139</v>
      </c>
      <c r="C159" s="2" t="s">
        <v>140</v>
      </c>
      <c r="D159" s="3">
        <v>46118</v>
      </c>
      <c r="E159" s="2" t="s">
        <v>412</v>
      </c>
      <c r="F159" s="4">
        <v>15456.48</v>
      </c>
      <c r="G159" s="2" t="s">
        <v>18</v>
      </c>
      <c r="H159" s="5">
        <v>4</v>
      </c>
      <c r="I159" s="3">
        <v>46118</v>
      </c>
      <c r="J159" s="3">
        <v>46118</v>
      </c>
      <c r="K159" s="2" t="s">
        <v>19</v>
      </c>
      <c r="L159" s="5" t="b">
        <f>TRUE()</f>
        <v>1</v>
      </c>
      <c r="M159" s="5" t="b">
        <f>FALSE()</f>
        <v>0</v>
      </c>
      <c r="N159" s="5" t="b">
        <f>FALSE()</f>
        <v>0</v>
      </c>
    </row>
    <row r="160" spans="1:14" x14ac:dyDescent="0.25">
      <c r="A160" s="2" t="s">
        <v>413</v>
      </c>
      <c r="B160" s="2" t="s">
        <v>45</v>
      </c>
      <c r="C160" s="2" t="s">
        <v>46</v>
      </c>
      <c r="D160" s="3">
        <v>46115</v>
      </c>
      <c r="E160" s="2" t="s">
        <v>414</v>
      </c>
      <c r="F160" s="4">
        <v>3572.24</v>
      </c>
      <c r="G160" s="2" t="s">
        <v>18</v>
      </c>
      <c r="H160" s="5">
        <v>11</v>
      </c>
      <c r="I160" s="3">
        <v>46115</v>
      </c>
      <c r="J160" s="3">
        <v>46115</v>
      </c>
      <c r="K160" s="2" t="s">
        <v>19</v>
      </c>
      <c r="L160" s="5" t="b">
        <f>FALSE()</f>
        <v>0</v>
      </c>
      <c r="M160" s="5" t="b">
        <f>FALSE()</f>
        <v>0</v>
      </c>
      <c r="N160" s="5" t="b">
        <f>FALSE()</f>
        <v>0</v>
      </c>
    </row>
    <row r="161" spans="1:14" x14ac:dyDescent="0.25">
      <c r="A161" s="2" t="s">
        <v>415</v>
      </c>
      <c r="B161" s="2" t="s">
        <v>21</v>
      </c>
      <c r="C161" s="2" t="s">
        <v>389</v>
      </c>
      <c r="D161" s="3">
        <v>46115</v>
      </c>
      <c r="E161" s="2" t="s">
        <v>416</v>
      </c>
      <c r="F161" s="4">
        <v>17122.599999999999</v>
      </c>
      <c r="G161" s="2" t="s">
        <v>18</v>
      </c>
      <c r="H161" s="5">
        <v>8</v>
      </c>
      <c r="I161" s="3">
        <v>46115</v>
      </c>
      <c r="J161" s="3">
        <v>46115</v>
      </c>
      <c r="K161" s="2" t="s">
        <v>19</v>
      </c>
      <c r="L161" s="5" t="b">
        <f>TRUE()</f>
        <v>1</v>
      </c>
      <c r="M161" s="5" t="b">
        <f>FALSE()</f>
        <v>0</v>
      </c>
      <c r="N161" s="5" t="b">
        <f>FALSE()</f>
        <v>0</v>
      </c>
    </row>
    <row r="162" spans="1:14" x14ac:dyDescent="0.25">
      <c r="A162" s="2" t="s">
        <v>417</v>
      </c>
      <c r="B162" s="2" t="s">
        <v>21</v>
      </c>
      <c r="C162" s="2" t="s">
        <v>389</v>
      </c>
      <c r="D162" s="3">
        <v>46114</v>
      </c>
      <c r="E162" s="2" t="s">
        <v>418</v>
      </c>
      <c r="F162" s="4">
        <v>1915.2</v>
      </c>
      <c r="G162" s="2" t="s">
        <v>18</v>
      </c>
      <c r="H162" s="5">
        <v>2</v>
      </c>
      <c r="I162" s="3">
        <v>46114</v>
      </c>
      <c r="J162" s="3">
        <v>46114</v>
      </c>
      <c r="K162" s="2" t="s">
        <v>19</v>
      </c>
      <c r="L162" s="5" t="b">
        <f>TRUE()</f>
        <v>1</v>
      </c>
      <c r="M162" s="5" t="b">
        <f>FALSE()</f>
        <v>0</v>
      </c>
      <c r="N162" s="5" t="b">
        <f>FALSE()</f>
        <v>0</v>
      </c>
    </row>
    <row r="163" spans="1:14" x14ac:dyDescent="0.25">
      <c r="A163" s="2" t="s">
        <v>419</v>
      </c>
      <c r="B163" s="2" t="s">
        <v>73</v>
      </c>
      <c r="C163" s="2" t="s">
        <v>74</v>
      </c>
      <c r="D163" s="3">
        <v>46114</v>
      </c>
      <c r="E163" s="2" t="s">
        <v>420</v>
      </c>
      <c r="F163" s="4">
        <v>20581.400000000001</v>
      </c>
      <c r="G163" s="2" t="s">
        <v>18</v>
      </c>
      <c r="H163" s="5">
        <v>4</v>
      </c>
      <c r="I163" s="3">
        <v>46114</v>
      </c>
      <c r="J163" s="3">
        <v>46114</v>
      </c>
      <c r="K163" s="2" t="s">
        <v>19</v>
      </c>
      <c r="L163" s="5" t="b">
        <f>TRUE()</f>
        <v>1</v>
      </c>
      <c r="M163" s="5" t="b">
        <f>FALSE()</f>
        <v>0</v>
      </c>
      <c r="N163" s="5" t="b">
        <f>FALSE()</f>
        <v>0</v>
      </c>
    </row>
    <row r="164" spans="1:14" x14ac:dyDescent="0.25">
      <c r="A164" s="2" t="s">
        <v>421</v>
      </c>
      <c r="B164" s="2" t="s">
        <v>195</v>
      </c>
      <c r="C164" s="2" t="s">
        <v>196</v>
      </c>
      <c r="D164" s="3">
        <v>46114</v>
      </c>
      <c r="E164" s="2" t="s">
        <v>422</v>
      </c>
      <c r="F164" s="4">
        <v>21894.48</v>
      </c>
      <c r="G164" s="2" t="s">
        <v>18</v>
      </c>
      <c r="H164" s="5">
        <v>3</v>
      </c>
      <c r="I164" s="3">
        <v>46114</v>
      </c>
      <c r="J164" s="3">
        <v>46114</v>
      </c>
      <c r="K164" s="2" t="s">
        <v>19</v>
      </c>
      <c r="L164" s="5" t="b">
        <f>TRUE()</f>
        <v>1</v>
      </c>
      <c r="M164" s="5" t="b">
        <f>FALSE()</f>
        <v>0</v>
      </c>
      <c r="N164" s="5" t="b">
        <f>FALSE()</f>
        <v>0</v>
      </c>
    </row>
    <row r="165" spans="1:14" x14ac:dyDescent="0.25">
      <c r="A165" s="2" t="s">
        <v>423</v>
      </c>
      <c r="B165" s="2" t="s">
        <v>41</v>
      </c>
      <c r="C165" s="2" t="s">
        <v>42</v>
      </c>
      <c r="D165" s="3">
        <v>46114</v>
      </c>
      <c r="E165" s="2" t="s">
        <v>424</v>
      </c>
      <c r="F165" s="4">
        <v>26406.92</v>
      </c>
      <c r="G165" s="2" t="s">
        <v>18</v>
      </c>
      <c r="H165" s="5">
        <v>2</v>
      </c>
      <c r="I165" s="3">
        <v>46114</v>
      </c>
      <c r="J165" s="3">
        <v>46114</v>
      </c>
      <c r="K165" s="2" t="s">
        <v>19</v>
      </c>
      <c r="L165" s="5" t="b">
        <f>TRUE()</f>
        <v>1</v>
      </c>
      <c r="M165" s="5" t="b">
        <f>FALSE()</f>
        <v>0</v>
      </c>
      <c r="N165" s="5" t="b">
        <f>FALSE()</f>
        <v>0</v>
      </c>
    </row>
    <row r="166" spans="1:14" x14ac:dyDescent="0.25">
      <c r="A166" s="2" t="s">
        <v>425</v>
      </c>
      <c r="B166" s="2" t="s">
        <v>81</v>
      </c>
      <c r="C166" s="2" t="s">
        <v>82</v>
      </c>
      <c r="D166" s="3">
        <v>46114</v>
      </c>
      <c r="E166" s="2" t="s">
        <v>426</v>
      </c>
      <c r="F166" s="4">
        <v>12264</v>
      </c>
      <c r="G166" s="2" t="s">
        <v>18</v>
      </c>
      <c r="H166" s="5">
        <v>3</v>
      </c>
      <c r="I166" s="3">
        <v>46114</v>
      </c>
      <c r="J166" s="3">
        <v>46114</v>
      </c>
      <c r="K166" s="2" t="s">
        <v>19</v>
      </c>
      <c r="L166" s="5" t="b">
        <f>TRUE()</f>
        <v>1</v>
      </c>
      <c r="M166" s="5" t="b">
        <f>FALSE()</f>
        <v>0</v>
      </c>
      <c r="N166" s="5" t="b">
        <f>FALSE()</f>
        <v>0</v>
      </c>
    </row>
    <row r="167" spans="1:14" x14ac:dyDescent="0.25">
      <c r="A167" s="2" t="s">
        <v>427</v>
      </c>
      <c r="B167" s="2" t="s">
        <v>25</v>
      </c>
      <c r="C167" s="2" t="s">
        <v>26</v>
      </c>
      <c r="D167" s="3">
        <v>46113</v>
      </c>
      <c r="E167" s="2" t="s">
        <v>428</v>
      </c>
      <c r="F167" s="4">
        <v>14843.2</v>
      </c>
      <c r="G167" s="2" t="s">
        <v>18</v>
      </c>
      <c r="H167" s="5">
        <v>5</v>
      </c>
      <c r="I167" s="3">
        <v>46113</v>
      </c>
      <c r="J167" s="3">
        <v>46113</v>
      </c>
      <c r="K167" s="2" t="s">
        <v>19</v>
      </c>
      <c r="L167" s="5" t="b">
        <f>TRUE()</f>
        <v>1</v>
      </c>
      <c r="M167" s="5" t="b">
        <f>FALSE()</f>
        <v>0</v>
      </c>
      <c r="N167" s="5" t="b">
        <f>FALSE()</f>
        <v>0</v>
      </c>
    </row>
    <row r="168" spans="1:14" x14ac:dyDescent="0.25">
      <c r="A168" s="2" t="s">
        <v>429</v>
      </c>
      <c r="B168" s="2" t="s">
        <v>135</v>
      </c>
      <c r="C168" s="2" t="s">
        <v>340</v>
      </c>
      <c r="D168" s="3">
        <v>46113</v>
      </c>
      <c r="E168" s="2" t="s">
        <v>430</v>
      </c>
      <c r="F168" s="4">
        <v>28466.880000000001</v>
      </c>
      <c r="G168" s="2" t="s">
        <v>18</v>
      </c>
      <c r="H168" s="5">
        <v>3</v>
      </c>
      <c r="I168" s="3">
        <v>46113</v>
      </c>
      <c r="J168" s="3">
        <v>46113</v>
      </c>
      <c r="K168" s="2" t="s">
        <v>19</v>
      </c>
      <c r="L168" s="5" t="b">
        <f>TRUE()</f>
        <v>1</v>
      </c>
      <c r="M168" s="5" t="b">
        <f>FALSE()</f>
        <v>0</v>
      </c>
      <c r="N168" s="5" t="b">
        <f>FALSE()</f>
        <v>0</v>
      </c>
    </row>
    <row r="169" spans="1:14" x14ac:dyDescent="0.25">
      <c r="A169" s="2" t="s">
        <v>431</v>
      </c>
      <c r="B169" s="2" t="s">
        <v>267</v>
      </c>
      <c r="C169" s="2" t="s">
        <v>432</v>
      </c>
      <c r="D169" s="3">
        <v>46112</v>
      </c>
      <c r="E169" s="2" t="s">
        <v>433</v>
      </c>
      <c r="F169" s="4">
        <v>27500</v>
      </c>
      <c r="G169" s="2" t="s">
        <v>18</v>
      </c>
      <c r="H169" s="5">
        <v>2</v>
      </c>
      <c r="I169" s="3">
        <v>46112</v>
      </c>
      <c r="J169" s="3">
        <v>46112</v>
      </c>
      <c r="K169" s="2" t="s">
        <v>19</v>
      </c>
      <c r="L169" s="5" t="b">
        <f>FALSE()</f>
        <v>0</v>
      </c>
      <c r="M169" s="5" t="b">
        <f>FALSE()</f>
        <v>0</v>
      </c>
      <c r="N169" s="5" t="b">
        <f>FALSE()</f>
        <v>0</v>
      </c>
    </row>
    <row r="170" spans="1:14" x14ac:dyDescent="0.25">
      <c r="A170" s="2" t="s">
        <v>434</v>
      </c>
      <c r="B170" s="2" t="s">
        <v>87</v>
      </c>
      <c r="C170" s="2" t="s">
        <v>88</v>
      </c>
      <c r="D170" s="3">
        <v>46112</v>
      </c>
      <c r="E170" s="2" t="s">
        <v>435</v>
      </c>
      <c r="F170" s="4">
        <v>34923.199999999997</v>
      </c>
      <c r="G170" s="2" t="s">
        <v>18</v>
      </c>
      <c r="H170" s="5">
        <v>6</v>
      </c>
      <c r="I170" s="3">
        <v>46112</v>
      </c>
      <c r="J170" s="3">
        <v>46112</v>
      </c>
      <c r="K170" s="2" t="s">
        <v>19</v>
      </c>
      <c r="L170" s="5" t="b">
        <f>TRUE()</f>
        <v>1</v>
      </c>
      <c r="M170" s="5" t="b">
        <f>FALSE()</f>
        <v>0</v>
      </c>
      <c r="N170" s="5" t="b">
        <f>FALSE()</f>
        <v>0</v>
      </c>
    </row>
    <row r="171" spans="1:14" x14ac:dyDescent="0.25">
      <c r="A171" s="2" t="s">
        <v>436</v>
      </c>
      <c r="B171" s="2" t="s">
        <v>59</v>
      </c>
      <c r="C171" s="2" t="s">
        <v>60</v>
      </c>
      <c r="D171" s="3">
        <v>46111</v>
      </c>
      <c r="E171" s="2" t="s">
        <v>437</v>
      </c>
      <c r="F171" s="4">
        <v>30862.400000000001</v>
      </c>
      <c r="G171" s="2" t="s">
        <v>18</v>
      </c>
      <c r="H171" s="5">
        <v>4</v>
      </c>
      <c r="I171" s="3">
        <v>46111</v>
      </c>
      <c r="J171" s="3">
        <v>46111</v>
      </c>
      <c r="K171" s="2" t="s">
        <v>19</v>
      </c>
      <c r="L171" s="5" t="b">
        <f>TRUE()</f>
        <v>1</v>
      </c>
      <c r="M171" s="5" t="b">
        <f>FALSE()</f>
        <v>0</v>
      </c>
      <c r="N171" s="5" t="b">
        <f>FALSE()</f>
        <v>0</v>
      </c>
    </row>
    <row r="172" spans="1:14" x14ac:dyDescent="0.25">
      <c r="A172" s="2" t="s">
        <v>438</v>
      </c>
      <c r="B172" s="2" t="s">
        <v>119</v>
      </c>
      <c r="C172" s="2" t="s">
        <v>439</v>
      </c>
      <c r="D172" s="3">
        <v>46111</v>
      </c>
      <c r="E172" s="2" t="s">
        <v>440</v>
      </c>
      <c r="F172" s="4">
        <v>14260.36</v>
      </c>
      <c r="G172" s="2" t="s">
        <v>18</v>
      </c>
      <c r="H172" s="5">
        <v>2</v>
      </c>
      <c r="I172" s="3">
        <v>46111</v>
      </c>
      <c r="J172" s="3">
        <v>46111</v>
      </c>
      <c r="K172" s="2" t="s">
        <v>19</v>
      </c>
      <c r="L172" s="5" t="b">
        <f>TRUE()</f>
        <v>1</v>
      </c>
      <c r="M172" s="5" t="b">
        <f>FALSE()</f>
        <v>0</v>
      </c>
      <c r="N172" s="5" t="b">
        <f>FALSE()</f>
        <v>0</v>
      </c>
    </row>
    <row r="173" spans="1:14" x14ac:dyDescent="0.25">
      <c r="A173" s="2" t="s">
        <v>441</v>
      </c>
      <c r="B173" s="2" t="s">
        <v>295</v>
      </c>
      <c r="C173" s="2" t="s">
        <v>386</v>
      </c>
      <c r="D173" s="3">
        <v>46111</v>
      </c>
      <c r="E173" s="2" t="s">
        <v>442</v>
      </c>
      <c r="F173" s="4">
        <v>7828.8</v>
      </c>
      <c r="G173" s="2" t="s">
        <v>18</v>
      </c>
      <c r="H173" s="5">
        <v>1</v>
      </c>
      <c r="I173" s="3">
        <v>46111</v>
      </c>
      <c r="J173" s="3">
        <v>46111</v>
      </c>
      <c r="K173" s="2" t="s">
        <v>19</v>
      </c>
      <c r="L173" s="5" t="b">
        <f>TRUE()</f>
        <v>1</v>
      </c>
      <c r="M173" s="5" t="b">
        <f>FALSE()</f>
        <v>0</v>
      </c>
      <c r="N173" s="5" t="b">
        <f>FALSE()</f>
        <v>0</v>
      </c>
    </row>
    <row r="174" spans="1:14" x14ac:dyDescent="0.25">
      <c r="A174" s="2" t="s">
        <v>443</v>
      </c>
      <c r="B174" s="2" t="s">
        <v>33</v>
      </c>
      <c r="C174" s="2" t="s">
        <v>34</v>
      </c>
      <c r="D174" s="3">
        <v>46108</v>
      </c>
      <c r="E174" s="2" t="s">
        <v>444</v>
      </c>
      <c r="F174" s="4">
        <v>19099.68</v>
      </c>
      <c r="G174" s="2" t="s">
        <v>18</v>
      </c>
      <c r="H174" s="5">
        <v>8</v>
      </c>
      <c r="I174" s="3">
        <v>46106</v>
      </c>
      <c r="J174" s="3">
        <v>46106</v>
      </c>
      <c r="K174" s="2" t="s">
        <v>19</v>
      </c>
      <c r="L174" s="5" t="b">
        <f>TRUE()</f>
        <v>1</v>
      </c>
      <c r="M174" s="5" t="b">
        <f>FALSE()</f>
        <v>0</v>
      </c>
      <c r="N174" s="5" t="b">
        <f>FALSE()</f>
        <v>0</v>
      </c>
    </row>
    <row r="175" spans="1:14" x14ac:dyDescent="0.25">
      <c r="A175" s="2" t="s">
        <v>445</v>
      </c>
      <c r="B175" s="2" t="s">
        <v>99</v>
      </c>
      <c r="C175" s="2" t="s">
        <v>100</v>
      </c>
      <c r="D175" s="3">
        <v>46108</v>
      </c>
      <c r="E175" s="2" t="s">
        <v>446</v>
      </c>
      <c r="F175" s="4">
        <v>31767.279999999999</v>
      </c>
      <c r="G175" s="2" t="s">
        <v>18</v>
      </c>
      <c r="H175" s="5">
        <v>2</v>
      </c>
      <c r="I175" s="3">
        <v>46108</v>
      </c>
      <c r="J175" s="3">
        <v>46108</v>
      </c>
      <c r="K175" s="2" t="s">
        <v>19</v>
      </c>
      <c r="L175" s="5" t="b">
        <f>TRUE()</f>
        <v>1</v>
      </c>
      <c r="M175" s="5" t="b">
        <f>FALSE()</f>
        <v>0</v>
      </c>
      <c r="N175" s="5" t="b">
        <f>FALSE()</f>
        <v>0</v>
      </c>
    </row>
    <row r="176" spans="1:14" x14ac:dyDescent="0.25">
      <c r="A176" s="2" t="s">
        <v>447</v>
      </c>
      <c r="B176" s="2" t="s">
        <v>21</v>
      </c>
      <c r="C176" s="2" t="s">
        <v>389</v>
      </c>
      <c r="D176" s="3">
        <v>46107</v>
      </c>
      <c r="E176" s="2" t="s">
        <v>448</v>
      </c>
      <c r="F176" s="4">
        <v>33172.239999999998</v>
      </c>
      <c r="G176" s="2" t="s">
        <v>18</v>
      </c>
      <c r="H176" s="5">
        <v>3</v>
      </c>
      <c r="I176" s="3">
        <v>46107</v>
      </c>
      <c r="J176" s="3">
        <v>46107</v>
      </c>
      <c r="K176" s="2" t="s">
        <v>19</v>
      </c>
      <c r="L176" s="5" t="b">
        <f>TRUE()</f>
        <v>1</v>
      </c>
      <c r="M176" s="5" t="b">
        <f>FALSE()</f>
        <v>0</v>
      </c>
      <c r="N176" s="5" t="b">
        <f>FALSE()</f>
        <v>0</v>
      </c>
    </row>
    <row r="177" spans="1:14" x14ac:dyDescent="0.25">
      <c r="A177" s="2" t="s">
        <v>449</v>
      </c>
      <c r="B177" s="2" t="s">
        <v>41</v>
      </c>
      <c r="C177" s="2" t="s">
        <v>42</v>
      </c>
      <c r="D177" s="3">
        <v>46107</v>
      </c>
      <c r="E177" s="2" t="s">
        <v>450</v>
      </c>
      <c r="F177" s="4">
        <v>27623.48</v>
      </c>
      <c r="G177" s="2" t="s">
        <v>18</v>
      </c>
      <c r="H177" s="5">
        <v>2</v>
      </c>
      <c r="I177" s="3">
        <v>46107</v>
      </c>
      <c r="J177" s="3">
        <v>46107</v>
      </c>
      <c r="K177" s="2" t="s">
        <v>19</v>
      </c>
      <c r="L177" s="5" t="b">
        <f>TRUE()</f>
        <v>1</v>
      </c>
      <c r="M177" s="5" t="b">
        <f>FALSE()</f>
        <v>0</v>
      </c>
      <c r="N177" s="5" t="b">
        <f>FALSE()</f>
        <v>0</v>
      </c>
    </row>
    <row r="178" spans="1:14" x14ac:dyDescent="0.25">
      <c r="A178" s="2" t="s">
        <v>451</v>
      </c>
      <c r="B178" s="2" t="s">
        <v>145</v>
      </c>
      <c r="C178" s="2" t="s">
        <v>146</v>
      </c>
      <c r="D178" s="3">
        <v>46107</v>
      </c>
      <c r="E178" s="2" t="s">
        <v>452</v>
      </c>
      <c r="F178" s="4">
        <v>19069.599999999999</v>
      </c>
      <c r="G178" s="2" t="s">
        <v>18</v>
      </c>
      <c r="H178" s="5">
        <v>2</v>
      </c>
      <c r="I178" s="3">
        <v>46107</v>
      </c>
      <c r="J178" s="3">
        <v>46107</v>
      </c>
      <c r="K178" s="2" t="s">
        <v>19</v>
      </c>
      <c r="L178" s="5" t="b">
        <f>TRUE()</f>
        <v>1</v>
      </c>
      <c r="M178" s="5" t="b">
        <f>FALSE()</f>
        <v>0</v>
      </c>
      <c r="N178" s="5" t="b">
        <f>FALSE()</f>
        <v>0</v>
      </c>
    </row>
    <row r="179" spans="1:14" x14ac:dyDescent="0.25">
      <c r="A179" s="2" t="s">
        <v>453</v>
      </c>
      <c r="B179" s="2" t="s">
        <v>37</v>
      </c>
      <c r="C179" s="2" t="s">
        <v>38</v>
      </c>
      <c r="D179" s="3">
        <v>46107</v>
      </c>
      <c r="E179" s="2" t="s">
        <v>454</v>
      </c>
      <c r="F179" s="4">
        <v>23288.16</v>
      </c>
      <c r="G179" s="2" t="s">
        <v>18</v>
      </c>
      <c r="H179" s="5">
        <v>4</v>
      </c>
      <c r="I179" s="3">
        <v>46107</v>
      </c>
      <c r="J179" s="3">
        <v>46107</v>
      </c>
      <c r="K179" s="2" t="s">
        <v>19</v>
      </c>
      <c r="L179" s="5" t="b">
        <f>TRUE()</f>
        <v>1</v>
      </c>
      <c r="M179" s="5" t="b">
        <f>FALSE()</f>
        <v>0</v>
      </c>
      <c r="N179" s="5" t="b">
        <f>FALSE()</f>
        <v>0</v>
      </c>
    </row>
    <row r="180" spans="1:14" x14ac:dyDescent="0.25">
      <c r="A180" s="2" t="s">
        <v>455</v>
      </c>
      <c r="B180" s="2" t="s">
        <v>69</v>
      </c>
      <c r="C180" s="2" t="s">
        <v>70</v>
      </c>
      <c r="D180" s="3">
        <v>46106</v>
      </c>
      <c r="E180" s="2" t="s">
        <v>456</v>
      </c>
      <c r="F180" s="4">
        <v>3360.1</v>
      </c>
      <c r="G180" s="2" t="s">
        <v>18</v>
      </c>
      <c r="H180" s="5">
        <v>2</v>
      </c>
      <c r="I180" s="3">
        <v>46106</v>
      </c>
      <c r="J180" s="3">
        <v>46106</v>
      </c>
      <c r="K180" s="2" t="s">
        <v>19</v>
      </c>
      <c r="L180" s="5" t="b">
        <f>TRUE()</f>
        <v>1</v>
      </c>
      <c r="M180" s="5" t="b">
        <f>FALSE()</f>
        <v>0</v>
      </c>
      <c r="N180" s="5" t="b">
        <f>FALSE()</f>
        <v>0</v>
      </c>
    </row>
    <row r="181" spans="1:14" x14ac:dyDescent="0.25">
      <c r="A181" s="2" t="s">
        <v>457</v>
      </c>
      <c r="B181" s="2" t="s">
        <v>29</v>
      </c>
      <c r="C181" s="2" t="s">
        <v>30</v>
      </c>
      <c r="D181" s="3">
        <v>46106</v>
      </c>
      <c r="E181" s="2" t="s">
        <v>458</v>
      </c>
      <c r="F181" s="4">
        <v>13005.28</v>
      </c>
      <c r="G181" s="2" t="s">
        <v>18</v>
      </c>
      <c r="H181" s="5">
        <v>1</v>
      </c>
      <c r="I181" s="3">
        <v>46106</v>
      </c>
      <c r="J181" s="3">
        <v>46106</v>
      </c>
      <c r="K181" s="2" t="s">
        <v>19</v>
      </c>
      <c r="L181" s="5" t="b">
        <f>TRUE()</f>
        <v>1</v>
      </c>
      <c r="M181" s="5" t="b">
        <f>FALSE()</f>
        <v>0</v>
      </c>
      <c r="N181" s="5" t="b">
        <f>FALSE()</f>
        <v>0</v>
      </c>
    </row>
    <row r="182" spans="1:14" x14ac:dyDescent="0.25">
      <c r="A182" s="2" t="s">
        <v>459</v>
      </c>
      <c r="B182" s="2" t="s">
        <v>227</v>
      </c>
      <c r="C182" s="2" t="s">
        <v>406</v>
      </c>
      <c r="D182" s="3">
        <v>46106</v>
      </c>
      <c r="E182" s="2" t="s">
        <v>460</v>
      </c>
      <c r="F182" s="4">
        <v>8303.2000000000007</v>
      </c>
      <c r="G182" s="2" t="s">
        <v>18</v>
      </c>
      <c r="H182" s="5">
        <v>1</v>
      </c>
      <c r="I182" s="3">
        <v>46106</v>
      </c>
      <c r="J182" s="3">
        <v>46106</v>
      </c>
      <c r="K182" s="2" t="s">
        <v>19</v>
      </c>
      <c r="L182" s="5" t="b">
        <f>TRUE()</f>
        <v>1</v>
      </c>
      <c r="M182" s="5" t="b">
        <f>FALSE()</f>
        <v>0</v>
      </c>
      <c r="N182" s="5" t="b">
        <f>FALSE()</f>
        <v>0</v>
      </c>
    </row>
    <row r="183" spans="1:14" x14ac:dyDescent="0.25">
      <c r="A183" s="2" t="s">
        <v>461</v>
      </c>
      <c r="B183" s="2" t="s">
        <v>149</v>
      </c>
      <c r="C183" s="2" t="s">
        <v>462</v>
      </c>
      <c r="D183" s="3">
        <v>46105</v>
      </c>
      <c r="E183" s="2" t="s">
        <v>463</v>
      </c>
      <c r="F183" s="4">
        <v>33104.400000000001</v>
      </c>
      <c r="G183" s="2" t="s">
        <v>18</v>
      </c>
      <c r="H183" s="5">
        <v>1</v>
      </c>
      <c r="I183" s="3">
        <v>46105</v>
      </c>
      <c r="J183" s="3">
        <v>46105</v>
      </c>
      <c r="K183" s="2" t="s">
        <v>19</v>
      </c>
      <c r="L183" s="5" t="b">
        <f>TRUE()</f>
        <v>1</v>
      </c>
      <c r="M183" s="5" t="b">
        <f>FALSE()</f>
        <v>0</v>
      </c>
      <c r="N183" s="5" t="b">
        <f>FALSE()</f>
        <v>0</v>
      </c>
    </row>
    <row r="184" spans="1:14" x14ac:dyDescent="0.25">
      <c r="A184" s="2" t="s">
        <v>464</v>
      </c>
      <c r="B184" s="2" t="s">
        <v>29</v>
      </c>
      <c r="C184" s="2" t="s">
        <v>30</v>
      </c>
      <c r="D184" s="3">
        <v>46105</v>
      </c>
      <c r="E184" s="2" t="s">
        <v>465</v>
      </c>
      <c r="F184" s="4">
        <v>30308.32</v>
      </c>
      <c r="G184" s="2" t="s">
        <v>18</v>
      </c>
      <c r="H184" s="5">
        <v>1</v>
      </c>
      <c r="I184" s="3">
        <v>46105</v>
      </c>
      <c r="J184" s="3">
        <v>46105</v>
      </c>
      <c r="K184" s="2" t="s">
        <v>19</v>
      </c>
      <c r="L184" s="5" t="b">
        <f>TRUE()</f>
        <v>1</v>
      </c>
      <c r="M184" s="5" t="b">
        <f>FALSE()</f>
        <v>0</v>
      </c>
      <c r="N184" s="5" t="b">
        <f>FALSE()</f>
        <v>0</v>
      </c>
    </row>
    <row r="185" spans="1:14" x14ac:dyDescent="0.25">
      <c r="A185" s="2" t="s">
        <v>466</v>
      </c>
      <c r="B185" s="2" t="s">
        <v>73</v>
      </c>
      <c r="C185" s="2" t="s">
        <v>74</v>
      </c>
      <c r="D185" s="3">
        <v>46104</v>
      </c>
      <c r="E185" s="2" t="s">
        <v>467</v>
      </c>
      <c r="F185" s="4">
        <v>18593.400000000001</v>
      </c>
      <c r="G185" s="2" t="s">
        <v>18</v>
      </c>
      <c r="H185" s="5">
        <v>4</v>
      </c>
      <c r="I185" s="3">
        <v>46104</v>
      </c>
      <c r="J185" s="3">
        <v>46104</v>
      </c>
      <c r="K185" s="2" t="s">
        <v>19</v>
      </c>
      <c r="L185" s="5" t="b">
        <f>TRUE()</f>
        <v>1</v>
      </c>
      <c r="M185" s="5" t="b">
        <f>FALSE()</f>
        <v>0</v>
      </c>
      <c r="N185" s="5" t="b">
        <f>FALSE()</f>
        <v>0</v>
      </c>
    </row>
    <row r="186" spans="1:14" x14ac:dyDescent="0.25">
      <c r="A186" s="2" t="s">
        <v>468</v>
      </c>
      <c r="B186" s="2" t="s">
        <v>199</v>
      </c>
      <c r="C186" s="2" t="s">
        <v>200</v>
      </c>
      <c r="D186" s="3">
        <v>46104</v>
      </c>
      <c r="E186" s="2" t="s">
        <v>469</v>
      </c>
      <c r="F186" s="4">
        <v>9674</v>
      </c>
      <c r="G186" s="2" t="s">
        <v>18</v>
      </c>
      <c r="H186" s="5">
        <v>1</v>
      </c>
      <c r="I186" s="3">
        <v>46104</v>
      </c>
      <c r="J186" s="3">
        <v>46104</v>
      </c>
      <c r="K186" s="2" t="s">
        <v>19</v>
      </c>
      <c r="L186" s="5" t="b">
        <f>TRUE()</f>
        <v>1</v>
      </c>
      <c r="M186" s="5" t="b">
        <f>FALSE()</f>
        <v>0</v>
      </c>
      <c r="N186" s="5" t="b">
        <f>FALSE()</f>
        <v>0</v>
      </c>
    </row>
    <row r="187" spans="1:14" x14ac:dyDescent="0.25">
      <c r="A187" s="2" t="s">
        <v>470</v>
      </c>
      <c r="B187" s="2" t="s">
        <v>95</v>
      </c>
      <c r="C187" s="2" t="s">
        <v>96</v>
      </c>
      <c r="D187" s="3">
        <v>46104</v>
      </c>
      <c r="E187" s="2" t="s">
        <v>471</v>
      </c>
      <c r="F187" s="4">
        <v>28707.68</v>
      </c>
      <c r="G187" s="2" t="s">
        <v>18</v>
      </c>
      <c r="H187" s="5">
        <v>4</v>
      </c>
      <c r="I187" s="3">
        <v>46104</v>
      </c>
      <c r="J187" s="3">
        <v>46104</v>
      </c>
      <c r="K187" s="2" t="s">
        <v>19</v>
      </c>
      <c r="L187" s="5" t="b">
        <f>TRUE()</f>
        <v>1</v>
      </c>
      <c r="M187" s="5" t="b">
        <f>FALSE()</f>
        <v>0</v>
      </c>
      <c r="N187" s="5" t="b">
        <f>FALSE()</f>
        <v>0</v>
      </c>
    </row>
    <row r="188" spans="1:14" x14ac:dyDescent="0.25">
      <c r="A188" s="2" t="s">
        <v>472</v>
      </c>
      <c r="B188" s="2" t="s">
        <v>181</v>
      </c>
      <c r="C188" s="2" t="s">
        <v>182</v>
      </c>
      <c r="D188" s="3">
        <v>46104</v>
      </c>
      <c r="E188" s="2" t="s">
        <v>473</v>
      </c>
      <c r="F188" s="4">
        <v>27063.360000000001</v>
      </c>
      <c r="G188" s="2" t="s">
        <v>18</v>
      </c>
      <c r="H188" s="5">
        <v>2</v>
      </c>
      <c r="I188" s="3">
        <v>46104</v>
      </c>
      <c r="J188" s="3">
        <v>46104</v>
      </c>
      <c r="K188" s="2" t="s">
        <v>19</v>
      </c>
      <c r="L188" s="5" t="b">
        <f>TRUE()</f>
        <v>1</v>
      </c>
      <c r="M188" s="5" t="b">
        <f>FALSE()</f>
        <v>0</v>
      </c>
      <c r="N188" s="5" t="b">
        <f>FALSE()</f>
        <v>0</v>
      </c>
    </row>
    <row r="189" spans="1:14" x14ac:dyDescent="0.25">
      <c r="A189" s="2" t="s">
        <v>474</v>
      </c>
      <c r="B189" s="2" t="s">
        <v>55</v>
      </c>
      <c r="C189" s="2" t="s">
        <v>56</v>
      </c>
      <c r="D189" s="3">
        <v>46100</v>
      </c>
      <c r="E189" s="2" t="s">
        <v>475</v>
      </c>
      <c r="F189" s="4">
        <v>25666.560000000001</v>
      </c>
      <c r="G189" s="2" t="s">
        <v>18</v>
      </c>
      <c r="H189" s="5">
        <v>1</v>
      </c>
      <c r="I189" s="3">
        <v>46100</v>
      </c>
      <c r="J189" s="3">
        <v>46100</v>
      </c>
      <c r="K189" s="2" t="s">
        <v>19</v>
      </c>
      <c r="L189" s="5" t="b">
        <f>TRUE()</f>
        <v>1</v>
      </c>
      <c r="M189" s="5" t="b">
        <f>FALSE()</f>
        <v>0</v>
      </c>
      <c r="N189" s="5" t="b">
        <f>FALSE()</f>
        <v>0</v>
      </c>
    </row>
    <row r="190" spans="1:14" x14ac:dyDescent="0.25">
      <c r="A190" s="2" t="s">
        <v>476</v>
      </c>
      <c r="B190" s="2" t="s">
        <v>103</v>
      </c>
      <c r="C190" s="2" t="s">
        <v>104</v>
      </c>
      <c r="D190" s="3">
        <v>46100</v>
      </c>
      <c r="E190" s="2" t="s">
        <v>477</v>
      </c>
      <c r="F190" s="4">
        <v>12269.28</v>
      </c>
      <c r="G190" s="2" t="s">
        <v>18</v>
      </c>
      <c r="H190" s="5">
        <v>2</v>
      </c>
      <c r="I190" s="3">
        <v>46100</v>
      </c>
      <c r="J190" s="3">
        <v>46100</v>
      </c>
      <c r="K190" s="2" t="s">
        <v>19</v>
      </c>
      <c r="L190" s="5" t="b">
        <f>TRUE()</f>
        <v>1</v>
      </c>
      <c r="M190" s="5" t="b">
        <f>FALSE()</f>
        <v>0</v>
      </c>
      <c r="N190" s="5" t="b">
        <f>FALSE()</f>
        <v>0</v>
      </c>
    </row>
    <row r="191" spans="1:14" x14ac:dyDescent="0.25">
      <c r="A191" s="2" t="s">
        <v>478</v>
      </c>
      <c r="B191" s="2" t="s">
        <v>29</v>
      </c>
      <c r="C191" s="2" t="s">
        <v>30</v>
      </c>
      <c r="D191" s="3">
        <v>46100</v>
      </c>
      <c r="E191" s="2" t="s">
        <v>479</v>
      </c>
      <c r="F191" s="4">
        <v>11271.36</v>
      </c>
      <c r="G191" s="2" t="s">
        <v>18</v>
      </c>
      <c r="H191" s="5">
        <v>1</v>
      </c>
      <c r="I191" s="3">
        <v>46100</v>
      </c>
      <c r="J191" s="3">
        <v>46100</v>
      </c>
      <c r="K191" s="2" t="s">
        <v>19</v>
      </c>
      <c r="L191" s="5" t="b">
        <f>TRUE()</f>
        <v>1</v>
      </c>
      <c r="M191" s="5" t="b">
        <f>FALSE()</f>
        <v>0</v>
      </c>
      <c r="N191" s="5" t="b">
        <f>FALSE()</f>
        <v>0</v>
      </c>
    </row>
    <row r="192" spans="1:14" x14ac:dyDescent="0.25">
      <c r="A192" s="2" t="s">
        <v>480</v>
      </c>
      <c r="B192" s="2" t="s">
        <v>81</v>
      </c>
      <c r="C192" s="2" t="s">
        <v>82</v>
      </c>
      <c r="D192" s="3">
        <v>46100</v>
      </c>
      <c r="E192" s="2" t="s">
        <v>481</v>
      </c>
      <c r="F192" s="4">
        <v>11592</v>
      </c>
      <c r="G192" s="2" t="s">
        <v>18</v>
      </c>
      <c r="H192" s="5">
        <v>3</v>
      </c>
      <c r="I192" s="3">
        <v>46100</v>
      </c>
      <c r="J192" s="3">
        <v>46100</v>
      </c>
      <c r="K192" s="2" t="s">
        <v>19</v>
      </c>
      <c r="L192" s="5" t="b">
        <f>TRUE()</f>
        <v>1</v>
      </c>
      <c r="M192" s="5" t="b">
        <f>FALSE()</f>
        <v>0</v>
      </c>
      <c r="N192" s="5" t="b">
        <f>FALSE()</f>
        <v>0</v>
      </c>
    </row>
    <row r="193" spans="1:14" x14ac:dyDescent="0.25">
      <c r="A193" s="2" t="s">
        <v>482</v>
      </c>
      <c r="B193" s="2" t="s">
        <v>25</v>
      </c>
      <c r="C193" s="2" t="s">
        <v>26</v>
      </c>
      <c r="D193" s="3">
        <v>46099</v>
      </c>
      <c r="E193" s="2" t="s">
        <v>483</v>
      </c>
      <c r="F193" s="4">
        <v>12255.8</v>
      </c>
      <c r="G193" s="2" t="s">
        <v>18</v>
      </c>
      <c r="H193" s="5">
        <v>4</v>
      </c>
      <c r="I193" s="3">
        <v>46099</v>
      </c>
      <c r="J193" s="3">
        <v>46099</v>
      </c>
      <c r="K193" s="2" t="s">
        <v>19</v>
      </c>
      <c r="L193" s="5" t="b">
        <f>FALSE()</f>
        <v>0</v>
      </c>
      <c r="M193" s="5" t="b">
        <f>FALSE()</f>
        <v>0</v>
      </c>
      <c r="N193" s="5" t="b">
        <f>FALSE()</f>
        <v>0</v>
      </c>
    </row>
    <row r="194" spans="1:14" x14ac:dyDescent="0.25">
      <c r="A194" s="2" t="s">
        <v>484</v>
      </c>
      <c r="B194" s="2" t="s">
        <v>87</v>
      </c>
      <c r="C194" s="2" t="s">
        <v>88</v>
      </c>
      <c r="D194" s="3">
        <v>46099</v>
      </c>
      <c r="E194" s="2" t="s">
        <v>485</v>
      </c>
      <c r="F194" s="4">
        <v>33988.75</v>
      </c>
      <c r="G194" s="2" t="s">
        <v>18</v>
      </c>
      <c r="H194" s="5">
        <v>4</v>
      </c>
      <c r="I194" s="3">
        <v>46099</v>
      </c>
      <c r="J194" s="3">
        <v>46099</v>
      </c>
      <c r="K194" s="2" t="s">
        <v>19</v>
      </c>
      <c r="L194" s="5" t="b">
        <f>FALSE()</f>
        <v>0</v>
      </c>
      <c r="M194" s="5" t="b">
        <f>FALSE()</f>
        <v>0</v>
      </c>
      <c r="N194" s="5" t="b">
        <f>FALSE()</f>
        <v>0</v>
      </c>
    </row>
    <row r="195" spans="1:14" x14ac:dyDescent="0.25">
      <c r="A195" s="2" t="s">
        <v>486</v>
      </c>
      <c r="B195" s="2" t="s">
        <v>21</v>
      </c>
      <c r="C195" s="2" t="s">
        <v>389</v>
      </c>
      <c r="D195" s="3">
        <v>46098</v>
      </c>
      <c r="E195" s="2" t="s">
        <v>487</v>
      </c>
      <c r="F195" s="4">
        <v>2364.3200000000002</v>
      </c>
      <c r="G195" s="2" t="s">
        <v>18</v>
      </c>
      <c r="H195" s="5">
        <v>4</v>
      </c>
      <c r="I195" s="3">
        <v>46098</v>
      </c>
      <c r="J195" s="3">
        <v>46098</v>
      </c>
      <c r="K195" s="2" t="s">
        <v>19</v>
      </c>
      <c r="L195" s="5" t="b">
        <f>TRUE()</f>
        <v>1</v>
      </c>
      <c r="M195" s="5" t="b">
        <f>FALSE()</f>
        <v>0</v>
      </c>
      <c r="N195" s="5" t="b">
        <f>FALSE()</f>
        <v>0</v>
      </c>
    </row>
    <row r="196" spans="1:14" x14ac:dyDescent="0.25">
      <c r="A196" s="2" t="s">
        <v>488</v>
      </c>
      <c r="B196" s="2" t="s">
        <v>99</v>
      </c>
      <c r="C196" s="2" t="s">
        <v>100</v>
      </c>
      <c r="D196" s="3">
        <v>46098</v>
      </c>
      <c r="E196" s="2" t="s">
        <v>489</v>
      </c>
      <c r="F196" s="4">
        <v>33051.199999999997</v>
      </c>
      <c r="G196" s="2" t="s">
        <v>18</v>
      </c>
      <c r="H196" s="5">
        <v>2</v>
      </c>
      <c r="I196" s="3">
        <v>46098</v>
      </c>
      <c r="J196" s="3">
        <v>46098</v>
      </c>
      <c r="K196" s="2" t="s">
        <v>19</v>
      </c>
      <c r="L196" s="5" t="b">
        <f>TRUE()</f>
        <v>1</v>
      </c>
      <c r="M196" s="5" t="b">
        <f>FALSE()</f>
        <v>0</v>
      </c>
      <c r="N196" s="5" t="b">
        <f>FALSE()</f>
        <v>0</v>
      </c>
    </row>
    <row r="197" spans="1:14" x14ac:dyDescent="0.25">
      <c r="A197" s="2" t="s">
        <v>490</v>
      </c>
      <c r="B197" s="2" t="s">
        <v>41</v>
      </c>
      <c r="C197" s="2" t="s">
        <v>42</v>
      </c>
      <c r="D197" s="3">
        <v>46098</v>
      </c>
      <c r="E197" s="2" t="s">
        <v>491</v>
      </c>
      <c r="F197" s="4">
        <v>28347.32</v>
      </c>
      <c r="G197" s="2" t="s">
        <v>18</v>
      </c>
      <c r="H197" s="5">
        <v>2</v>
      </c>
      <c r="I197" s="3">
        <v>46098</v>
      </c>
      <c r="J197" s="3">
        <v>46098</v>
      </c>
      <c r="K197" s="2" t="s">
        <v>19</v>
      </c>
      <c r="L197" s="5" t="b">
        <f>TRUE()</f>
        <v>1</v>
      </c>
      <c r="M197" s="5" t="b">
        <f>FALSE()</f>
        <v>0</v>
      </c>
      <c r="N197" s="5" t="b">
        <f>FALSE()</f>
        <v>0</v>
      </c>
    </row>
    <row r="198" spans="1:14" x14ac:dyDescent="0.25">
      <c r="A198" s="2" t="s">
        <v>492</v>
      </c>
      <c r="B198" s="2" t="s">
        <v>139</v>
      </c>
      <c r="C198" s="2" t="s">
        <v>140</v>
      </c>
      <c r="D198" s="3">
        <v>46098</v>
      </c>
      <c r="E198" s="2" t="s">
        <v>493</v>
      </c>
      <c r="F198" s="4">
        <v>14257.12</v>
      </c>
      <c r="G198" s="2" t="s">
        <v>18</v>
      </c>
      <c r="H198" s="5">
        <v>4</v>
      </c>
      <c r="I198" s="3">
        <v>46098</v>
      </c>
      <c r="J198" s="3">
        <v>46098</v>
      </c>
      <c r="K198" s="2" t="s">
        <v>19</v>
      </c>
      <c r="L198" s="5" t="b">
        <f>TRUE()</f>
        <v>1</v>
      </c>
      <c r="M198" s="5" t="b">
        <f>FALSE()</f>
        <v>0</v>
      </c>
      <c r="N198" s="5" t="b">
        <f>FALSE()</f>
        <v>0</v>
      </c>
    </row>
    <row r="199" spans="1:14" x14ac:dyDescent="0.25">
      <c r="A199" s="2" t="s">
        <v>494</v>
      </c>
      <c r="B199" s="2" t="s">
        <v>55</v>
      </c>
      <c r="C199" s="2" t="s">
        <v>56</v>
      </c>
      <c r="D199" s="3">
        <v>46097</v>
      </c>
      <c r="E199" s="2" t="s">
        <v>495</v>
      </c>
      <c r="F199" s="4">
        <v>25666.560000000001</v>
      </c>
      <c r="G199" s="2" t="s">
        <v>18</v>
      </c>
      <c r="H199" s="5">
        <v>1</v>
      </c>
      <c r="I199" s="3">
        <v>46097</v>
      </c>
      <c r="J199" s="3">
        <v>46097</v>
      </c>
      <c r="K199" s="2" t="s">
        <v>19</v>
      </c>
      <c r="L199" s="5" t="b">
        <f>TRUE()</f>
        <v>1</v>
      </c>
      <c r="M199" s="5" t="b">
        <f>FALSE()</f>
        <v>0</v>
      </c>
      <c r="N199" s="5" t="b">
        <f>FALSE()</f>
        <v>0</v>
      </c>
    </row>
    <row r="200" spans="1:14" x14ac:dyDescent="0.25">
      <c r="A200" s="2" t="s">
        <v>496</v>
      </c>
      <c r="B200" s="2" t="s">
        <v>195</v>
      </c>
      <c r="C200" s="2" t="s">
        <v>196</v>
      </c>
      <c r="D200" s="3">
        <v>46097</v>
      </c>
      <c r="E200" s="2" t="s">
        <v>497</v>
      </c>
      <c r="F200" s="4">
        <v>24548.1</v>
      </c>
      <c r="G200" s="2" t="s">
        <v>18</v>
      </c>
      <c r="H200" s="5">
        <v>4</v>
      </c>
      <c r="I200" s="3">
        <v>46097</v>
      </c>
      <c r="J200" s="3">
        <v>46097</v>
      </c>
      <c r="K200" s="2" t="s">
        <v>19</v>
      </c>
      <c r="L200" s="5" t="b">
        <f>TRUE()</f>
        <v>1</v>
      </c>
      <c r="M200" s="5" t="b">
        <f>FALSE()</f>
        <v>0</v>
      </c>
      <c r="N200" s="5" t="b">
        <f>FALSE()</f>
        <v>0</v>
      </c>
    </row>
    <row r="201" spans="1:14" x14ac:dyDescent="0.25">
      <c r="A201" s="2" t="s">
        <v>498</v>
      </c>
      <c r="B201" s="2" t="s">
        <v>45</v>
      </c>
      <c r="C201" s="2" t="s">
        <v>46</v>
      </c>
      <c r="D201" s="3">
        <v>46097</v>
      </c>
      <c r="E201" s="2" t="s">
        <v>499</v>
      </c>
      <c r="F201" s="4">
        <v>30000.880000000001</v>
      </c>
      <c r="G201" s="2" t="s">
        <v>18</v>
      </c>
      <c r="H201" s="5">
        <v>4</v>
      </c>
      <c r="I201" s="3">
        <v>46097</v>
      </c>
      <c r="J201" s="3">
        <v>46097</v>
      </c>
      <c r="K201" s="2" t="s">
        <v>19</v>
      </c>
      <c r="L201" s="5" t="b">
        <f>TRUE()</f>
        <v>1</v>
      </c>
      <c r="M201" s="5" t="b">
        <f>FALSE()</f>
        <v>0</v>
      </c>
      <c r="N201" s="5" t="b">
        <f>FALSE()</f>
        <v>0</v>
      </c>
    </row>
    <row r="202" spans="1:14" x14ac:dyDescent="0.25">
      <c r="A202" s="2" t="s">
        <v>500</v>
      </c>
      <c r="B202" s="2" t="s">
        <v>99</v>
      </c>
      <c r="C202" s="2" t="s">
        <v>100</v>
      </c>
      <c r="D202" s="3">
        <v>46097</v>
      </c>
      <c r="E202" s="2" t="s">
        <v>501</v>
      </c>
      <c r="F202" s="4">
        <v>31403.439999999999</v>
      </c>
      <c r="G202" s="2" t="s">
        <v>18</v>
      </c>
      <c r="H202" s="5">
        <v>2</v>
      </c>
      <c r="I202" s="3">
        <v>46097</v>
      </c>
      <c r="J202" s="3">
        <v>46097</v>
      </c>
      <c r="K202" s="2" t="s">
        <v>19</v>
      </c>
      <c r="L202" s="5" t="b">
        <f>TRUE()</f>
        <v>1</v>
      </c>
      <c r="M202" s="5" t="b">
        <f>FALSE()</f>
        <v>0</v>
      </c>
      <c r="N202" s="5" t="b">
        <f>FALSE()</f>
        <v>0</v>
      </c>
    </row>
    <row r="203" spans="1:14" x14ac:dyDescent="0.25">
      <c r="A203" s="2" t="s">
        <v>502</v>
      </c>
      <c r="B203" s="2" t="s">
        <v>69</v>
      </c>
      <c r="C203" s="2" t="s">
        <v>70</v>
      </c>
      <c r="D203" s="3">
        <v>46094</v>
      </c>
      <c r="E203" s="2" t="s">
        <v>503</v>
      </c>
      <c r="F203" s="4">
        <v>2866.7</v>
      </c>
      <c r="G203" s="2" t="s">
        <v>18</v>
      </c>
      <c r="H203" s="5">
        <v>2</v>
      </c>
      <c r="I203" s="3">
        <v>46092</v>
      </c>
      <c r="J203" s="3">
        <v>46092</v>
      </c>
      <c r="K203" s="2" t="s">
        <v>19</v>
      </c>
      <c r="L203" s="5" t="b">
        <f>TRUE()</f>
        <v>1</v>
      </c>
      <c r="M203" s="5" t="b">
        <f>FALSE()</f>
        <v>0</v>
      </c>
      <c r="N203" s="5" t="b">
        <f>FALSE()</f>
        <v>0</v>
      </c>
    </row>
    <row r="204" spans="1:14" x14ac:dyDescent="0.25">
      <c r="A204" s="2" t="s">
        <v>504</v>
      </c>
      <c r="B204" s="2" t="s">
        <v>21</v>
      </c>
      <c r="C204" s="2" t="s">
        <v>389</v>
      </c>
      <c r="D204" s="3">
        <v>46093</v>
      </c>
      <c r="E204" s="2" t="s">
        <v>505</v>
      </c>
      <c r="F204" s="4">
        <v>26407.16</v>
      </c>
      <c r="G204" s="2" t="s">
        <v>18</v>
      </c>
      <c r="H204" s="5">
        <v>4</v>
      </c>
      <c r="I204" s="3">
        <v>46093</v>
      </c>
      <c r="J204" s="3">
        <v>46093</v>
      </c>
      <c r="K204" s="2" t="s">
        <v>19</v>
      </c>
      <c r="L204" s="5" t="b">
        <f>TRUE()</f>
        <v>1</v>
      </c>
      <c r="M204" s="5" t="b">
        <f>FALSE()</f>
        <v>0</v>
      </c>
      <c r="N204" s="5" t="b">
        <f>FALSE()</f>
        <v>0</v>
      </c>
    </row>
    <row r="205" spans="1:14" x14ac:dyDescent="0.25">
      <c r="A205" s="2" t="s">
        <v>506</v>
      </c>
      <c r="B205" s="2" t="s">
        <v>195</v>
      </c>
      <c r="C205" s="2" t="s">
        <v>196</v>
      </c>
      <c r="D205" s="3">
        <v>46093</v>
      </c>
      <c r="E205" s="2" t="s">
        <v>507</v>
      </c>
      <c r="F205" s="4">
        <v>25496</v>
      </c>
      <c r="G205" s="2" t="s">
        <v>18</v>
      </c>
      <c r="H205" s="5">
        <v>4</v>
      </c>
      <c r="I205" s="3">
        <v>46093</v>
      </c>
      <c r="J205" s="3">
        <v>46093</v>
      </c>
      <c r="K205" s="2" t="s">
        <v>19</v>
      </c>
      <c r="L205" s="5" t="b">
        <f>TRUE()</f>
        <v>1</v>
      </c>
      <c r="M205" s="5" t="b">
        <f>FALSE()</f>
        <v>0</v>
      </c>
      <c r="N205" s="5" t="b">
        <f>FALSE()</f>
        <v>0</v>
      </c>
    </row>
    <row r="206" spans="1:14" x14ac:dyDescent="0.25">
      <c r="A206" s="2" t="s">
        <v>508</v>
      </c>
      <c r="B206" s="2" t="s">
        <v>29</v>
      </c>
      <c r="C206" s="2" t="s">
        <v>30</v>
      </c>
      <c r="D206" s="3">
        <v>46093</v>
      </c>
      <c r="E206" s="2" t="s">
        <v>509</v>
      </c>
      <c r="F206" s="4">
        <v>14731.4</v>
      </c>
      <c r="G206" s="2" t="s">
        <v>18</v>
      </c>
      <c r="H206" s="5">
        <v>1</v>
      </c>
      <c r="I206" s="3">
        <v>46093</v>
      </c>
      <c r="J206" s="3">
        <v>46093</v>
      </c>
      <c r="K206" s="2" t="s">
        <v>19</v>
      </c>
      <c r="L206" s="5" t="b">
        <f>TRUE()</f>
        <v>1</v>
      </c>
      <c r="M206" s="5" t="b">
        <f>FALSE()</f>
        <v>0</v>
      </c>
      <c r="N206" s="5" t="b">
        <f>FALSE()</f>
        <v>0</v>
      </c>
    </row>
    <row r="207" spans="1:14" x14ac:dyDescent="0.25">
      <c r="A207" s="2" t="s">
        <v>510</v>
      </c>
      <c r="B207" s="2" t="s">
        <v>103</v>
      </c>
      <c r="C207" s="2" t="s">
        <v>104</v>
      </c>
      <c r="D207" s="3">
        <v>46093</v>
      </c>
      <c r="E207" s="2" t="s">
        <v>511</v>
      </c>
      <c r="F207" s="4">
        <v>15063.4</v>
      </c>
      <c r="G207" s="2" t="s">
        <v>18</v>
      </c>
      <c r="H207" s="5">
        <v>9</v>
      </c>
      <c r="I207" s="3">
        <v>46093</v>
      </c>
      <c r="J207" s="3">
        <v>46093</v>
      </c>
      <c r="K207" s="2" t="s">
        <v>19</v>
      </c>
      <c r="L207" s="5" t="b">
        <f>TRUE()</f>
        <v>1</v>
      </c>
      <c r="M207" s="5" t="b">
        <f>FALSE()</f>
        <v>0</v>
      </c>
      <c r="N207" s="5" t="b">
        <f>FALSE()</f>
        <v>0</v>
      </c>
    </row>
    <row r="208" spans="1:14" x14ac:dyDescent="0.25">
      <c r="A208" s="2" t="s">
        <v>512</v>
      </c>
      <c r="B208" s="2" t="s">
        <v>513</v>
      </c>
      <c r="C208" s="2" t="s">
        <v>514</v>
      </c>
      <c r="D208" s="3">
        <v>46093</v>
      </c>
      <c r="E208" s="2" t="s">
        <v>515</v>
      </c>
      <c r="F208" s="4">
        <v>1248</v>
      </c>
      <c r="G208" s="2" t="s">
        <v>18</v>
      </c>
      <c r="H208" s="5">
        <v>4</v>
      </c>
      <c r="I208" s="3">
        <v>46093</v>
      </c>
      <c r="J208" s="3">
        <v>46093</v>
      </c>
      <c r="K208" s="2" t="s">
        <v>19</v>
      </c>
      <c r="L208" s="5" t="b">
        <f>TRUE()</f>
        <v>1</v>
      </c>
      <c r="M208" s="5" t="b">
        <f>FALSE()</f>
        <v>0</v>
      </c>
      <c r="N208" s="5" t="b">
        <f>FALSE()</f>
        <v>0</v>
      </c>
    </row>
    <row r="209" spans="1:14" x14ac:dyDescent="0.25">
      <c r="A209" s="2" t="s">
        <v>516</v>
      </c>
      <c r="B209" s="2" t="s">
        <v>69</v>
      </c>
      <c r="C209" s="2" t="s">
        <v>70</v>
      </c>
      <c r="D209" s="3">
        <v>46092</v>
      </c>
      <c r="E209" s="2" t="s">
        <v>517</v>
      </c>
      <c r="F209" s="4">
        <v>3455.2</v>
      </c>
      <c r="G209" s="2" t="s">
        <v>18</v>
      </c>
      <c r="H209" s="5">
        <v>2</v>
      </c>
      <c r="I209" s="3">
        <v>46092</v>
      </c>
      <c r="J209" s="3">
        <v>46092</v>
      </c>
      <c r="K209" s="2" t="s">
        <v>19</v>
      </c>
      <c r="L209" s="5" t="b">
        <f>TRUE()</f>
        <v>1</v>
      </c>
      <c r="M209" s="5" t="b">
        <f>FALSE()</f>
        <v>0</v>
      </c>
      <c r="N209" s="5" t="b">
        <f>FALSE()</f>
        <v>0</v>
      </c>
    </row>
    <row r="210" spans="1:14" x14ac:dyDescent="0.25">
      <c r="A210" s="2" t="s">
        <v>518</v>
      </c>
      <c r="B210" s="2" t="s">
        <v>227</v>
      </c>
      <c r="C210" s="2" t="s">
        <v>406</v>
      </c>
      <c r="D210" s="3">
        <v>46092</v>
      </c>
      <c r="E210" s="2" t="s">
        <v>519</v>
      </c>
      <c r="F210" s="4">
        <v>9406.4</v>
      </c>
      <c r="G210" s="2" t="s">
        <v>18</v>
      </c>
      <c r="H210" s="5">
        <v>1</v>
      </c>
      <c r="I210" s="3">
        <v>46092</v>
      </c>
      <c r="J210" s="3">
        <v>46092</v>
      </c>
      <c r="K210" s="2" t="s">
        <v>19</v>
      </c>
      <c r="L210" s="5" t="b">
        <f>TRUE()</f>
        <v>1</v>
      </c>
      <c r="M210" s="5" t="b">
        <f>FALSE()</f>
        <v>0</v>
      </c>
      <c r="N210" s="5" t="b">
        <f>FALSE()</f>
        <v>0</v>
      </c>
    </row>
    <row r="211" spans="1:14" x14ac:dyDescent="0.25">
      <c r="A211" s="2" t="s">
        <v>520</v>
      </c>
      <c r="B211" s="2" t="s">
        <v>91</v>
      </c>
      <c r="C211" s="2" t="s">
        <v>92</v>
      </c>
      <c r="D211" s="3">
        <v>46092</v>
      </c>
      <c r="E211" s="2" t="s">
        <v>521</v>
      </c>
      <c r="F211" s="4">
        <v>31110.22</v>
      </c>
      <c r="G211" s="2" t="s">
        <v>18</v>
      </c>
      <c r="H211" s="5">
        <v>2</v>
      </c>
      <c r="I211" s="3">
        <v>46092</v>
      </c>
      <c r="J211" s="3">
        <v>46092</v>
      </c>
      <c r="K211" s="2" t="s">
        <v>19</v>
      </c>
      <c r="L211" s="5" t="b">
        <f>TRUE()</f>
        <v>1</v>
      </c>
      <c r="M211" s="5" t="b">
        <f>FALSE()</f>
        <v>0</v>
      </c>
      <c r="N211" s="5" t="b">
        <f>FALSE()</f>
        <v>0</v>
      </c>
    </row>
    <row r="212" spans="1:14" x14ac:dyDescent="0.25">
      <c r="A212" s="2" t="s">
        <v>522</v>
      </c>
      <c r="B212" s="2" t="s">
        <v>167</v>
      </c>
      <c r="C212" s="2" t="s">
        <v>168</v>
      </c>
      <c r="D212" s="3">
        <v>46092</v>
      </c>
      <c r="E212" s="2" t="s">
        <v>523</v>
      </c>
      <c r="F212" s="4">
        <v>17311</v>
      </c>
      <c r="G212" s="2" t="s">
        <v>18</v>
      </c>
      <c r="H212" s="5">
        <v>1</v>
      </c>
      <c r="I212" s="3">
        <v>46092</v>
      </c>
      <c r="J212" s="3">
        <v>46092</v>
      </c>
      <c r="K212" s="2" t="s">
        <v>19</v>
      </c>
      <c r="L212" s="5" t="b">
        <f>TRUE()</f>
        <v>1</v>
      </c>
      <c r="M212" s="5" t="b">
        <f>FALSE()</f>
        <v>0</v>
      </c>
      <c r="N212" s="5" t="b">
        <f>FALSE()</f>
        <v>0</v>
      </c>
    </row>
    <row r="213" spans="1:14" x14ac:dyDescent="0.25">
      <c r="A213" s="2" t="s">
        <v>524</v>
      </c>
      <c r="B213" s="2" t="s">
        <v>87</v>
      </c>
      <c r="C213" s="2" t="s">
        <v>88</v>
      </c>
      <c r="D213" s="3">
        <v>46092</v>
      </c>
      <c r="E213" s="2" t="s">
        <v>525</v>
      </c>
      <c r="F213" s="4">
        <v>33756.620000000003</v>
      </c>
      <c r="G213" s="2" t="s">
        <v>18</v>
      </c>
      <c r="H213" s="5">
        <v>6</v>
      </c>
      <c r="I213" s="3">
        <v>46092</v>
      </c>
      <c r="J213" s="3">
        <v>46092</v>
      </c>
      <c r="K213" s="2" t="s">
        <v>19</v>
      </c>
      <c r="L213" s="5" t="b">
        <f>TRUE()</f>
        <v>1</v>
      </c>
      <c r="M213" s="5" t="b">
        <f>FALSE()</f>
        <v>0</v>
      </c>
      <c r="N213" s="5" t="b">
        <f>FALSE()</f>
        <v>0</v>
      </c>
    </row>
    <row r="214" spans="1:14" x14ac:dyDescent="0.25">
      <c r="A214" s="2" t="s">
        <v>526</v>
      </c>
      <c r="B214" s="2" t="s">
        <v>81</v>
      </c>
      <c r="C214" s="2" t="s">
        <v>82</v>
      </c>
      <c r="D214" s="3">
        <v>46091</v>
      </c>
      <c r="E214" s="2" t="s">
        <v>527</v>
      </c>
      <c r="F214" s="4">
        <v>38640</v>
      </c>
      <c r="G214" s="2" t="s">
        <v>18</v>
      </c>
      <c r="H214" s="5">
        <v>4</v>
      </c>
      <c r="I214" s="3">
        <v>46091</v>
      </c>
      <c r="J214" s="3">
        <v>46091</v>
      </c>
      <c r="K214" s="2" t="s">
        <v>19</v>
      </c>
      <c r="L214" s="5" t="b">
        <f>TRUE()</f>
        <v>1</v>
      </c>
      <c r="M214" s="5" t="b">
        <f>FALSE()</f>
        <v>0</v>
      </c>
      <c r="N214" s="5" t="b">
        <f>FALSE()</f>
        <v>0</v>
      </c>
    </row>
    <row r="215" spans="1:14" x14ac:dyDescent="0.25">
      <c r="A215" s="2" t="s">
        <v>528</v>
      </c>
      <c r="B215" s="2" t="s">
        <v>81</v>
      </c>
      <c r="C215" s="2" t="s">
        <v>82</v>
      </c>
      <c r="D215" s="3">
        <v>46091</v>
      </c>
      <c r="E215" s="2" t="s">
        <v>529</v>
      </c>
      <c r="F215" s="4">
        <v>38640</v>
      </c>
      <c r="G215" s="2" t="s">
        <v>18</v>
      </c>
      <c r="H215" s="5">
        <v>4</v>
      </c>
      <c r="I215" s="3">
        <v>46091</v>
      </c>
      <c r="J215" s="3">
        <v>46091</v>
      </c>
      <c r="K215" s="2" t="s">
        <v>19</v>
      </c>
      <c r="L215" s="5" t="b">
        <f>TRUE()</f>
        <v>1</v>
      </c>
      <c r="M215" s="5" t="b">
        <f>FALSE()</f>
        <v>0</v>
      </c>
      <c r="N215" s="5" t="b">
        <f>FALSE()</f>
        <v>0</v>
      </c>
    </row>
    <row r="216" spans="1:14" x14ac:dyDescent="0.25">
      <c r="A216" s="2" t="s">
        <v>530</v>
      </c>
      <c r="B216" s="2" t="s">
        <v>81</v>
      </c>
      <c r="C216" s="2" t="s">
        <v>82</v>
      </c>
      <c r="D216" s="3">
        <v>46090</v>
      </c>
      <c r="E216" s="2" t="s">
        <v>531</v>
      </c>
      <c r="F216" s="4">
        <v>35756</v>
      </c>
      <c r="G216" s="2" t="s">
        <v>18</v>
      </c>
      <c r="H216" s="5">
        <v>4</v>
      </c>
      <c r="I216" s="3">
        <v>46090</v>
      </c>
      <c r="J216" s="3">
        <v>46090</v>
      </c>
      <c r="K216" s="2" t="s">
        <v>19</v>
      </c>
      <c r="L216" s="5" t="b">
        <f>TRUE()</f>
        <v>1</v>
      </c>
      <c r="M216" s="5" t="b">
        <f>FALSE()</f>
        <v>0</v>
      </c>
      <c r="N216" s="5" t="b">
        <f>FALSE()</f>
        <v>0</v>
      </c>
    </row>
    <row r="217" spans="1:14" x14ac:dyDescent="0.25">
      <c r="A217" s="2" t="s">
        <v>532</v>
      </c>
      <c r="B217" s="2" t="s">
        <v>29</v>
      </c>
      <c r="C217" s="2" t="s">
        <v>30</v>
      </c>
      <c r="D217" s="3">
        <v>46090</v>
      </c>
      <c r="E217" s="2" t="s">
        <v>533</v>
      </c>
      <c r="F217" s="4">
        <v>14838.74</v>
      </c>
      <c r="G217" s="2" t="s">
        <v>18</v>
      </c>
      <c r="H217" s="5">
        <v>1</v>
      </c>
      <c r="I217" s="3">
        <v>46090</v>
      </c>
      <c r="J217" s="3">
        <v>46090</v>
      </c>
      <c r="K217" s="2" t="s">
        <v>19</v>
      </c>
      <c r="L217" s="5" t="b">
        <f>TRUE()</f>
        <v>1</v>
      </c>
      <c r="M217" s="5" t="b">
        <f>FALSE()</f>
        <v>0</v>
      </c>
      <c r="N217" s="5" t="b">
        <f>FALSE()</f>
        <v>0</v>
      </c>
    </row>
    <row r="218" spans="1:14" x14ac:dyDescent="0.25">
      <c r="A218" s="2" t="s">
        <v>534</v>
      </c>
      <c r="B218" s="2" t="s">
        <v>145</v>
      </c>
      <c r="C218" s="2" t="s">
        <v>146</v>
      </c>
      <c r="D218" s="3">
        <v>46090</v>
      </c>
      <c r="E218" s="2" t="s">
        <v>535</v>
      </c>
      <c r="F218" s="4">
        <v>19402.400000000001</v>
      </c>
      <c r="G218" s="2" t="s">
        <v>18</v>
      </c>
      <c r="H218" s="5">
        <v>2</v>
      </c>
      <c r="I218" s="3">
        <v>46090</v>
      </c>
      <c r="J218" s="3">
        <v>46090</v>
      </c>
      <c r="K218" s="2" t="s">
        <v>19</v>
      </c>
      <c r="L218" s="5" t="b">
        <f>TRUE()</f>
        <v>1</v>
      </c>
      <c r="M218" s="5" t="b">
        <f>FALSE()</f>
        <v>0</v>
      </c>
      <c r="N218" s="5" t="b">
        <f>FALSE()</f>
        <v>0</v>
      </c>
    </row>
    <row r="219" spans="1:14" x14ac:dyDescent="0.25">
      <c r="A219" s="2" t="s">
        <v>536</v>
      </c>
      <c r="B219" s="2" t="s">
        <v>55</v>
      </c>
      <c r="C219" s="2" t="s">
        <v>56</v>
      </c>
      <c r="D219" s="3">
        <v>46090</v>
      </c>
      <c r="E219" s="2" t="s">
        <v>537</v>
      </c>
      <c r="F219" s="4">
        <v>10694.4</v>
      </c>
      <c r="G219" s="2" t="s">
        <v>18</v>
      </c>
      <c r="H219" s="5">
        <v>1</v>
      </c>
      <c r="I219" s="3">
        <v>46090</v>
      </c>
      <c r="J219" s="3">
        <v>46090</v>
      </c>
      <c r="K219" s="2" t="s">
        <v>19</v>
      </c>
      <c r="L219" s="5" t="b">
        <f>TRUE()</f>
        <v>1</v>
      </c>
      <c r="M219" s="5" t="b">
        <f>FALSE()</f>
        <v>0</v>
      </c>
      <c r="N219" s="5" t="b">
        <f>FALSE()</f>
        <v>0</v>
      </c>
    </row>
    <row r="220" spans="1:14" x14ac:dyDescent="0.25">
      <c r="A220" s="2" t="s">
        <v>538</v>
      </c>
      <c r="B220" s="2" t="s">
        <v>49</v>
      </c>
      <c r="C220" s="2" t="s">
        <v>349</v>
      </c>
      <c r="D220" s="3">
        <v>46090</v>
      </c>
      <c r="E220" s="2" t="s">
        <v>539</v>
      </c>
      <c r="F220" s="4">
        <v>4968</v>
      </c>
      <c r="G220" s="2" t="s">
        <v>18</v>
      </c>
      <c r="H220" s="5">
        <v>1</v>
      </c>
      <c r="I220" s="3">
        <v>46090</v>
      </c>
      <c r="J220" s="3">
        <v>46090</v>
      </c>
      <c r="K220" s="2" t="s">
        <v>19</v>
      </c>
      <c r="L220" s="5" t="b">
        <f>TRUE()</f>
        <v>1</v>
      </c>
      <c r="M220" s="5" t="b">
        <f>FALSE()</f>
        <v>0</v>
      </c>
      <c r="N220" s="5" t="b">
        <f>FALSE()</f>
        <v>0</v>
      </c>
    </row>
    <row r="221" spans="1:14" x14ac:dyDescent="0.25">
      <c r="A221" s="2" t="s">
        <v>540</v>
      </c>
      <c r="B221" s="2" t="s">
        <v>41</v>
      </c>
      <c r="C221" s="2" t="s">
        <v>42</v>
      </c>
      <c r="D221" s="3">
        <v>46086</v>
      </c>
      <c r="E221" s="2" t="s">
        <v>541</v>
      </c>
      <c r="F221" s="4">
        <v>26117.040000000001</v>
      </c>
      <c r="G221" s="2" t="s">
        <v>18</v>
      </c>
      <c r="H221" s="5">
        <v>2</v>
      </c>
      <c r="I221" s="3">
        <v>46086</v>
      </c>
      <c r="J221" s="3">
        <v>46086</v>
      </c>
      <c r="K221" s="2" t="s">
        <v>19</v>
      </c>
      <c r="L221" s="5" t="b">
        <f>TRUE()</f>
        <v>1</v>
      </c>
      <c r="M221" s="5" t="b">
        <f>FALSE()</f>
        <v>0</v>
      </c>
      <c r="N221" s="5" t="b">
        <f>FALSE()</f>
        <v>0</v>
      </c>
    </row>
    <row r="222" spans="1:14" x14ac:dyDescent="0.25">
      <c r="A222" s="2" t="s">
        <v>542</v>
      </c>
      <c r="B222" s="2" t="s">
        <v>29</v>
      </c>
      <c r="C222" s="2" t="s">
        <v>30</v>
      </c>
      <c r="D222" s="3">
        <v>46086</v>
      </c>
      <c r="E222" s="2" t="s">
        <v>543</v>
      </c>
      <c r="F222" s="4">
        <v>13202.91</v>
      </c>
      <c r="G222" s="2" t="s">
        <v>18</v>
      </c>
      <c r="H222" s="5">
        <v>1</v>
      </c>
      <c r="I222" s="3">
        <v>46086</v>
      </c>
      <c r="J222" s="3">
        <v>46086</v>
      </c>
      <c r="K222" s="2" t="s">
        <v>19</v>
      </c>
      <c r="L222" s="5" t="b">
        <f>TRUE()</f>
        <v>1</v>
      </c>
      <c r="M222" s="5" t="b">
        <f>FALSE()</f>
        <v>0</v>
      </c>
      <c r="N222" s="5" t="b">
        <f>FALSE()</f>
        <v>0</v>
      </c>
    </row>
    <row r="223" spans="1:14" x14ac:dyDescent="0.25">
      <c r="A223" s="2" t="s">
        <v>544</v>
      </c>
      <c r="B223" s="2" t="s">
        <v>25</v>
      </c>
      <c r="C223" s="2" t="s">
        <v>26</v>
      </c>
      <c r="D223" s="3">
        <v>46086</v>
      </c>
      <c r="E223" s="2" t="s">
        <v>545</v>
      </c>
      <c r="F223" s="4">
        <v>13918.4</v>
      </c>
      <c r="G223" s="2" t="s">
        <v>18</v>
      </c>
      <c r="H223" s="5">
        <v>4</v>
      </c>
      <c r="I223" s="3">
        <v>46086</v>
      </c>
      <c r="J223" s="3">
        <v>46086</v>
      </c>
      <c r="K223" s="2" t="s">
        <v>19</v>
      </c>
      <c r="L223" s="5" t="b">
        <f>TRUE()</f>
        <v>1</v>
      </c>
      <c r="M223" s="5" t="b">
        <f>FALSE()</f>
        <v>0</v>
      </c>
      <c r="N223" s="5" t="b">
        <f>FALSE()</f>
        <v>0</v>
      </c>
    </row>
    <row r="224" spans="1:14" x14ac:dyDescent="0.25">
      <c r="A224" s="2" t="s">
        <v>546</v>
      </c>
      <c r="B224" s="2" t="s">
        <v>119</v>
      </c>
      <c r="C224" s="2" t="s">
        <v>439</v>
      </c>
      <c r="D224" s="3">
        <v>46086</v>
      </c>
      <c r="E224" s="2" t="s">
        <v>547</v>
      </c>
      <c r="F224" s="4">
        <v>12105.96</v>
      </c>
      <c r="G224" s="2" t="s">
        <v>18</v>
      </c>
      <c r="H224" s="5">
        <v>2</v>
      </c>
      <c r="I224" s="3">
        <v>46086</v>
      </c>
      <c r="J224" s="3">
        <v>46086</v>
      </c>
      <c r="K224" s="2" t="s">
        <v>19</v>
      </c>
      <c r="L224" s="5" t="b">
        <f>TRUE()</f>
        <v>1</v>
      </c>
      <c r="M224" s="5" t="b">
        <f>FALSE()</f>
        <v>0</v>
      </c>
      <c r="N224" s="5" t="b">
        <f>FALSE()</f>
        <v>0</v>
      </c>
    </row>
    <row r="225" spans="1:14" x14ac:dyDescent="0.25">
      <c r="A225" s="2" t="s">
        <v>548</v>
      </c>
      <c r="B225" s="2" t="s">
        <v>45</v>
      </c>
      <c r="C225" s="2" t="s">
        <v>46</v>
      </c>
      <c r="D225" s="3">
        <v>46085</v>
      </c>
      <c r="E225" s="2" t="s">
        <v>549</v>
      </c>
      <c r="F225" s="4">
        <v>31070.9</v>
      </c>
      <c r="G225" s="2" t="s">
        <v>18</v>
      </c>
      <c r="H225" s="5">
        <v>4</v>
      </c>
      <c r="I225" s="3">
        <v>46085</v>
      </c>
      <c r="J225" s="3">
        <v>46085</v>
      </c>
      <c r="K225" s="2" t="s">
        <v>19</v>
      </c>
      <c r="L225" s="5" t="b">
        <f>TRUE()</f>
        <v>1</v>
      </c>
      <c r="M225" s="5" t="b">
        <f>FALSE()</f>
        <v>0</v>
      </c>
      <c r="N225" s="5" t="b">
        <f>FALSE()</f>
        <v>0</v>
      </c>
    </row>
    <row r="226" spans="1:14" x14ac:dyDescent="0.25">
      <c r="A226" s="2" t="s">
        <v>550</v>
      </c>
      <c r="B226" s="2" t="s">
        <v>33</v>
      </c>
      <c r="C226" s="2" t="s">
        <v>34</v>
      </c>
      <c r="D226" s="3">
        <v>46085</v>
      </c>
      <c r="E226" s="2" t="s">
        <v>551</v>
      </c>
      <c r="F226" s="4">
        <v>22947.64</v>
      </c>
      <c r="G226" s="2" t="s">
        <v>18</v>
      </c>
      <c r="H226" s="5">
        <v>4</v>
      </c>
      <c r="I226" s="3">
        <v>46085</v>
      </c>
      <c r="J226" s="3">
        <v>46085</v>
      </c>
      <c r="K226" s="2" t="s">
        <v>19</v>
      </c>
      <c r="L226" s="5" t="b">
        <f>TRUE()</f>
        <v>1</v>
      </c>
      <c r="M226" s="5" t="b">
        <f>FALSE()</f>
        <v>0</v>
      </c>
      <c r="N226" s="5" t="b">
        <f>FALSE()</f>
        <v>0</v>
      </c>
    </row>
    <row r="227" spans="1:14" x14ac:dyDescent="0.25">
      <c r="A227" s="2" t="s">
        <v>552</v>
      </c>
      <c r="B227" s="2" t="s">
        <v>123</v>
      </c>
      <c r="C227" s="2" t="s">
        <v>124</v>
      </c>
      <c r="D227" s="3">
        <v>46085</v>
      </c>
      <c r="E227" s="2" t="s">
        <v>553</v>
      </c>
      <c r="F227" s="4">
        <v>10694.6</v>
      </c>
      <c r="G227" s="2" t="s">
        <v>18</v>
      </c>
      <c r="H227" s="5">
        <v>1</v>
      </c>
      <c r="I227" s="3">
        <v>46085</v>
      </c>
      <c r="J227" s="3">
        <v>46085</v>
      </c>
      <c r="K227" s="2" t="s">
        <v>19</v>
      </c>
      <c r="L227" s="5" t="b">
        <f>TRUE()</f>
        <v>1</v>
      </c>
      <c r="M227" s="5" t="b">
        <f>FALSE()</f>
        <v>0</v>
      </c>
      <c r="N227" s="5" t="b">
        <f>FALSE()</f>
        <v>0</v>
      </c>
    </row>
    <row r="228" spans="1:14" x14ac:dyDescent="0.25">
      <c r="A228" s="2" t="s">
        <v>554</v>
      </c>
      <c r="B228" s="2" t="s">
        <v>37</v>
      </c>
      <c r="C228" s="2" t="s">
        <v>38</v>
      </c>
      <c r="D228" s="3">
        <v>46085</v>
      </c>
      <c r="E228" s="2" t="s">
        <v>555</v>
      </c>
      <c r="F228" s="4">
        <v>21862.400000000001</v>
      </c>
      <c r="G228" s="2" t="s">
        <v>18</v>
      </c>
      <c r="H228" s="5">
        <v>4</v>
      </c>
      <c r="I228" s="3">
        <v>46085</v>
      </c>
      <c r="J228" s="3">
        <v>46085</v>
      </c>
      <c r="K228" s="2" t="s">
        <v>19</v>
      </c>
      <c r="L228" s="5" t="b">
        <f>TRUE()</f>
        <v>1</v>
      </c>
      <c r="M228" s="5" t="b">
        <f>FALSE()</f>
        <v>0</v>
      </c>
      <c r="N228" s="5" t="b">
        <f>FALSE()</f>
        <v>0</v>
      </c>
    </row>
    <row r="229" spans="1:14" x14ac:dyDescent="0.25">
      <c r="A229" s="2" t="s">
        <v>556</v>
      </c>
      <c r="B229" s="2" t="s">
        <v>103</v>
      </c>
      <c r="C229" s="2" t="s">
        <v>104</v>
      </c>
      <c r="D229" s="3">
        <v>46085</v>
      </c>
      <c r="E229" s="2" t="s">
        <v>557</v>
      </c>
      <c r="F229" s="4">
        <v>13500.64</v>
      </c>
      <c r="G229" s="2" t="s">
        <v>18</v>
      </c>
      <c r="H229" s="5">
        <v>2</v>
      </c>
      <c r="I229" s="3">
        <v>46085</v>
      </c>
      <c r="J229" s="3">
        <v>46085</v>
      </c>
      <c r="K229" s="2" t="s">
        <v>19</v>
      </c>
      <c r="L229" s="5" t="b">
        <f>TRUE()</f>
        <v>1</v>
      </c>
      <c r="M229" s="5" t="b">
        <f>FALSE()</f>
        <v>0</v>
      </c>
      <c r="N229" s="5" t="b">
        <f>FALSE()</f>
        <v>0</v>
      </c>
    </row>
    <row r="230" spans="1:14" x14ac:dyDescent="0.25">
      <c r="A230" s="2" t="s">
        <v>558</v>
      </c>
      <c r="B230" s="2" t="s">
        <v>135</v>
      </c>
      <c r="C230" s="2" t="s">
        <v>340</v>
      </c>
      <c r="D230" s="3">
        <v>46084</v>
      </c>
      <c r="E230" s="2" t="s">
        <v>559</v>
      </c>
      <c r="F230" s="4">
        <v>22780.400000000001</v>
      </c>
      <c r="G230" s="2" t="s">
        <v>18</v>
      </c>
      <c r="H230" s="5">
        <v>3</v>
      </c>
      <c r="I230" s="3">
        <v>46084</v>
      </c>
      <c r="J230" s="3">
        <v>46084</v>
      </c>
      <c r="K230" s="2" t="s">
        <v>19</v>
      </c>
      <c r="L230" s="5" t="b">
        <f>TRUE()</f>
        <v>1</v>
      </c>
      <c r="M230" s="5" t="b">
        <f>FALSE()</f>
        <v>0</v>
      </c>
      <c r="N230" s="5" t="b">
        <f>FALSE()</f>
        <v>0</v>
      </c>
    </row>
    <row r="231" spans="1:14" x14ac:dyDescent="0.25">
      <c r="A231" s="2" t="s">
        <v>560</v>
      </c>
      <c r="B231" s="2" t="s">
        <v>73</v>
      </c>
      <c r="C231" s="2" t="s">
        <v>74</v>
      </c>
      <c r="D231" s="3">
        <v>46084</v>
      </c>
      <c r="E231" s="2" t="s">
        <v>561</v>
      </c>
      <c r="F231" s="4">
        <v>18537.400000000001</v>
      </c>
      <c r="G231" s="2" t="s">
        <v>18</v>
      </c>
      <c r="H231" s="5">
        <v>4</v>
      </c>
      <c r="I231" s="3">
        <v>46084</v>
      </c>
      <c r="J231" s="3">
        <v>46084</v>
      </c>
      <c r="K231" s="2" t="s">
        <v>19</v>
      </c>
      <c r="L231" s="5" t="b">
        <f>TRUE()</f>
        <v>1</v>
      </c>
      <c r="M231" s="5" t="b">
        <f>FALSE()</f>
        <v>0</v>
      </c>
      <c r="N231" s="5" t="b">
        <f>FALSE()</f>
        <v>0</v>
      </c>
    </row>
    <row r="232" spans="1:14" x14ac:dyDescent="0.25">
      <c r="A232" s="2" t="s">
        <v>562</v>
      </c>
      <c r="B232" s="2" t="s">
        <v>139</v>
      </c>
      <c r="C232" s="2" t="s">
        <v>140</v>
      </c>
      <c r="D232" s="3">
        <v>46084</v>
      </c>
      <c r="E232" s="2" t="s">
        <v>563</v>
      </c>
      <c r="F232" s="4">
        <v>13623.82</v>
      </c>
      <c r="G232" s="2" t="s">
        <v>18</v>
      </c>
      <c r="H232" s="5">
        <v>4</v>
      </c>
      <c r="I232" s="3">
        <v>46084</v>
      </c>
      <c r="J232" s="3">
        <v>46084</v>
      </c>
      <c r="K232" s="2" t="s">
        <v>19</v>
      </c>
      <c r="L232" s="5" t="b">
        <f>TRUE()</f>
        <v>1</v>
      </c>
      <c r="M232" s="5" t="b">
        <f>FALSE()</f>
        <v>0</v>
      </c>
      <c r="N232" s="5" t="b">
        <f>FALSE()</f>
        <v>0</v>
      </c>
    </row>
    <row r="233" spans="1:14" x14ac:dyDescent="0.25">
      <c r="A233" s="2" t="s">
        <v>564</v>
      </c>
      <c r="B233" s="2" t="s">
        <v>177</v>
      </c>
      <c r="C233" s="2" t="s">
        <v>409</v>
      </c>
      <c r="D233" s="3">
        <v>46083</v>
      </c>
      <c r="E233" s="2" t="s">
        <v>565</v>
      </c>
      <c r="F233" s="4">
        <v>2001.2</v>
      </c>
      <c r="G233" s="2" t="s">
        <v>18</v>
      </c>
      <c r="H233" s="5">
        <v>2</v>
      </c>
      <c r="I233" s="3">
        <v>46083</v>
      </c>
      <c r="J233" s="3">
        <v>46083</v>
      </c>
      <c r="K233" s="2" t="s">
        <v>19</v>
      </c>
      <c r="L233" s="5" t="b">
        <f>TRUE()</f>
        <v>1</v>
      </c>
      <c r="M233" s="5" t="b">
        <f>TRUE()</f>
        <v>1</v>
      </c>
      <c r="N233" s="5" t="b">
        <f>FALSE()</f>
        <v>0</v>
      </c>
    </row>
    <row r="234" spans="1:14" x14ac:dyDescent="0.25">
      <c r="A234" s="2" t="s">
        <v>566</v>
      </c>
      <c r="B234" s="2" t="s">
        <v>59</v>
      </c>
      <c r="C234" s="2" t="s">
        <v>60</v>
      </c>
      <c r="D234" s="3">
        <v>46083</v>
      </c>
      <c r="E234" s="2" t="s">
        <v>567</v>
      </c>
      <c r="F234" s="4">
        <v>29560.799999999999</v>
      </c>
      <c r="G234" s="2" t="s">
        <v>18</v>
      </c>
      <c r="H234" s="5">
        <v>4</v>
      </c>
      <c r="I234" s="3">
        <v>46083</v>
      </c>
      <c r="J234" s="3">
        <v>46083</v>
      </c>
      <c r="K234" s="2" t="s">
        <v>19</v>
      </c>
      <c r="L234" s="5" t="b">
        <f>TRUE()</f>
        <v>1</v>
      </c>
      <c r="M234" s="5" t="b">
        <f>FALSE()</f>
        <v>0</v>
      </c>
      <c r="N234" s="5" t="b">
        <f>FALSE()</f>
        <v>0</v>
      </c>
    </row>
    <row r="235" spans="1:14" x14ac:dyDescent="0.25">
      <c r="A235" s="2" t="s">
        <v>568</v>
      </c>
      <c r="B235" s="2" t="s">
        <v>95</v>
      </c>
      <c r="C235" s="2" t="s">
        <v>96</v>
      </c>
      <c r="D235" s="3">
        <v>46083</v>
      </c>
      <c r="E235" s="2" t="s">
        <v>569</v>
      </c>
      <c r="F235" s="4">
        <v>28459.84</v>
      </c>
      <c r="G235" s="2" t="s">
        <v>18</v>
      </c>
      <c r="H235" s="5">
        <v>4</v>
      </c>
      <c r="I235" s="3">
        <v>46083</v>
      </c>
      <c r="J235" s="3">
        <v>46083</v>
      </c>
      <c r="K235" s="2" t="s">
        <v>19</v>
      </c>
      <c r="L235" s="5" t="b">
        <f>TRUE()</f>
        <v>1</v>
      </c>
      <c r="M235" s="5" t="b">
        <f>FALSE()</f>
        <v>0</v>
      </c>
      <c r="N235" s="5" t="b">
        <f>FALSE()</f>
        <v>0</v>
      </c>
    </row>
    <row r="236" spans="1:14" x14ac:dyDescent="0.25">
      <c r="A236" s="2" t="s">
        <v>570</v>
      </c>
      <c r="B236" s="2" t="s">
        <v>55</v>
      </c>
      <c r="C236" s="2" t="s">
        <v>56</v>
      </c>
      <c r="D236" s="3">
        <v>46080</v>
      </c>
      <c r="E236" s="2" t="s">
        <v>571</v>
      </c>
      <c r="F236" s="4">
        <v>12833.28</v>
      </c>
      <c r="G236" s="2" t="s">
        <v>18</v>
      </c>
      <c r="H236" s="5">
        <v>2</v>
      </c>
      <c r="I236" s="3">
        <v>46080</v>
      </c>
      <c r="J236" s="3">
        <v>46080</v>
      </c>
      <c r="K236" s="2" t="s">
        <v>19</v>
      </c>
      <c r="L236" s="5" t="b">
        <f>TRUE()</f>
        <v>1</v>
      </c>
      <c r="M236" s="5" t="b">
        <f>FALSE()</f>
        <v>0</v>
      </c>
      <c r="N236" s="5" t="b">
        <f>FALSE()</f>
        <v>0</v>
      </c>
    </row>
    <row r="237" spans="1:14" x14ac:dyDescent="0.25">
      <c r="A237" s="2" t="s">
        <v>572</v>
      </c>
      <c r="B237" s="2" t="s">
        <v>55</v>
      </c>
      <c r="C237" s="2" t="s">
        <v>56</v>
      </c>
      <c r="D237" s="3">
        <v>46080</v>
      </c>
      <c r="E237" s="2" t="s">
        <v>573</v>
      </c>
      <c r="F237" s="4">
        <v>20597.060000000001</v>
      </c>
      <c r="G237" s="2" t="s">
        <v>18</v>
      </c>
      <c r="H237" s="5">
        <v>2</v>
      </c>
      <c r="I237" s="3">
        <v>46080</v>
      </c>
      <c r="J237" s="3">
        <v>46080</v>
      </c>
      <c r="K237" s="2" t="s">
        <v>19</v>
      </c>
      <c r="L237" s="5" t="b">
        <f>TRUE()</f>
        <v>1</v>
      </c>
      <c r="M237" s="5" t="b">
        <f>FALSE()</f>
        <v>0</v>
      </c>
      <c r="N237" s="5" t="b">
        <f>FALSE()</f>
        <v>0</v>
      </c>
    </row>
    <row r="238" spans="1:14" x14ac:dyDescent="0.25">
      <c r="A238" s="2" t="s">
        <v>574</v>
      </c>
      <c r="B238" s="2" t="s">
        <v>21</v>
      </c>
      <c r="C238" s="2" t="s">
        <v>389</v>
      </c>
      <c r="D238" s="3">
        <v>46079</v>
      </c>
      <c r="E238" s="2" t="s">
        <v>575</v>
      </c>
      <c r="F238" s="4">
        <v>25816.959999999999</v>
      </c>
      <c r="G238" s="2" t="s">
        <v>18</v>
      </c>
      <c r="H238" s="5">
        <v>2</v>
      </c>
      <c r="I238" s="3">
        <v>46079</v>
      </c>
      <c r="J238" s="3">
        <v>46079</v>
      </c>
      <c r="K238" s="2" t="s">
        <v>19</v>
      </c>
      <c r="L238" s="5" t="b">
        <f>TRUE()</f>
        <v>1</v>
      </c>
      <c r="M238" s="5" t="b">
        <f>FALSE()</f>
        <v>0</v>
      </c>
      <c r="N238" s="5" t="b">
        <f>FALSE()</f>
        <v>0</v>
      </c>
    </row>
    <row r="239" spans="1:14" x14ac:dyDescent="0.25">
      <c r="A239" s="2" t="s">
        <v>576</v>
      </c>
      <c r="B239" s="2" t="s">
        <v>99</v>
      </c>
      <c r="C239" s="2" t="s">
        <v>100</v>
      </c>
      <c r="D239" s="3">
        <v>46079</v>
      </c>
      <c r="E239" s="2" t="s">
        <v>577</v>
      </c>
      <c r="F239" s="4">
        <v>32518.560000000001</v>
      </c>
      <c r="G239" s="2" t="s">
        <v>18</v>
      </c>
      <c r="H239" s="5">
        <v>1</v>
      </c>
      <c r="I239" s="3">
        <v>46079</v>
      </c>
      <c r="J239" s="3">
        <v>46079</v>
      </c>
      <c r="K239" s="2" t="s">
        <v>19</v>
      </c>
      <c r="L239" s="5" t="b">
        <f>TRUE()</f>
        <v>1</v>
      </c>
      <c r="M239" s="5" t="b">
        <f>FALSE()</f>
        <v>0</v>
      </c>
      <c r="N239" s="5" t="b">
        <f>FALSE()</f>
        <v>0</v>
      </c>
    </row>
    <row r="240" spans="1:14" x14ac:dyDescent="0.25">
      <c r="A240" s="2" t="s">
        <v>578</v>
      </c>
      <c r="B240" s="2" t="s">
        <v>29</v>
      </c>
      <c r="C240" s="2" t="s">
        <v>30</v>
      </c>
      <c r="D240" s="3">
        <v>46079</v>
      </c>
      <c r="E240" s="2" t="s">
        <v>579</v>
      </c>
      <c r="F240" s="4">
        <v>20621.64</v>
      </c>
      <c r="G240" s="2" t="s">
        <v>18</v>
      </c>
      <c r="H240" s="5">
        <v>1</v>
      </c>
      <c r="I240" s="3">
        <v>46079</v>
      </c>
      <c r="J240" s="3">
        <v>46079</v>
      </c>
      <c r="K240" s="2" t="s">
        <v>19</v>
      </c>
      <c r="L240" s="5" t="b">
        <f>TRUE()</f>
        <v>1</v>
      </c>
      <c r="M240" s="5" t="b">
        <f>FALSE()</f>
        <v>0</v>
      </c>
      <c r="N240" s="5" t="b">
        <f>FALSE()</f>
        <v>0</v>
      </c>
    </row>
    <row r="241" spans="1:14" x14ac:dyDescent="0.25">
      <c r="A241" s="2" t="s">
        <v>580</v>
      </c>
      <c r="B241" s="2" t="s">
        <v>81</v>
      </c>
      <c r="C241" s="2" t="s">
        <v>82</v>
      </c>
      <c r="D241" s="3">
        <v>46079</v>
      </c>
      <c r="E241" s="2" t="s">
        <v>581</v>
      </c>
      <c r="F241" s="4">
        <v>11340</v>
      </c>
      <c r="G241" s="2" t="s">
        <v>18</v>
      </c>
      <c r="H241" s="5">
        <v>1</v>
      </c>
      <c r="I241" s="3">
        <v>46078</v>
      </c>
      <c r="J241" s="3">
        <v>46078</v>
      </c>
      <c r="K241" s="2" t="s">
        <v>19</v>
      </c>
      <c r="L241" s="5" t="b">
        <f>TRUE()</f>
        <v>1</v>
      </c>
      <c r="M241" s="5" t="b">
        <f>FALSE()</f>
        <v>0</v>
      </c>
      <c r="N241" s="5" t="b">
        <f>FALSE()</f>
        <v>0</v>
      </c>
    </row>
    <row r="242" spans="1:14" x14ac:dyDescent="0.25">
      <c r="A242" s="2" t="s">
        <v>582</v>
      </c>
      <c r="B242" s="2" t="s">
        <v>195</v>
      </c>
      <c r="C242" s="2" t="s">
        <v>196</v>
      </c>
      <c r="D242" s="3">
        <v>46077</v>
      </c>
      <c r="E242" s="2" t="s">
        <v>583</v>
      </c>
      <c r="F242" s="4">
        <v>22729.78</v>
      </c>
      <c r="G242" s="2" t="s">
        <v>18</v>
      </c>
      <c r="H242" s="5">
        <v>2</v>
      </c>
      <c r="I242" s="3">
        <v>46077</v>
      </c>
      <c r="J242" s="3">
        <v>46077</v>
      </c>
      <c r="K242" s="2" t="s">
        <v>19</v>
      </c>
      <c r="L242" s="5" t="b">
        <f>TRUE()</f>
        <v>1</v>
      </c>
      <c r="M242" s="5" t="b">
        <f>FALSE()</f>
        <v>0</v>
      </c>
      <c r="N242" s="5" t="b">
        <f>FALSE()</f>
        <v>0</v>
      </c>
    </row>
    <row r="243" spans="1:14" x14ac:dyDescent="0.25">
      <c r="A243" s="2" t="s">
        <v>584</v>
      </c>
      <c r="B243" s="2" t="s">
        <v>177</v>
      </c>
      <c r="C243" s="2" t="s">
        <v>409</v>
      </c>
      <c r="D243" s="3">
        <v>46076</v>
      </c>
      <c r="E243" s="2" t="s">
        <v>585</v>
      </c>
      <c r="F243" s="4">
        <v>4540.2</v>
      </c>
      <c r="G243" s="2" t="s">
        <v>18</v>
      </c>
      <c r="H243" s="5">
        <v>4</v>
      </c>
      <c r="I243" s="3">
        <v>46076</v>
      </c>
      <c r="J243" s="3">
        <v>46076</v>
      </c>
      <c r="K243" s="2" t="s">
        <v>19</v>
      </c>
      <c r="L243" s="5" t="b">
        <f>TRUE()</f>
        <v>1</v>
      </c>
      <c r="M243" s="5" t="b">
        <f>FALSE()</f>
        <v>0</v>
      </c>
      <c r="N243" s="5" t="b">
        <f>FALSE()</f>
        <v>0</v>
      </c>
    </row>
    <row r="244" spans="1:14" x14ac:dyDescent="0.25">
      <c r="A244" s="2" t="s">
        <v>586</v>
      </c>
      <c r="B244" s="2" t="s">
        <v>295</v>
      </c>
      <c r="C244" s="2" t="s">
        <v>386</v>
      </c>
      <c r="D244" s="3">
        <v>46076</v>
      </c>
      <c r="E244" s="2" t="s">
        <v>587</v>
      </c>
      <c r="F244" s="4">
        <v>7828.8</v>
      </c>
      <c r="G244" s="2" t="s">
        <v>18</v>
      </c>
      <c r="H244" s="5">
        <v>2</v>
      </c>
      <c r="I244" s="3">
        <v>46076</v>
      </c>
      <c r="J244" s="3">
        <v>46076</v>
      </c>
      <c r="K244" s="2" t="s">
        <v>19</v>
      </c>
      <c r="L244" s="5" t="b">
        <f>TRUE()</f>
        <v>1</v>
      </c>
      <c r="M244" s="5" t="b">
        <f>FALSE()</f>
        <v>0</v>
      </c>
      <c r="N244" s="5" t="b">
        <f>FALSE()</f>
        <v>0</v>
      </c>
    </row>
    <row r="245" spans="1:14" x14ac:dyDescent="0.25">
      <c r="A245" s="2" t="s">
        <v>588</v>
      </c>
      <c r="B245" s="2" t="s">
        <v>21</v>
      </c>
      <c r="C245" s="2" t="s">
        <v>389</v>
      </c>
      <c r="D245" s="3">
        <v>46072</v>
      </c>
      <c r="E245" s="2" t="s">
        <v>589</v>
      </c>
      <c r="F245" s="4">
        <v>16162.92</v>
      </c>
      <c r="G245" s="2" t="s">
        <v>18</v>
      </c>
      <c r="H245" s="5">
        <v>4</v>
      </c>
      <c r="I245" s="3">
        <v>46072</v>
      </c>
      <c r="J245" s="3">
        <v>46072</v>
      </c>
      <c r="K245" s="2" t="s">
        <v>19</v>
      </c>
      <c r="L245" s="5" t="b">
        <f>TRUE()</f>
        <v>1</v>
      </c>
      <c r="M245" s="5" t="b">
        <f>FALSE()</f>
        <v>0</v>
      </c>
      <c r="N245" s="5" t="b">
        <f>FALSE()</f>
        <v>0</v>
      </c>
    </row>
    <row r="246" spans="1:14" x14ac:dyDescent="0.25">
      <c r="A246" s="2" t="s">
        <v>590</v>
      </c>
      <c r="B246" s="2" t="s">
        <v>29</v>
      </c>
      <c r="C246" s="2" t="s">
        <v>30</v>
      </c>
      <c r="D246" s="3">
        <v>46072</v>
      </c>
      <c r="E246" s="2" t="s">
        <v>591</v>
      </c>
      <c r="F246" s="4">
        <v>11287.72</v>
      </c>
      <c r="G246" s="2" t="s">
        <v>18</v>
      </c>
      <c r="H246" s="5">
        <v>1</v>
      </c>
      <c r="I246" s="3">
        <v>46072</v>
      </c>
      <c r="J246" s="3">
        <v>46072</v>
      </c>
      <c r="K246" s="2" t="s">
        <v>19</v>
      </c>
      <c r="L246" s="5" t="b">
        <f>TRUE()</f>
        <v>1</v>
      </c>
      <c r="M246" s="5" t="b">
        <f>FALSE()</f>
        <v>0</v>
      </c>
      <c r="N246" s="5" t="b">
        <f>FALSE()</f>
        <v>0</v>
      </c>
    </row>
    <row r="247" spans="1:14" x14ac:dyDescent="0.25">
      <c r="A247" s="2" t="s">
        <v>592</v>
      </c>
      <c r="B247" s="2" t="s">
        <v>55</v>
      </c>
      <c r="C247" s="2" t="s">
        <v>56</v>
      </c>
      <c r="D247" s="3">
        <v>46072</v>
      </c>
      <c r="E247" s="2" t="s">
        <v>593</v>
      </c>
      <c r="F247" s="4">
        <v>22841.599999999999</v>
      </c>
      <c r="G247" s="2" t="s">
        <v>18</v>
      </c>
      <c r="H247" s="5">
        <v>1</v>
      </c>
      <c r="I247" s="3">
        <v>46072</v>
      </c>
      <c r="J247" s="3">
        <v>46072</v>
      </c>
      <c r="K247" s="2" t="s">
        <v>19</v>
      </c>
      <c r="L247" s="5" t="b">
        <f>TRUE()</f>
        <v>1</v>
      </c>
      <c r="M247" s="5" t="b">
        <f>FALSE()</f>
        <v>0</v>
      </c>
      <c r="N247" s="5" t="b">
        <f>FALSE()</f>
        <v>0</v>
      </c>
    </row>
    <row r="248" spans="1:14" x14ac:dyDescent="0.25">
      <c r="A248" s="2" t="s">
        <v>594</v>
      </c>
      <c r="B248" s="2" t="s">
        <v>595</v>
      </c>
      <c r="C248" s="2" t="s">
        <v>596</v>
      </c>
      <c r="D248" s="3">
        <v>46072</v>
      </c>
      <c r="E248" s="2" t="s">
        <v>597</v>
      </c>
      <c r="F248" s="4">
        <v>24814.400000000001</v>
      </c>
      <c r="G248" s="2" t="s">
        <v>18</v>
      </c>
      <c r="H248" s="5">
        <v>2</v>
      </c>
      <c r="I248" s="3">
        <v>46072</v>
      </c>
      <c r="J248" s="3">
        <v>46072</v>
      </c>
      <c r="K248" s="2" t="s">
        <v>19</v>
      </c>
      <c r="L248" s="5" t="b">
        <f>TRUE()</f>
        <v>1</v>
      </c>
      <c r="M248" s="5" t="b">
        <f>FALSE()</f>
        <v>0</v>
      </c>
      <c r="N248" s="5" t="b">
        <f>FALSE()</f>
        <v>0</v>
      </c>
    </row>
    <row r="249" spans="1:14" x14ac:dyDescent="0.25">
      <c r="A249" s="2" t="s">
        <v>598</v>
      </c>
      <c r="B249" s="2" t="s">
        <v>25</v>
      </c>
      <c r="C249" s="2" t="s">
        <v>26</v>
      </c>
      <c r="D249" s="3">
        <v>46071</v>
      </c>
      <c r="E249" s="2" t="s">
        <v>599</v>
      </c>
      <c r="F249" s="4">
        <v>6747</v>
      </c>
      <c r="G249" s="2" t="s">
        <v>18</v>
      </c>
      <c r="H249" s="5">
        <v>4</v>
      </c>
      <c r="I249" s="3">
        <v>46071</v>
      </c>
      <c r="J249" s="3">
        <v>46071</v>
      </c>
      <c r="K249" s="2" t="s">
        <v>19</v>
      </c>
      <c r="L249" s="5" t="b">
        <f>TRUE()</f>
        <v>1</v>
      </c>
      <c r="M249" s="5" t="b">
        <f>FALSE()</f>
        <v>0</v>
      </c>
      <c r="N249" s="5" t="b">
        <f>FALSE()</f>
        <v>0</v>
      </c>
    </row>
    <row r="250" spans="1:14" x14ac:dyDescent="0.25">
      <c r="A250" s="2" t="s">
        <v>600</v>
      </c>
      <c r="B250" s="2" t="s">
        <v>135</v>
      </c>
      <c r="C250" s="2" t="s">
        <v>340</v>
      </c>
      <c r="D250" s="3">
        <v>46071</v>
      </c>
      <c r="E250" s="2" t="s">
        <v>601</v>
      </c>
      <c r="F250" s="4">
        <v>23930.12</v>
      </c>
      <c r="G250" s="2" t="s">
        <v>18</v>
      </c>
      <c r="H250" s="5">
        <v>3</v>
      </c>
      <c r="I250" s="3">
        <v>46071</v>
      </c>
      <c r="J250" s="3">
        <v>46071</v>
      </c>
      <c r="K250" s="2" t="s">
        <v>19</v>
      </c>
      <c r="L250" s="5" t="b">
        <f>TRUE()</f>
        <v>1</v>
      </c>
      <c r="M250" s="5" t="b">
        <f>FALSE()</f>
        <v>0</v>
      </c>
      <c r="N250" s="5" t="b">
        <f>FALSE()</f>
        <v>0</v>
      </c>
    </row>
    <row r="251" spans="1:14" x14ac:dyDescent="0.25">
      <c r="A251" s="2" t="s">
        <v>602</v>
      </c>
      <c r="B251" s="2" t="s">
        <v>77</v>
      </c>
      <c r="C251" s="2" t="s">
        <v>78</v>
      </c>
      <c r="D251" s="3">
        <v>46070</v>
      </c>
      <c r="E251" s="2" t="s">
        <v>603</v>
      </c>
      <c r="F251" s="4">
        <v>6720</v>
      </c>
      <c r="G251" s="2" t="s">
        <v>18</v>
      </c>
      <c r="H251" s="5">
        <v>2</v>
      </c>
      <c r="I251" s="3">
        <v>46070</v>
      </c>
      <c r="J251" s="3">
        <v>46070</v>
      </c>
      <c r="K251" s="2" t="s">
        <v>19</v>
      </c>
      <c r="L251" s="5" t="b">
        <f>FALSE()</f>
        <v>0</v>
      </c>
      <c r="M251" s="5" t="b">
        <f>FALSE()</f>
        <v>0</v>
      </c>
      <c r="N251" s="5" t="b">
        <f>FALSE()</f>
        <v>0</v>
      </c>
    </row>
    <row r="252" spans="1:14" x14ac:dyDescent="0.25">
      <c r="A252" s="2" t="s">
        <v>604</v>
      </c>
      <c r="B252" s="2" t="s">
        <v>99</v>
      </c>
      <c r="C252" s="2" t="s">
        <v>100</v>
      </c>
      <c r="D252" s="3">
        <v>46070</v>
      </c>
      <c r="E252" s="2" t="s">
        <v>605</v>
      </c>
      <c r="F252" s="4">
        <v>31289.599999999999</v>
      </c>
      <c r="G252" s="2" t="s">
        <v>18</v>
      </c>
      <c r="H252" s="5">
        <v>2</v>
      </c>
      <c r="I252" s="3">
        <v>46070</v>
      </c>
      <c r="J252" s="3">
        <v>46070</v>
      </c>
      <c r="K252" s="2" t="s">
        <v>19</v>
      </c>
      <c r="L252" s="5" t="b">
        <f>TRUE()</f>
        <v>1</v>
      </c>
      <c r="M252" s="5" t="b">
        <f>FALSE()</f>
        <v>0</v>
      </c>
      <c r="N252" s="5" t="b">
        <f>FALSE()</f>
        <v>0</v>
      </c>
    </row>
    <row r="253" spans="1:14" x14ac:dyDescent="0.25">
      <c r="A253" s="2" t="s">
        <v>606</v>
      </c>
      <c r="B253" s="2" t="s">
        <v>21</v>
      </c>
      <c r="C253" s="2" t="s">
        <v>389</v>
      </c>
      <c r="D253" s="3">
        <v>46065</v>
      </c>
      <c r="E253" s="2" t="s">
        <v>607</v>
      </c>
      <c r="F253" s="4">
        <v>24382.080000000002</v>
      </c>
      <c r="G253" s="2" t="s">
        <v>18</v>
      </c>
      <c r="H253" s="5">
        <v>4</v>
      </c>
      <c r="I253" s="3">
        <v>46065</v>
      </c>
      <c r="J253" s="3">
        <v>46065</v>
      </c>
      <c r="K253" s="2" t="s">
        <v>19</v>
      </c>
      <c r="L253" s="5" t="b">
        <f>TRUE()</f>
        <v>1</v>
      </c>
      <c r="M253" s="5" t="b">
        <f>FALSE()</f>
        <v>0</v>
      </c>
      <c r="N253" s="5" t="b">
        <f>FALSE()</f>
        <v>0</v>
      </c>
    </row>
    <row r="254" spans="1:14" x14ac:dyDescent="0.25">
      <c r="A254" s="2" t="s">
        <v>608</v>
      </c>
      <c r="B254" s="2" t="s">
        <v>103</v>
      </c>
      <c r="C254" s="2" t="s">
        <v>104</v>
      </c>
      <c r="D254" s="3">
        <v>46065</v>
      </c>
      <c r="E254" s="2" t="s">
        <v>609</v>
      </c>
      <c r="F254" s="4">
        <v>11429.12</v>
      </c>
      <c r="G254" s="2" t="s">
        <v>18</v>
      </c>
      <c r="H254" s="5">
        <v>4</v>
      </c>
      <c r="I254" s="3">
        <v>46065</v>
      </c>
      <c r="J254" s="3">
        <v>46065</v>
      </c>
      <c r="K254" s="2" t="s">
        <v>19</v>
      </c>
      <c r="L254" s="5" t="b">
        <f>TRUE()</f>
        <v>1</v>
      </c>
      <c r="M254" s="5" t="b">
        <f>FALSE()</f>
        <v>0</v>
      </c>
      <c r="N254" s="5" t="b">
        <f>FALSE()</f>
        <v>0</v>
      </c>
    </row>
    <row r="255" spans="1:14" x14ac:dyDescent="0.25">
      <c r="A255" s="2" t="s">
        <v>610</v>
      </c>
      <c r="B255" s="2" t="s">
        <v>29</v>
      </c>
      <c r="C255" s="2" t="s">
        <v>30</v>
      </c>
      <c r="D255" s="3">
        <v>46065</v>
      </c>
      <c r="E255" s="2" t="s">
        <v>611</v>
      </c>
      <c r="F255" s="4">
        <v>13014.56</v>
      </c>
      <c r="G255" s="2" t="s">
        <v>18</v>
      </c>
      <c r="H255" s="5">
        <v>1</v>
      </c>
      <c r="I255" s="3">
        <v>46065</v>
      </c>
      <c r="J255" s="3">
        <v>46065</v>
      </c>
      <c r="K255" s="2" t="s">
        <v>19</v>
      </c>
      <c r="L255" s="5" t="b">
        <f>TRUE()</f>
        <v>1</v>
      </c>
      <c r="M255" s="5" t="b">
        <f>FALSE()</f>
        <v>0</v>
      </c>
      <c r="N255" s="5" t="b">
        <f>FALSE()</f>
        <v>0</v>
      </c>
    </row>
    <row r="256" spans="1:14" x14ac:dyDescent="0.25">
      <c r="A256" s="2" t="s">
        <v>612</v>
      </c>
      <c r="B256" s="2" t="s">
        <v>55</v>
      </c>
      <c r="C256" s="2" t="s">
        <v>56</v>
      </c>
      <c r="D256" s="3">
        <v>46065</v>
      </c>
      <c r="E256" s="2" t="s">
        <v>613</v>
      </c>
      <c r="F256" s="4">
        <v>23248.639999999999</v>
      </c>
      <c r="G256" s="2" t="s">
        <v>18</v>
      </c>
      <c r="H256" s="5">
        <v>2</v>
      </c>
      <c r="I256" s="3">
        <v>46065</v>
      </c>
      <c r="J256" s="3">
        <v>46065</v>
      </c>
      <c r="K256" s="2" t="s">
        <v>19</v>
      </c>
      <c r="L256" s="5" t="b">
        <f>TRUE()</f>
        <v>1</v>
      </c>
      <c r="M256" s="5" t="b">
        <f>FALSE()</f>
        <v>0</v>
      </c>
      <c r="N256" s="5" t="b">
        <f>FALSE()</f>
        <v>0</v>
      </c>
    </row>
    <row r="257" spans="1:14" x14ac:dyDescent="0.25">
      <c r="A257" s="2" t="s">
        <v>614</v>
      </c>
      <c r="B257" s="2" t="s">
        <v>25</v>
      </c>
      <c r="C257" s="2" t="s">
        <v>26</v>
      </c>
      <c r="D257" s="3">
        <v>46064</v>
      </c>
      <c r="E257" s="2" t="s">
        <v>615</v>
      </c>
      <c r="F257" s="4">
        <v>17307.36</v>
      </c>
      <c r="G257" s="2" t="s">
        <v>18</v>
      </c>
      <c r="H257" s="5">
        <v>4</v>
      </c>
      <c r="I257" s="3">
        <v>46064</v>
      </c>
      <c r="J257" s="3">
        <v>46064</v>
      </c>
      <c r="K257" s="2" t="s">
        <v>19</v>
      </c>
      <c r="L257" s="5" t="b">
        <f>TRUE()</f>
        <v>1</v>
      </c>
      <c r="M257" s="5" t="b">
        <f>FALSE()</f>
        <v>0</v>
      </c>
      <c r="N257" s="5" t="b">
        <f>FALSE()</f>
        <v>0</v>
      </c>
    </row>
    <row r="258" spans="1:14" x14ac:dyDescent="0.25">
      <c r="A258" s="2" t="s">
        <v>616</v>
      </c>
      <c r="B258" s="2" t="s">
        <v>55</v>
      </c>
      <c r="C258" s="2" t="s">
        <v>56</v>
      </c>
      <c r="D258" s="3">
        <v>46064</v>
      </c>
      <c r="E258" s="2" t="s">
        <v>617</v>
      </c>
      <c r="F258" s="4">
        <v>10694.4</v>
      </c>
      <c r="G258" s="2" t="s">
        <v>18</v>
      </c>
      <c r="H258" s="5">
        <v>2</v>
      </c>
      <c r="I258" s="3">
        <v>46064</v>
      </c>
      <c r="J258" s="3">
        <v>46064</v>
      </c>
      <c r="K258" s="2" t="s">
        <v>19</v>
      </c>
      <c r="L258" s="5" t="b">
        <f>TRUE()</f>
        <v>1</v>
      </c>
      <c r="M258" s="5" t="b">
        <f>FALSE()</f>
        <v>0</v>
      </c>
      <c r="N258" s="5" t="b">
        <f>FALSE()</f>
        <v>0</v>
      </c>
    </row>
    <row r="259" spans="1:14" x14ac:dyDescent="0.25">
      <c r="A259" s="2" t="s">
        <v>618</v>
      </c>
      <c r="B259" s="2" t="s">
        <v>69</v>
      </c>
      <c r="C259" s="2" t="s">
        <v>70</v>
      </c>
      <c r="D259" s="3">
        <v>46063</v>
      </c>
      <c r="E259" s="2" t="s">
        <v>619</v>
      </c>
      <c r="F259" s="4">
        <v>1947.7</v>
      </c>
      <c r="G259" s="2" t="s">
        <v>18</v>
      </c>
      <c r="H259" s="5">
        <v>3</v>
      </c>
      <c r="I259" s="3">
        <v>46078</v>
      </c>
      <c r="J259" s="3">
        <v>46078</v>
      </c>
      <c r="K259" s="2" t="s">
        <v>19</v>
      </c>
      <c r="L259" s="5" t="b">
        <f>TRUE()</f>
        <v>1</v>
      </c>
      <c r="M259" s="5" t="b">
        <f>FALSE()</f>
        <v>0</v>
      </c>
      <c r="N259" s="5" t="b">
        <f>FALSE()</f>
        <v>0</v>
      </c>
    </row>
    <row r="260" spans="1:14" x14ac:dyDescent="0.25">
      <c r="A260" s="2" t="s">
        <v>620</v>
      </c>
      <c r="B260" s="2" t="s">
        <v>45</v>
      </c>
      <c r="C260" s="2" t="s">
        <v>46</v>
      </c>
      <c r="D260" s="3">
        <v>46063</v>
      </c>
      <c r="E260" s="2" t="s">
        <v>621</v>
      </c>
      <c r="F260" s="4">
        <v>8555.52</v>
      </c>
      <c r="G260" s="2" t="s">
        <v>18</v>
      </c>
      <c r="H260" s="5">
        <v>2</v>
      </c>
      <c r="I260" s="3">
        <v>46063</v>
      </c>
      <c r="J260" s="3">
        <v>46063</v>
      </c>
      <c r="K260" s="2" t="s">
        <v>19</v>
      </c>
      <c r="L260" s="5" t="b">
        <f>TRUE()</f>
        <v>1</v>
      </c>
      <c r="M260" s="5" t="b">
        <f>FALSE()</f>
        <v>0</v>
      </c>
      <c r="N260" s="5" t="b">
        <f>FALSE()</f>
        <v>0</v>
      </c>
    </row>
    <row r="261" spans="1:14" x14ac:dyDescent="0.25">
      <c r="A261" s="2" t="s">
        <v>622</v>
      </c>
      <c r="B261" s="2" t="s">
        <v>167</v>
      </c>
      <c r="C261" s="2" t="s">
        <v>168</v>
      </c>
      <c r="D261" s="3">
        <v>46063</v>
      </c>
      <c r="E261" s="2" t="s">
        <v>623</v>
      </c>
      <c r="F261" s="4">
        <v>15940.4</v>
      </c>
      <c r="G261" s="2" t="s">
        <v>18</v>
      </c>
      <c r="H261" s="5">
        <v>1</v>
      </c>
      <c r="I261" s="3">
        <v>46063</v>
      </c>
      <c r="J261" s="3">
        <v>46063</v>
      </c>
      <c r="K261" s="2" t="s">
        <v>19</v>
      </c>
      <c r="L261" s="5" t="b">
        <f>TRUE()</f>
        <v>1</v>
      </c>
      <c r="M261" s="5" t="b">
        <f>FALSE()</f>
        <v>0</v>
      </c>
      <c r="N261" s="5" t="b">
        <f>FALSE()</f>
        <v>0</v>
      </c>
    </row>
    <row r="262" spans="1:14" x14ac:dyDescent="0.25">
      <c r="A262" s="2" t="s">
        <v>624</v>
      </c>
      <c r="B262" s="2" t="s">
        <v>139</v>
      </c>
      <c r="C262" s="2" t="s">
        <v>140</v>
      </c>
      <c r="D262" s="3">
        <v>46063</v>
      </c>
      <c r="E262" s="2" t="s">
        <v>625</v>
      </c>
      <c r="F262" s="4">
        <v>14131.88</v>
      </c>
      <c r="G262" s="2" t="s">
        <v>18</v>
      </c>
      <c r="H262" s="5">
        <v>4</v>
      </c>
      <c r="I262" s="3">
        <v>46063</v>
      </c>
      <c r="J262" s="3">
        <v>46063</v>
      </c>
      <c r="K262" s="2" t="s">
        <v>19</v>
      </c>
      <c r="L262" s="5" t="b">
        <f>TRUE()</f>
        <v>1</v>
      </c>
      <c r="M262" s="5" t="b">
        <f>FALSE()</f>
        <v>0</v>
      </c>
      <c r="N262" s="5" t="b">
        <f>FALSE()</f>
        <v>0</v>
      </c>
    </row>
    <row r="263" spans="1:14" x14ac:dyDescent="0.25">
      <c r="A263" s="2" t="s">
        <v>626</v>
      </c>
      <c r="B263" s="2" t="s">
        <v>87</v>
      </c>
      <c r="C263" s="2" t="s">
        <v>88</v>
      </c>
      <c r="D263" s="3">
        <v>46063</v>
      </c>
      <c r="E263" s="2" t="s">
        <v>627</v>
      </c>
      <c r="F263" s="4">
        <v>34838.32</v>
      </c>
      <c r="G263" s="2" t="s">
        <v>18</v>
      </c>
      <c r="H263" s="5">
        <v>4</v>
      </c>
      <c r="I263" s="3">
        <v>46063</v>
      </c>
      <c r="J263" s="3">
        <v>46063</v>
      </c>
      <c r="K263" s="2" t="s">
        <v>19</v>
      </c>
      <c r="L263" s="5" t="b">
        <f>TRUE()</f>
        <v>1</v>
      </c>
      <c r="M263" s="5" t="b">
        <f>FALSE()</f>
        <v>0</v>
      </c>
      <c r="N263" s="5" t="b">
        <f>FALSE()</f>
        <v>0</v>
      </c>
    </row>
    <row r="264" spans="1:14" x14ac:dyDescent="0.25">
      <c r="A264" s="2" t="s">
        <v>628</v>
      </c>
      <c r="B264" s="2" t="s">
        <v>267</v>
      </c>
      <c r="C264" s="2" t="s">
        <v>432</v>
      </c>
      <c r="D264" s="3">
        <v>46062</v>
      </c>
      <c r="E264" s="2" t="s">
        <v>629</v>
      </c>
      <c r="F264" s="4">
        <v>28336</v>
      </c>
      <c r="G264" s="2" t="s">
        <v>18</v>
      </c>
      <c r="H264" s="5">
        <v>2</v>
      </c>
      <c r="I264" s="3">
        <v>46062</v>
      </c>
      <c r="J264" s="3">
        <v>46062</v>
      </c>
      <c r="K264" s="2" t="s">
        <v>19</v>
      </c>
      <c r="L264" s="5" t="b">
        <f>TRUE()</f>
        <v>1</v>
      </c>
      <c r="M264" s="5" t="b">
        <f>FALSE()</f>
        <v>0</v>
      </c>
      <c r="N264" s="5" t="b">
        <f>FALSE()</f>
        <v>0</v>
      </c>
    </row>
    <row r="265" spans="1:14" x14ac:dyDescent="0.25">
      <c r="A265" s="2" t="s">
        <v>630</v>
      </c>
      <c r="B265" s="2" t="s">
        <v>171</v>
      </c>
      <c r="C265" s="2" t="s">
        <v>172</v>
      </c>
      <c r="D265" s="3">
        <v>46062</v>
      </c>
      <c r="E265" s="2" t="s">
        <v>631</v>
      </c>
      <c r="F265" s="4">
        <v>24727.5</v>
      </c>
      <c r="G265" s="2" t="s">
        <v>18</v>
      </c>
      <c r="H265" s="5">
        <v>2</v>
      </c>
      <c r="I265" s="3">
        <v>46062</v>
      </c>
      <c r="J265" s="3">
        <v>46062</v>
      </c>
      <c r="K265" s="2" t="s">
        <v>19</v>
      </c>
      <c r="L265" s="5" t="b">
        <f>TRUE()</f>
        <v>1</v>
      </c>
      <c r="M265" s="5" t="b">
        <f>FALSE()</f>
        <v>0</v>
      </c>
      <c r="N265" s="5" t="b">
        <f>FALSE()</f>
        <v>0</v>
      </c>
    </row>
    <row r="266" spans="1:14" x14ac:dyDescent="0.25">
      <c r="A266" s="2" t="s">
        <v>632</v>
      </c>
      <c r="B266" s="2" t="s">
        <v>29</v>
      </c>
      <c r="C266" s="2" t="s">
        <v>30</v>
      </c>
      <c r="D266" s="3">
        <v>46058</v>
      </c>
      <c r="E266" s="2" t="s">
        <v>633</v>
      </c>
      <c r="F266" s="4">
        <v>12008.08</v>
      </c>
      <c r="G266" s="2" t="s">
        <v>18</v>
      </c>
      <c r="H266" s="5">
        <v>1</v>
      </c>
      <c r="I266" s="3">
        <v>46058</v>
      </c>
      <c r="J266" s="3">
        <v>46058</v>
      </c>
      <c r="K266" s="2" t="s">
        <v>19</v>
      </c>
      <c r="L266" s="5" t="b">
        <f>TRUE()</f>
        <v>1</v>
      </c>
      <c r="M266" s="5" t="b">
        <f>FALSE()</f>
        <v>0</v>
      </c>
      <c r="N266" s="5" t="b">
        <f>FALSE()</f>
        <v>0</v>
      </c>
    </row>
    <row r="267" spans="1:14" x14ac:dyDescent="0.25">
      <c r="A267" s="2" t="s">
        <v>634</v>
      </c>
      <c r="B267" s="2" t="s">
        <v>33</v>
      </c>
      <c r="C267" s="2" t="s">
        <v>34</v>
      </c>
      <c r="D267" s="3">
        <v>46058</v>
      </c>
      <c r="E267" s="2" t="s">
        <v>635</v>
      </c>
      <c r="F267" s="4">
        <v>28988.68</v>
      </c>
      <c r="G267" s="2" t="s">
        <v>18</v>
      </c>
      <c r="H267" s="5">
        <v>4</v>
      </c>
      <c r="I267" s="3">
        <v>46058</v>
      </c>
      <c r="J267" s="3">
        <v>46058</v>
      </c>
      <c r="K267" s="2" t="s">
        <v>19</v>
      </c>
      <c r="L267" s="5" t="b">
        <f>TRUE()</f>
        <v>1</v>
      </c>
      <c r="M267" s="5" t="b">
        <f>FALSE()</f>
        <v>0</v>
      </c>
      <c r="N267" s="5" t="b">
        <f>FALSE()</f>
        <v>0</v>
      </c>
    </row>
    <row r="268" spans="1:14" x14ac:dyDescent="0.25">
      <c r="A268" s="2" t="s">
        <v>636</v>
      </c>
      <c r="B268" s="2" t="s">
        <v>145</v>
      </c>
      <c r="C268" s="2" t="s">
        <v>146</v>
      </c>
      <c r="D268" s="3">
        <v>46058</v>
      </c>
      <c r="E268" s="2" t="s">
        <v>637</v>
      </c>
      <c r="F268" s="4">
        <v>19293.599999999999</v>
      </c>
      <c r="G268" s="2" t="s">
        <v>18</v>
      </c>
      <c r="H268" s="5">
        <v>2</v>
      </c>
      <c r="I268" s="3">
        <v>46058</v>
      </c>
      <c r="J268" s="3">
        <v>46058</v>
      </c>
      <c r="K268" s="2" t="s">
        <v>19</v>
      </c>
      <c r="L268" s="5" t="b">
        <f>TRUE()</f>
        <v>1</v>
      </c>
      <c r="M268" s="5" t="b">
        <f>FALSE()</f>
        <v>0</v>
      </c>
      <c r="N268" s="5" t="b">
        <f>FALSE()</f>
        <v>0</v>
      </c>
    </row>
    <row r="269" spans="1:14" x14ac:dyDescent="0.25">
      <c r="A269" s="2" t="s">
        <v>638</v>
      </c>
      <c r="B269" s="2" t="s">
        <v>513</v>
      </c>
      <c r="C269" s="2" t="s">
        <v>514</v>
      </c>
      <c r="D269" s="3">
        <v>46058</v>
      </c>
      <c r="E269" s="2" t="s">
        <v>639</v>
      </c>
      <c r="F269" s="4">
        <v>5706.8</v>
      </c>
      <c r="G269" s="2" t="s">
        <v>18</v>
      </c>
      <c r="H269" s="5">
        <v>4</v>
      </c>
      <c r="I269" s="3">
        <v>46058</v>
      </c>
      <c r="J269" s="3">
        <v>46058</v>
      </c>
      <c r="K269" s="2" t="s">
        <v>19</v>
      </c>
      <c r="L269" s="5" t="b">
        <f>TRUE()</f>
        <v>1</v>
      </c>
      <c r="M269" s="5" t="b">
        <f>FALSE()</f>
        <v>0</v>
      </c>
      <c r="N269" s="5" t="b">
        <f>FALSE()</f>
        <v>0</v>
      </c>
    </row>
    <row r="270" spans="1:14" x14ac:dyDescent="0.25">
      <c r="A270" s="2" t="s">
        <v>640</v>
      </c>
      <c r="B270" s="2" t="s">
        <v>199</v>
      </c>
      <c r="C270" s="2" t="s">
        <v>200</v>
      </c>
      <c r="D270" s="3">
        <v>46057</v>
      </c>
      <c r="E270" s="2" t="s">
        <v>641</v>
      </c>
      <c r="F270" s="4">
        <v>9257</v>
      </c>
      <c r="G270" s="2" t="s">
        <v>18</v>
      </c>
      <c r="H270" s="5">
        <v>0</v>
      </c>
      <c r="I270" s="3">
        <v>46057</v>
      </c>
      <c r="J270" s="3">
        <v>46057</v>
      </c>
      <c r="K270" s="2" t="s">
        <v>19</v>
      </c>
      <c r="L270" s="5" t="b">
        <f>TRUE()</f>
        <v>1</v>
      </c>
      <c r="M270" s="5" t="b">
        <f>FALSE()</f>
        <v>0</v>
      </c>
      <c r="N270" s="5" t="b">
        <f>FALSE()</f>
        <v>0</v>
      </c>
    </row>
    <row r="271" spans="1:14" x14ac:dyDescent="0.25">
      <c r="A271" s="2" t="s">
        <v>642</v>
      </c>
      <c r="B271" s="2" t="s">
        <v>99</v>
      </c>
      <c r="C271" s="2" t="s">
        <v>100</v>
      </c>
      <c r="D271" s="3">
        <v>46057</v>
      </c>
      <c r="E271" s="2" t="s">
        <v>643</v>
      </c>
      <c r="F271" s="4">
        <v>32508.48</v>
      </c>
      <c r="G271" s="2" t="s">
        <v>18</v>
      </c>
      <c r="H271" s="5">
        <v>1</v>
      </c>
      <c r="I271" s="3">
        <v>46057</v>
      </c>
      <c r="J271" s="3">
        <v>46057</v>
      </c>
      <c r="K271" s="2" t="s">
        <v>19</v>
      </c>
      <c r="L271" s="5" t="b">
        <f>TRUE()</f>
        <v>1</v>
      </c>
      <c r="M271" s="5" t="b">
        <f>FALSE()</f>
        <v>0</v>
      </c>
      <c r="N271" s="5" t="b">
        <f>FALSE()</f>
        <v>0</v>
      </c>
    </row>
    <row r="272" spans="1:14" x14ac:dyDescent="0.25">
      <c r="A272" s="2" t="s">
        <v>644</v>
      </c>
      <c r="B272" s="2" t="s">
        <v>103</v>
      </c>
      <c r="C272" s="2" t="s">
        <v>104</v>
      </c>
      <c r="D272" s="3">
        <v>46057</v>
      </c>
      <c r="E272" s="2" t="s">
        <v>645</v>
      </c>
      <c r="F272" s="4">
        <v>4152.8</v>
      </c>
      <c r="G272" s="2" t="s">
        <v>18</v>
      </c>
      <c r="H272" s="5">
        <v>4</v>
      </c>
      <c r="I272" s="3">
        <v>46057</v>
      </c>
      <c r="J272" s="3">
        <v>46057</v>
      </c>
      <c r="K272" s="2" t="s">
        <v>19</v>
      </c>
      <c r="L272" s="5" t="b">
        <f>TRUE()</f>
        <v>1</v>
      </c>
      <c r="M272" s="5" t="b">
        <f>FALSE()</f>
        <v>0</v>
      </c>
      <c r="N272" s="5" t="b">
        <f>FALSE()</f>
        <v>0</v>
      </c>
    </row>
    <row r="273" spans="1:14" x14ac:dyDescent="0.25">
      <c r="A273" s="2" t="s">
        <v>646</v>
      </c>
      <c r="B273" s="2" t="s">
        <v>69</v>
      </c>
      <c r="C273" s="2" t="s">
        <v>70</v>
      </c>
      <c r="D273" s="3">
        <v>46057</v>
      </c>
      <c r="E273" s="2" t="s">
        <v>647</v>
      </c>
      <c r="F273" s="4">
        <v>2999</v>
      </c>
      <c r="G273" s="2" t="s">
        <v>18</v>
      </c>
      <c r="H273" s="5">
        <v>2</v>
      </c>
      <c r="I273" s="3">
        <v>46057</v>
      </c>
      <c r="J273" s="3">
        <v>46057</v>
      </c>
      <c r="K273" s="2" t="s">
        <v>19</v>
      </c>
      <c r="L273" s="5" t="b">
        <f>TRUE()</f>
        <v>1</v>
      </c>
      <c r="M273" s="5" t="b">
        <f>FALSE()</f>
        <v>0</v>
      </c>
      <c r="N273" s="5" t="b">
        <f>FALSE()</f>
        <v>0</v>
      </c>
    </row>
    <row r="274" spans="1:14" x14ac:dyDescent="0.25">
      <c r="A274" s="2" t="s">
        <v>648</v>
      </c>
      <c r="B274" s="2" t="s">
        <v>195</v>
      </c>
      <c r="C274" s="2" t="s">
        <v>196</v>
      </c>
      <c r="D274" s="3">
        <v>46056</v>
      </c>
      <c r="E274" s="2" t="s">
        <v>649</v>
      </c>
      <c r="F274" s="4">
        <v>23005.26</v>
      </c>
      <c r="G274" s="2" t="s">
        <v>18</v>
      </c>
      <c r="H274" s="5">
        <v>2</v>
      </c>
      <c r="I274" s="3">
        <v>46056</v>
      </c>
      <c r="J274" s="3">
        <v>46056</v>
      </c>
      <c r="K274" s="2" t="s">
        <v>19</v>
      </c>
      <c r="L274" s="5" t="b">
        <f>TRUE()</f>
        <v>1</v>
      </c>
      <c r="M274" s="5" t="b">
        <f>FALSE()</f>
        <v>0</v>
      </c>
      <c r="N274" s="5" t="b">
        <f>FALSE()</f>
        <v>0</v>
      </c>
    </row>
    <row r="275" spans="1:14" x14ac:dyDescent="0.25">
      <c r="A275" s="2" t="s">
        <v>650</v>
      </c>
      <c r="B275" s="2" t="s">
        <v>25</v>
      </c>
      <c r="C275" s="2" t="s">
        <v>26</v>
      </c>
      <c r="D275" s="3">
        <v>46056</v>
      </c>
      <c r="E275" s="2" t="s">
        <v>651</v>
      </c>
      <c r="F275" s="4">
        <v>7207.2</v>
      </c>
      <c r="G275" s="2" t="s">
        <v>18</v>
      </c>
      <c r="H275" s="5">
        <v>4</v>
      </c>
      <c r="I275" s="3">
        <v>46056</v>
      </c>
      <c r="J275" s="3">
        <v>46056</v>
      </c>
      <c r="K275" s="2" t="s">
        <v>19</v>
      </c>
      <c r="L275" s="5" t="b">
        <f>TRUE()</f>
        <v>1</v>
      </c>
      <c r="M275" s="5" t="b">
        <f>FALSE()</f>
        <v>0</v>
      </c>
      <c r="N275" s="5" t="b">
        <f>FALSE()</f>
        <v>0</v>
      </c>
    </row>
    <row r="276" spans="1:14" x14ac:dyDescent="0.25">
      <c r="A276" s="2" t="s">
        <v>652</v>
      </c>
      <c r="B276" s="2" t="s">
        <v>49</v>
      </c>
      <c r="C276" s="2" t="s">
        <v>349</v>
      </c>
      <c r="D276" s="3">
        <v>46056</v>
      </c>
      <c r="E276" s="2" t="s">
        <v>653</v>
      </c>
      <c r="F276" s="4">
        <v>4536</v>
      </c>
      <c r="G276" s="2" t="s">
        <v>18</v>
      </c>
      <c r="H276" s="5">
        <v>1</v>
      </c>
      <c r="I276" s="3">
        <v>46056</v>
      </c>
      <c r="J276" s="3">
        <v>46056</v>
      </c>
      <c r="K276" s="2" t="s">
        <v>19</v>
      </c>
      <c r="L276" s="5" t="b">
        <f>TRUE()</f>
        <v>1</v>
      </c>
      <c r="M276" s="5" t="b">
        <f>FALSE()</f>
        <v>0</v>
      </c>
      <c r="N276" s="5" t="b">
        <f>FALSE()</f>
        <v>0</v>
      </c>
    </row>
    <row r="277" spans="1:14" x14ac:dyDescent="0.25">
      <c r="A277" s="2" t="s">
        <v>654</v>
      </c>
      <c r="B277" s="2" t="s">
        <v>69</v>
      </c>
      <c r="C277" s="2" t="s">
        <v>70</v>
      </c>
      <c r="D277" s="3">
        <v>46055</v>
      </c>
      <c r="E277" s="2" t="s">
        <v>655</v>
      </c>
      <c r="F277" s="4">
        <v>532</v>
      </c>
      <c r="G277" s="2" t="s">
        <v>18</v>
      </c>
      <c r="H277" s="5">
        <v>1</v>
      </c>
      <c r="I277" s="3">
        <v>46055</v>
      </c>
      <c r="J277" s="3">
        <v>46055</v>
      </c>
      <c r="K277" s="2" t="s">
        <v>19</v>
      </c>
      <c r="L277" s="5" t="b">
        <f>TRUE()</f>
        <v>1</v>
      </c>
      <c r="M277" s="5" t="b">
        <f>FALSE()</f>
        <v>0</v>
      </c>
      <c r="N277" s="5" t="b">
        <f>FALSE()</f>
        <v>0</v>
      </c>
    </row>
    <row r="278" spans="1:14" x14ac:dyDescent="0.25">
      <c r="A278" s="2" t="s">
        <v>656</v>
      </c>
      <c r="B278" s="2" t="s">
        <v>199</v>
      </c>
      <c r="C278" s="2" t="s">
        <v>200</v>
      </c>
      <c r="D278" s="3">
        <v>46055</v>
      </c>
      <c r="E278" s="2" t="s">
        <v>657</v>
      </c>
      <c r="F278" s="4">
        <v>9387</v>
      </c>
      <c r="G278" s="2" t="s">
        <v>18</v>
      </c>
      <c r="H278" s="5">
        <v>1</v>
      </c>
      <c r="I278" s="3">
        <v>46055</v>
      </c>
      <c r="J278" s="3">
        <v>46055</v>
      </c>
      <c r="K278" s="2" t="s">
        <v>19</v>
      </c>
      <c r="L278" s="5" t="b">
        <f>TRUE()</f>
        <v>1</v>
      </c>
      <c r="M278" s="5" t="b">
        <f>TRUE()</f>
        <v>1</v>
      </c>
      <c r="N278" s="5" t="b">
        <f>FALSE()</f>
        <v>0</v>
      </c>
    </row>
    <row r="279" spans="1:14" x14ac:dyDescent="0.25">
      <c r="A279" s="2" t="s">
        <v>658</v>
      </c>
      <c r="B279" s="2" t="s">
        <v>595</v>
      </c>
      <c r="C279" s="2" t="s">
        <v>596</v>
      </c>
      <c r="D279" s="3">
        <v>46055</v>
      </c>
      <c r="E279" s="2" t="s">
        <v>659</v>
      </c>
      <c r="F279" s="4">
        <v>28074</v>
      </c>
      <c r="G279" s="2" t="s">
        <v>18</v>
      </c>
      <c r="H279" s="5">
        <v>2</v>
      </c>
      <c r="I279" s="3">
        <v>46055</v>
      </c>
      <c r="J279" s="3">
        <v>46055</v>
      </c>
      <c r="K279" s="2" t="s">
        <v>19</v>
      </c>
      <c r="L279" s="5" t="b">
        <f>TRUE()</f>
        <v>1</v>
      </c>
      <c r="M279" s="5" t="b">
        <f>FALSE()</f>
        <v>0</v>
      </c>
      <c r="N279" s="5" t="b">
        <f>FALSE()</f>
        <v>0</v>
      </c>
    </row>
    <row r="280" spans="1:14" x14ac:dyDescent="0.25">
      <c r="A280" s="2" t="s">
        <v>660</v>
      </c>
      <c r="B280" s="2" t="s">
        <v>227</v>
      </c>
      <c r="C280" s="2" t="s">
        <v>406</v>
      </c>
      <c r="D280" s="3">
        <v>46055</v>
      </c>
      <c r="E280" s="2" t="s">
        <v>661</v>
      </c>
      <c r="F280" s="4">
        <v>9792</v>
      </c>
      <c r="G280" s="2" t="s">
        <v>18</v>
      </c>
      <c r="H280" s="5">
        <v>2</v>
      </c>
      <c r="I280" s="3">
        <v>46055</v>
      </c>
      <c r="J280" s="3">
        <v>46055</v>
      </c>
      <c r="K280" s="2" t="s">
        <v>19</v>
      </c>
      <c r="L280" s="5" t="b">
        <f>TRUE()</f>
        <v>1</v>
      </c>
      <c r="M280" s="5" t="b">
        <f>FALSE()</f>
        <v>0</v>
      </c>
      <c r="N280" s="5" t="b">
        <f>FALSE()</f>
        <v>0</v>
      </c>
    </row>
    <row r="281" spans="1:14" x14ac:dyDescent="0.25">
      <c r="A281" s="2" t="s">
        <v>662</v>
      </c>
      <c r="B281" s="2" t="s">
        <v>21</v>
      </c>
      <c r="C281" s="2" t="s">
        <v>389</v>
      </c>
      <c r="D281" s="3">
        <v>46055</v>
      </c>
      <c r="E281" s="2" t="s">
        <v>663</v>
      </c>
      <c r="F281" s="4">
        <v>8967.56</v>
      </c>
      <c r="G281" s="2" t="s">
        <v>18</v>
      </c>
      <c r="H281" s="5">
        <v>4</v>
      </c>
      <c r="I281" s="3">
        <v>46055</v>
      </c>
      <c r="J281" s="3">
        <v>46055</v>
      </c>
      <c r="K281" s="2" t="s">
        <v>19</v>
      </c>
      <c r="L281" s="5" t="b">
        <f>TRUE()</f>
        <v>1</v>
      </c>
      <c r="M281" s="5" t="b">
        <f>FALSE()</f>
        <v>0</v>
      </c>
      <c r="N281" s="5" t="b">
        <f>FALSE()</f>
        <v>0</v>
      </c>
    </row>
    <row r="282" spans="1:14" x14ac:dyDescent="0.25">
      <c r="A282" s="2" t="s">
        <v>664</v>
      </c>
      <c r="B282" s="2" t="s">
        <v>55</v>
      </c>
      <c r="C282" s="2" t="s">
        <v>56</v>
      </c>
      <c r="D282" s="3">
        <v>46055</v>
      </c>
      <c r="E282" s="2" t="s">
        <v>665</v>
      </c>
      <c r="F282" s="4">
        <v>11202.24</v>
      </c>
      <c r="G282" s="2" t="s">
        <v>18</v>
      </c>
      <c r="H282" s="5">
        <v>2</v>
      </c>
      <c r="I282" s="3">
        <v>46055</v>
      </c>
      <c r="J282" s="3">
        <v>46055</v>
      </c>
      <c r="K282" s="2" t="s">
        <v>19</v>
      </c>
      <c r="L282" s="5" t="b">
        <f>TRUE()</f>
        <v>1</v>
      </c>
      <c r="M282" s="5" t="b">
        <f>FALSE()</f>
        <v>0</v>
      </c>
      <c r="N282" s="5" t="b">
        <f>FALSE()</f>
        <v>0</v>
      </c>
    </row>
    <row r="283" spans="1:14" x14ac:dyDescent="0.25">
      <c r="A283" s="2" t="s">
        <v>666</v>
      </c>
      <c r="B283" s="2" t="s">
        <v>181</v>
      </c>
      <c r="C283" s="2" t="s">
        <v>182</v>
      </c>
      <c r="D283" s="3">
        <v>46055</v>
      </c>
      <c r="E283" s="2" t="s">
        <v>667</v>
      </c>
      <c r="F283" s="4">
        <v>23016</v>
      </c>
      <c r="G283" s="2" t="s">
        <v>18</v>
      </c>
      <c r="H283" s="5">
        <v>4</v>
      </c>
      <c r="I283" s="3">
        <v>46055</v>
      </c>
      <c r="J283" s="3">
        <v>46055</v>
      </c>
      <c r="K283" s="2" t="s">
        <v>19</v>
      </c>
      <c r="L283" s="5" t="b">
        <f>TRUE()</f>
        <v>1</v>
      </c>
      <c r="M283" s="5" t="b">
        <f>FALSE()</f>
        <v>0</v>
      </c>
      <c r="N283" s="5" t="b">
        <f>FALSE()</f>
        <v>0</v>
      </c>
    </row>
    <row r="284" spans="1:14" x14ac:dyDescent="0.25">
      <c r="A284" s="2" t="s">
        <v>668</v>
      </c>
      <c r="B284" s="2" t="s">
        <v>99</v>
      </c>
      <c r="C284" s="2" t="s">
        <v>100</v>
      </c>
      <c r="D284" s="3">
        <v>46052</v>
      </c>
      <c r="E284" s="2" t="s">
        <v>669</v>
      </c>
      <c r="F284" s="4">
        <v>31781.119999999999</v>
      </c>
      <c r="G284" s="2" t="s">
        <v>18</v>
      </c>
      <c r="H284" s="5">
        <v>1</v>
      </c>
      <c r="I284" s="3">
        <v>46052</v>
      </c>
      <c r="J284" s="3">
        <v>46052</v>
      </c>
      <c r="K284" s="2" t="s">
        <v>19</v>
      </c>
      <c r="L284" s="5" t="b">
        <f>TRUE()</f>
        <v>1</v>
      </c>
      <c r="M284" s="5" t="b">
        <f>FALSE()</f>
        <v>0</v>
      </c>
      <c r="N284" s="5" t="b">
        <f>FALSE()</f>
        <v>0</v>
      </c>
    </row>
    <row r="285" spans="1:14" x14ac:dyDescent="0.25">
      <c r="A285" s="2" t="s">
        <v>670</v>
      </c>
      <c r="B285" s="2" t="s">
        <v>29</v>
      </c>
      <c r="C285" s="2" t="s">
        <v>30</v>
      </c>
      <c r="D285" s="3">
        <v>46052</v>
      </c>
      <c r="E285" s="2" t="s">
        <v>671</v>
      </c>
      <c r="F285" s="4">
        <v>12374.32</v>
      </c>
      <c r="G285" s="2" t="s">
        <v>18</v>
      </c>
      <c r="H285" s="5">
        <v>1</v>
      </c>
      <c r="I285" s="3">
        <v>46052</v>
      </c>
      <c r="J285" s="3">
        <v>46052</v>
      </c>
      <c r="K285" s="2" t="s">
        <v>19</v>
      </c>
      <c r="L285" s="5" t="b">
        <f>TRUE()</f>
        <v>1</v>
      </c>
      <c r="M285" s="5" t="b">
        <f>FALSE()</f>
        <v>0</v>
      </c>
      <c r="N285" s="5" t="b">
        <f>FALSE()</f>
        <v>0</v>
      </c>
    </row>
    <row r="286" spans="1:14" x14ac:dyDescent="0.25">
      <c r="A286" s="2" t="s">
        <v>672</v>
      </c>
      <c r="B286" s="2" t="s">
        <v>55</v>
      </c>
      <c r="C286" s="2" t="s">
        <v>56</v>
      </c>
      <c r="D286" s="3">
        <v>46052</v>
      </c>
      <c r="E286" s="2" t="s">
        <v>673</v>
      </c>
      <c r="F286" s="4">
        <v>10694.4</v>
      </c>
      <c r="G286" s="2" t="s">
        <v>18</v>
      </c>
      <c r="H286" s="5">
        <v>1</v>
      </c>
      <c r="I286" s="3">
        <v>46052</v>
      </c>
      <c r="J286" s="3">
        <v>46052</v>
      </c>
      <c r="K286" s="2" t="s">
        <v>19</v>
      </c>
      <c r="L286" s="5" t="b">
        <f>TRUE()</f>
        <v>1</v>
      </c>
      <c r="M286" s="5" t="b">
        <f>FALSE()</f>
        <v>0</v>
      </c>
      <c r="N286" s="5" t="b">
        <f>FALSE()</f>
        <v>0</v>
      </c>
    </row>
    <row r="287" spans="1:14" x14ac:dyDescent="0.25">
      <c r="A287" s="2" t="s">
        <v>674</v>
      </c>
      <c r="B287" s="2" t="s">
        <v>119</v>
      </c>
      <c r="C287" s="2" t="s">
        <v>439</v>
      </c>
      <c r="D287" s="3">
        <v>46051</v>
      </c>
      <c r="E287" s="2" t="s">
        <v>675</v>
      </c>
      <c r="F287" s="4">
        <v>12338.08</v>
      </c>
      <c r="G287" s="2" t="s">
        <v>18</v>
      </c>
      <c r="H287" s="5">
        <v>2</v>
      </c>
      <c r="I287" s="3">
        <v>46051</v>
      </c>
      <c r="J287" s="3">
        <v>46051</v>
      </c>
      <c r="K287" s="2" t="s">
        <v>19</v>
      </c>
      <c r="L287" s="5" t="b">
        <f>TRUE()</f>
        <v>1</v>
      </c>
      <c r="M287" s="5" t="b">
        <f>FALSE()</f>
        <v>0</v>
      </c>
      <c r="N287" s="5" t="b">
        <f>FALSE()</f>
        <v>0</v>
      </c>
    </row>
    <row r="288" spans="1:14" x14ac:dyDescent="0.25">
      <c r="A288" s="2" t="s">
        <v>676</v>
      </c>
      <c r="B288" s="2" t="s">
        <v>73</v>
      </c>
      <c r="C288" s="2" t="s">
        <v>74</v>
      </c>
      <c r="D288" s="3">
        <v>46051</v>
      </c>
      <c r="E288" s="2" t="s">
        <v>677</v>
      </c>
      <c r="F288" s="4">
        <v>18425.400000000001</v>
      </c>
      <c r="G288" s="2" t="s">
        <v>18</v>
      </c>
      <c r="H288" s="5">
        <v>4</v>
      </c>
      <c r="I288" s="3">
        <v>46051</v>
      </c>
      <c r="J288" s="3">
        <v>46051</v>
      </c>
      <c r="K288" s="2" t="s">
        <v>19</v>
      </c>
      <c r="L288" s="5" t="b">
        <f>TRUE()</f>
        <v>1</v>
      </c>
      <c r="M288" s="5" t="b">
        <f>FALSE()</f>
        <v>0</v>
      </c>
      <c r="N288" s="5" t="b">
        <f>FALSE()</f>
        <v>0</v>
      </c>
    </row>
    <row r="289" spans="1:14" x14ac:dyDescent="0.25">
      <c r="A289" s="2" t="s">
        <v>678</v>
      </c>
      <c r="B289" s="2" t="s">
        <v>295</v>
      </c>
      <c r="C289" s="2" t="s">
        <v>386</v>
      </c>
      <c r="D289" s="3">
        <v>46051</v>
      </c>
      <c r="E289" s="2" t="s">
        <v>679</v>
      </c>
      <c r="F289" s="4">
        <v>7828.8</v>
      </c>
      <c r="G289" s="2" t="s">
        <v>18</v>
      </c>
      <c r="H289" s="5">
        <v>1</v>
      </c>
      <c r="I289" s="3">
        <v>46051</v>
      </c>
      <c r="J289" s="3">
        <v>46051</v>
      </c>
      <c r="K289" s="2" t="s">
        <v>19</v>
      </c>
      <c r="L289" s="5" t="b">
        <f>TRUE()</f>
        <v>1</v>
      </c>
      <c r="M289" s="5" t="b">
        <f>FALSE()</f>
        <v>0</v>
      </c>
      <c r="N289" s="5" t="b">
        <f>FALSE()</f>
        <v>0</v>
      </c>
    </row>
    <row r="290" spans="1:14" x14ac:dyDescent="0.25">
      <c r="A290" s="2" t="s">
        <v>680</v>
      </c>
      <c r="B290" s="2" t="s">
        <v>29</v>
      </c>
      <c r="C290" s="2" t="s">
        <v>30</v>
      </c>
      <c r="D290" s="3">
        <v>46051</v>
      </c>
      <c r="E290" s="2" t="s">
        <v>681</v>
      </c>
      <c r="F290" s="4">
        <v>11809</v>
      </c>
      <c r="G290" s="2" t="s">
        <v>18</v>
      </c>
      <c r="H290" s="5">
        <v>1</v>
      </c>
      <c r="I290" s="3">
        <v>46051</v>
      </c>
      <c r="J290" s="3">
        <v>46051</v>
      </c>
      <c r="K290" s="2" t="s">
        <v>19</v>
      </c>
      <c r="L290" s="5" t="b">
        <f>TRUE()</f>
        <v>1</v>
      </c>
      <c r="M290" s="5" t="b">
        <f>FALSE()</f>
        <v>0</v>
      </c>
      <c r="N290" s="5" t="b">
        <f>FALSE()</f>
        <v>0</v>
      </c>
    </row>
    <row r="291" spans="1:14" x14ac:dyDescent="0.25">
      <c r="A291" s="2" t="s">
        <v>682</v>
      </c>
      <c r="B291" s="2" t="s">
        <v>59</v>
      </c>
      <c r="C291" s="2" t="s">
        <v>60</v>
      </c>
      <c r="D291" s="3">
        <v>46050</v>
      </c>
      <c r="E291" s="2" t="s">
        <v>683</v>
      </c>
      <c r="F291" s="4">
        <v>29169.439999999999</v>
      </c>
      <c r="G291" s="2" t="s">
        <v>18</v>
      </c>
      <c r="H291" s="5">
        <v>2</v>
      </c>
      <c r="I291" s="3">
        <v>46050</v>
      </c>
      <c r="J291" s="3">
        <v>46050</v>
      </c>
      <c r="K291" s="2" t="s">
        <v>19</v>
      </c>
      <c r="L291" s="5" t="b">
        <f>TRUE()</f>
        <v>1</v>
      </c>
      <c r="M291" s="5" t="b">
        <f>FALSE()</f>
        <v>0</v>
      </c>
      <c r="N291" s="5" t="b">
        <f>FALSE()</f>
        <v>0</v>
      </c>
    </row>
    <row r="292" spans="1:14" x14ac:dyDescent="0.25">
      <c r="A292" s="2" t="s">
        <v>684</v>
      </c>
      <c r="B292" s="2" t="s">
        <v>33</v>
      </c>
      <c r="C292" s="2" t="s">
        <v>34</v>
      </c>
      <c r="D292" s="3">
        <v>46050</v>
      </c>
      <c r="E292" s="2" t="s">
        <v>685</v>
      </c>
      <c r="F292" s="4">
        <v>20035.12</v>
      </c>
      <c r="G292" s="2" t="s">
        <v>18</v>
      </c>
      <c r="H292" s="5">
        <v>4</v>
      </c>
      <c r="I292" s="3">
        <v>46050</v>
      </c>
      <c r="J292" s="3">
        <v>46050</v>
      </c>
      <c r="K292" s="2" t="s">
        <v>19</v>
      </c>
      <c r="L292" s="5" t="b">
        <f>TRUE()</f>
        <v>1</v>
      </c>
      <c r="M292" s="5" t="b">
        <f>FALSE()</f>
        <v>0</v>
      </c>
      <c r="N292" s="5" t="b">
        <f>FALSE()</f>
        <v>0</v>
      </c>
    </row>
    <row r="293" spans="1:14" x14ac:dyDescent="0.25">
      <c r="A293" s="2" t="s">
        <v>686</v>
      </c>
      <c r="B293" s="2" t="s">
        <v>37</v>
      </c>
      <c r="C293" s="2" t="s">
        <v>38</v>
      </c>
      <c r="D293" s="3">
        <v>46050</v>
      </c>
      <c r="E293" s="2" t="s">
        <v>687</v>
      </c>
      <c r="F293" s="4">
        <v>21631.68</v>
      </c>
      <c r="G293" s="2" t="s">
        <v>18</v>
      </c>
      <c r="H293" s="5">
        <v>4</v>
      </c>
      <c r="I293" s="3">
        <v>46050</v>
      </c>
      <c r="J293" s="3">
        <v>46050</v>
      </c>
      <c r="K293" s="2" t="s">
        <v>19</v>
      </c>
      <c r="L293" s="5" t="b">
        <f>TRUE()</f>
        <v>1</v>
      </c>
      <c r="M293" s="5" t="b">
        <f>FALSE()</f>
        <v>0</v>
      </c>
      <c r="N293" s="5" t="b">
        <f>FALSE()</f>
        <v>0</v>
      </c>
    </row>
    <row r="294" spans="1:14" x14ac:dyDescent="0.25">
      <c r="A294" s="2" t="s">
        <v>688</v>
      </c>
      <c r="B294" s="2" t="s">
        <v>95</v>
      </c>
      <c r="C294" s="2" t="s">
        <v>96</v>
      </c>
      <c r="D294" s="3">
        <v>46050</v>
      </c>
      <c r="E294" s="2" t="s">
        <v>689</v>
      </c>
      <c r="F294" s="4">
        <v>31099.52</v>
      </c>
      <c r="G294" s="2" t="s">
        <v>18</v>
      </c>
      <c r="H294" s="5">
        <v>4</v>
      </c>
      <c r="I294" s="3">
        <v>46050</v>
      </c>
      <c r="J294" s="3">
        <v>46050</v>
      </c>
      <c r="K294" s="2" t="s">
        <v>19</v>
      </c>
      <c r="L294" s="5" t="b">
        <f>TRUE()</f>
        <v>1</v>
      </c>
      <c r="M294" s="5" t="b">
        <f>FALSE()</f>
        <v>0</v>
      </c>
      <c r="N294" s="5" t="b">
        <f>FALSE()</f>
        <v>0</v>
      </c>
    </row>
    <row r="295" spans="1:14" x14ac:dyDescent="0.25">
      <c r="A295" s="2" t="s">
        <v>690</v>
      </c>
      <c r="B295" s="2" t="s">
        <v>87</v>
      </c>
      <c r="C295" s="2" t="s">
        <v>88</v>
      </c>
      <c r="D295" s="3">
        <v>46049</v>
      </c>
      <c r="E295" s="2" t="s">
        <v>691</v>
      </c>
      <c r="F295" s="4">
        <v>33305.760000000002</v>
      </c>
      <c r="G295" s="2" t="s">
        <v>18</v>
      </c>
      <c r="H295" s="5">
        <v>4</v>
      </c>
      <c r="I295" s="3">
        <v>46049</v>
      </c>
      <c r="J295" s="3">
        <v>46049</v>
      </c>
      <c r="K295" s="2" t="s">
        <v>19</v>
      </c>
      <c r="L295" s="5" t="b">
        <f>TRUE()</f>
        <v>1</v>
      </c>
      <c r="M295" s="5" t="b">
        <f>FALSE()</f>
        <v>0</v>
      </c>
      <c r="N295" s="5" t="b">
        <f>FALSE()</f>
        <v>0</v>
      </c>
    </row>
    <row r="296" spans="1:14" x14ac:dyDescent="0.25">
      <c r="A296" s="2" t="s">
        <v>692</v>
      </c>
      <c r="B296" s="2" t="s">
        <v>29</v>
      </c>
      <c r="C296" s="2" t="s">
        <v>30</v>
      </c>
      <c r="D296" s="3">
        <v>46044</v>
      </c>
      <c r="E296" s="2" t="s">
        <v>693</v>
      </c>
      <c r="F296" s="4">
        <v>17921.88</v>
      </c>
      <c r="G296" s="2" t="s">
        <v>18</v>
      </c>
      <c r="H296" s="5">
        <v>1</v>
      </c>
      <c r="I296" s="3">
        <v>46044</v>
      </c>
      <c r="J296" s="3">
        <v>46044</v>
      </c>
      <c r="K296" s="2" t="s">
        <v>19</v>
      </c>
      <c r="L296" s="5" t="b">
        <f>TRUE()</f>
        <v>1</v>
      </c>
      <c r="M296" s="5" t="b">
        <f>FALSE()</f>
        <v>0</v>
      </c>
      <c r="N296" s="5" t="b">
        <f>FALSE()</f>
        <v>0</v>
      </c>
    </row>
    <row r="297" spans="1:14" x14ac:dyDescent="0.25">
      <c r="A297" s="2" t="s">
        <v>694</v>
      </c>
      <c r="B297" s="2" t="s">
        <v>25</v>
      </c>
      <c r="C297" s="2" t="s">
        <v>26</v>
      </c>
      <c r="D297" s="3">
        <v>46044</v>
      </c>
      <c r="E297" s="2" t="s">
        <v>695</v>
      </c>
      <c r="F297" s="4">
        <v>7076.8</v>
      </c>
      <c r="G297" s="2" t="s">
        <v>18</v>
      </c>
      <c r="H297" s="5">
        <v>4</v>
      </c>
      <c r="I297" s="3">
        <v>46044</v>
      </c>
      <c r="J297" s="3">
        <v>46044</v>
      </c>
      <c r="K297" s="2" t="s">
        <v>19</v>
      </c>
      <c r="L297" s="5" t="b">
        <f>TRUE()</f>
        <v>1</v>
      </c>
      <c r="M297" s="5" t="b">
        <f>FALSE()</f>
        <v>0</v>
      </c>
      <c r="N297" s="5" t="b">
        <f>FALSE()</f>
        <v>0</v>
      </c>
    </row>
    <row r="298" spans="1:14" x14ac:dyDescent="0.25">
      <c r="A298" s="2" t="s">
        <v>696</v>
      </c>
      <c r="B298" s="2" t="s">
        <v>69</v>
      </c>
      <c r="C298" s="2" t="s">
        <v>70</v>
      </c>
      <c r="D298" s="3">
        <v>46043</v>
      </c>
      <c r="E298" s="2" t="s">
        <v>697</v>
      </c>
      <c r="F298" s="4">
        <v>638.4</v>
      </c>
      <c r="G298" s="2" t="s">
        <v>18</v>
      </c>
      <c r="H298" s="5">
        <v>1</v>
      </c>
      <c r="I298" s="3">
        <v>46043</v>
      </c>
      <c r="J298" s="3">
        <v>46043</v>
      </c>
      <c r="K298" s="2" t="s">
        <v>19</v>
      </c>
      <c r="L298" s="5" t="b">
        <f>TRUE()</f>
        <v>1</v>
      </c>
      <c r="M298" s="5" t="b">
        <f>FALSE()</f>
        <v>0</v>
      </c>
      <c r="N298" s="5" t="b">
        <f>FALSE()</f>
        <v>0</v>
      </c>
    </row>
    <row r="299" spans="1:14" x14ac:dyDescent="0.25">
      <c r="A299" s="2" t="s">
        <v>698</v>
      </c>
      <c r="B299" s="2" t="s">
        <v>99</v>
      </c>
      <c r="C299" s="2" t="s">
        <v>100</v>
      </c>
      <c r="D299" s="3">
        <v>46043</v>
      </c>
      <c r="E299" s="2" t="s">
        <v>699</v>
      </c>
      <c r="F299" s="4">
        <v>32185.919999999998</v>
      </c>
      <c r="G299" s="2" t="s">
        <v>18</v>
      </c>
      <c r="H299" s="5">
        <v>1</v>
      </c>
      <c r="I299" s="3">
        <v>46043</v>
      </c>
      <c r="J299" s="3">
        <v>46043</v>
      </c>
      <c r="K299" s="2" t="s">
        <v>19</v>
      </c>
      <c r="L299" s="5" t="b">
        <f>TRUE()</f>
        <v>1</v>
      </c>
      <c r="M299" s="5" t="b">
        <f>FALSE()</f>
        <v>0</v>
      </c>
      <c r="N299" s="5" t="b">
        <f>FALSE()</f>
        <v>0</v>
      </c>
    </row>
    <row r="300" spans="1:14" x14ac:dyDescent="0.25">
      <c r="A300" s="2" t="s">
        <v>700</v>
      </c>
      <c r="B300" s="2" t="s">
        <v>171</v>
      </c>
      <c r="C300" s="2" t="s">
        <v>172</v>
      </c>
      <c r="D300" s="3">
        <v>46043</v>
      </c>
      <c r="E300" s="2" t="s">
        <v>701</v>
      </c>
      <c r="F300" s="4">
        <v>25200</v>
      </c>
      <c r="G300" s="2" t="s">
        <v>18</v>
      </c>
      <c r="H300" s="5">
        <v>2</v>
      </c>
      <c r="I300" s="3">
        <v>46043</v>
      </c>
      <c r="J300" s="3">
        <v>46043</v>
      </c>
      <c r="K300" s="2" t="s">
        <v>19</v>
      </c>
      <c r="L300" s="5" t="b">
        <f>TRUE()</f>
        <v>1</v>
      </c>
      <c r="M300" s="5" t="b">
        <f>FALSE()</f>
        <v>0</v>
      </c>
      <c r="N300" s="5" t="b">
        <f>FALSE()</f>
        <v>0</v>
      </c>
    </row>
    <row r="301" spans="1:14" x14ac:dyDescent="0.25">
      <c r="A301" s="2" t="s">
        <v>702</v>
      </c>
      <c r="B301" s="2" t="s">
        <v>139</v>
      </c>
      <c r="C301" s="2" t="s">
        <v>140</v>
      </c>
      <c r="D301" s="3">
        <v>46041</v>
      </c>
      <c r="E301" s="2" t="s">
        <v>703</v>
      </c>
      <c r="F301" s="4">
        <v>13875.12</v>
      </c>
      <c r="G301" s="2" t="s">
        <v>18</v>
      </c>
      <c r="H301" s="5">
        <v>2</v>
      </c>
      <c r="I301" s="3">
        <v>46041</v>
      </c>
      <c r="J301" s="3">
        <v>46041</v>
      </c>
      <c r="K301" s="2" t="s">
        <v>19</v>
      </c>
      <c r="L301" s="5" t="b">
        <f>TRUE()</f>
        <v>1</v>
      </c>
      <c r="M301" s="5" t="b">
        <f>FALSE()</f>
        <v>0</v>
      </c>
      <c r="N301" s="5" t="b">
        <f>FALSE()</f>
        <v>0</v>
      </c>
    </row>
    <row r="302" spans="1:14" x14ac:dyDescent="0.25">
      <c r="A302" s="2" t="s">
        <v>704</v>
      </c>
      <c r="B302" s="2" t="s">
        <v>55</v>
      </c>
      <c r="C302" s="2" t="s">
        <v>56</v>
      </c>
      <c r="D302" s="3">
        <v>46038</v>
      </c>
      <c r="E302" s="2" t="s">
        <v>705</v>
      </c>
      <c r="F302" s="4">
        <v>23527.68</v>
      </c>
      <c r="G302" s="2" t="s">
        <v>18</v>
      </c>
      <c r="H302" s="5">
        <v>1</v>
      </c>
      <c r="I302" s="3">
        <v>46038</v>
      </c>
      <c r="J302" s="3">
        <v>46038</v>
      </c>
      <c r="K302" s="2" t="s">
        <v>19</v>
      </c>
      <c r="L302" s="5" t="b">
        <f>TRUE()</f>
        <v>1</v>
      </c>
      <c r="M302" s="5" t="b">
        <f>FALSE()</f>
        <v>0</v>
      </c>
      <c r="N302" s="5" t="b">
        <f>FALSE()</f>
        <v>0</v>
      </c>
    </row>
    <row r="303" spans="1:14" x14ac:dyDescent="0.25">
      <c r="A303" s="2" t="s">
        <v>706</v>
      </c>
      <c r="B303" s="2" t="s">
        <v>21</v>
      </c>
      <c r="C303" s="2" t="s">
        <v>389</v>
      </c>
      <c r="D303" s="3">
        <v>46037</v>
      </c>
      <c r="E303" s="2" t="s">
        <v>707</v>
      </c>
      <c r="F303" s="4">
        <v>14308.12</v>
      </c>
      <c r="G303" s="2" t="s">
        <v>18</v>
      </c>
      <c r="H303" s="5">
        <v>3</v>
      </c>
      <c r="I303" s="3">
        <v>46037</v>
      </c>
      <c r="J303" s="3">
        <v>46037</v>
      </c>
      <c r="K303" s="2" t="s">
        <v>19</v>
      </c>
      <c r="L303" s="5" t="b">
        <f>TRUE()</f>
        <v>1</v>
      </c>
      <c r="M303" s="5" t="b">
        <f>FALSE()</f>
        <v>0</v>
      </c>
      <c r="N303" s="5" t="b">
        <f>FALSE()</f>
        <v>0</v>
      </c>
    </row>
    <row r="304" spans="1:14" x14ac:dyDescent="0.25">
      <c r="A304" s="2" t="s">
        <v>708</v>
      </c>
      <c r="B304" s="2" t="s">
        <v>99</v>
      </c>
      <c r="C304" s="2" t="s">
        <v>100</v>
      </c>
      <c r="D304" s="3">
        <v>46037</v>
      </c>
      <c r="E304" s="2" t="s">
        <v>709</v>
      </c>
      <c r="F304" s="4">
        <v>31350.720000000001</v>
      </c>
      <c r="G304" s="2" t="s">
        <v>18</v>
      </c>
      <c r="H304" s="5">
        <v>1</v>
      </c>
      <c r="I304" s="3">
        <v>46037</v>
      </c>
      <c r="J304" s="3">
        <v>46037</v>
      </c>
      <c r="K304" s="2" t="s">
        <v>19</v>
      </c>
      <c r="L304" s="5" t="b">
        <f>TRUE()</f>
        <v>1</v>
      </c>
      <c r="M304" s="5" t="b">
        <f>FALSE()</f>
        <v>0</v>
      </c>
      <c r="N304" s="5" t="b">
        <f>FALSE()</f>
        <v>0</v>
      </c>
    </row>
    <row r="305" spans="1:14" x14ac:dyDescent="0.25">
      <c r="A305" s="2" t="s">
        <v>710</v>
      </c>
      <c r="B305" s="2" t="s">
        <v>29</v>
      </c>
      <c r="C305" s="2" t="s">
        <v>30</v>
      </c>
      <c r="D305" s="3">
        <v>46037</v>
      </c>
      <c r="E305" s="2" t="s">
        <v>711</v>
      </c>
      <c r="F305" s="4">
        <v>14965.3</v>
      </c>
      <c r="G305" s="2" t="s">
        <v>18</v>
      </c>
      <c r="H305" s="5">
        <v>1</v>
      </c>
      <c r="I305" s="3">
        <v>46037</v>
      </c>
      <c r="J305" s="3">
        <v>46037</v>
      </c>
      <c r="K305" s="2" t="s">
        <v>19</v>
      </c>
      <c r="L305" s="5" t="b">
        <f>TRUE()</f>
        <v>1</v>
      </c>
      <c r="M305" s="5" t="b">
        <f>FALSE()</f>
        <v>0</v>
      </c>
      <c r="N305" s="5" t="b">
        <f>FALSE()</f>
        <v>0</v>
      </c>
    </row>
    <row r="306" spans="1:14" x14ac:dyDescent="0.25">
      <c r="A306" s="2" t="s">
        <v>712</v>
      </c>
      <c r="B306" s="2" t="s">
        <v>145</v>
      </c>
      <c r="C306" s="2" t="s">
        <v>146</v>
      </c>
      <c r="D306" s="3">
        <v>46037</v>
      </c>
      <c r="E306" s="2" t="s">
        <v>713</v>
      </c>
      <c r="F306" s="4">
        <v>18616.599999999999</v>
      </c>
      <c r="G306" s="2" t="s">
        <v>18</v>
      </c>
      <c r="H306" s="5">
        <v>2</v>
      </c>
      <c r="I306" s="3">
        <v>46037</v>
      </c>
      <c r="J306" s="3">
        <v>46037</v>
      </c>
      <c r="K306" s="2" t="s">
        <v>19</v>
      </c>
      <c r="L306" s="5" t="b">
        <f>TRUE()</f>
        <v>1</v>
      </c>
      <c r="M306" s="5" t="b">
        <f>FALSE()</f>
        <v>0</v>
      </c>
      <c r="N306" s="5" t="b">
        <f>FALSE()</f>
        <v>0</v>
      </c>
    </row>
    <row r="307" spans="1:14" x14ac:dyDescent="0.25">
      <c r="A307" s="2" t="s">
        <v>714</v>
      </c>
      <c r="B307" s="2" t="s">
        <v>123</v>
      </c>
      <c r="C307" s="2" t="s">
        <v>124</v>
      </c>
      <c r="D307" s="3">
        <v>46037</v>
      </c>
      <c r="E307" s="2" t="s">
        <v>715</v>
      </c>
      <c r="F307" s="4">
        <v>10257.799999999999</v>
      </c>
      <c r="G307" s="2" t="s">
        <v>18</v>
      </c>
      <c r="H307" s="5">
        <v>2</v>
      </c>
      <c r="I307" s="3">
        <v>46037</v>
      </c>
      <c r="J307" s="3">
        <v>46037</v>
      </c>
      <c r="K307" s="2" t="s">
        <v>19</v>
      </c>
      <c r="L307" s="5" t="b">
        <f>TRUE()</f>
        <v>1</v>
      </c>
      <c r="M307" s="5" t="b">
        <f>FALSE()</f>
        <v>0</v>
      </c>
      <c r="N307" s="5" t="b">
        <f>FALSE()</f>
        <v>0</v>
      </c>
    </row>
    <row r="308" spans="1:14" x14ac:dyDescent="0.25">
      <c r="A308" s="2" t="s">
        <v>716</v>
      </c>
      <c r="B308" s="2" t="s">
        <v>41</v>
      </c>
      <c r="C308" s="2" t="s">
        <v>42</v>
      </c>
      <c r="D308" s="3">
        <v>46036</v>
      </c>
      <c r="E308" s="2" t="s">
        <v>717</v>
      </c>
      <c r="F308" s="4">
        <v>27274.400000000001</v>
      </c>
      <c r="G308" s="2" t="s">
        <v>18</v>
      </c>
      <c r="H308" s="5">
        <v>2</v>
      </c>
      <c r="I308" s="3">
        <v>46036</v>
      </c>
      <c r="J308" s="3">
        <v>46036</v>
      </c>
      <c r="K308" s="2" t="s">
        <v>19</v>
      </c>
      <c r="L308" s="5" t="b">
        <f>TRUE()</f>
        <v>1</v>
      </c>
      <c r="M308" s="5" t="b">
        <f>FALSE()</f>
        <v>0</v>
      </c>
      <c r="N308" s="5" t="b">
        <f>FALSE()</f>
        <v>0</v>
      </c>
    </row>
    <row r="309" spans="1:14" x14ac:dyDescent="0.25">
      <c r="A309" s="2" t="s">
        <v>718</v>
      </c>
      <c r="B309" s="2" t="s">
        <v>69</v>
      </c>
      <c r="C309" s="2" t="s">
        <v>70</v>
      </c>
      <c r="D309" s="3">
        <v>46036</v>
      </c>
      <c r="E309" s="2" t="s">
        <v>719</v>
      </c>
      <c r="F309" s="4">
        <v>1935</v>
      </c>
      <c r="G309" s="2" t="s">
        <v>18</v>
      </c>
      <c r="H309" s="5">
        <v>1</v>
      </c>
      <c r="I309" s="3">
        <v>46036</v>
      </c>
      <c r="J309" s="3">
        <v>46036</v>
      </c>
      <c r="K309" s="2" t="s">
        <v>19</v>
      </c>
      <c r="L309" s="5" t="b">
        <f>TRUE()</f>
        <v>1</v>
      </c>
      <c r="M309" s="5" t="b">
        <f>FALSE()</f>
        <v>0</v>
      </c>
      <c r="N309" s="5" t="b">
        <f>FALSE()</f>
        <v>0</v>
      </c>
    </row>
    <row r="310" spans="1:14" x14ac:dyDescent="0.25">
      <c r="A310" s="2" t="s">
        <v>720</v>
      </c>
      <c r="B310" s="2" t="s">
        <v>177</v>
      </c>
      <c r="C310" s="2" t="s">
        <v>409</v>
      </c>
      <c r="D310" s="3">
        <v>46036</v>
      </c>
      <c r="E310" s="2" t="s">
        <v>721</v>
      </c>
      <c r="F310" s="4">
        <v>3351.8</v>
      </c>
      <c r="G310" s="2" t="s">
        <v>18</v>
      </c>
      <c r="H310" s="5">
        <v>2</v>
      </c>
      <c r="I310" s="3">
        <v>46036</v>
      </c>
      <c r="J310" s="3">
        <v>46036</v>
      </c>
      <c r="K310" s="2" t="s">
        <v>19</v>
      </c>
      <c r="L310" s="5" t="b">
        <f>TRUE()</f>
        <v>1</v>
      </c>
      <c r="M310" s="5" t="b">
        <f>FALSE()</f>
        <v>0</v>
      </c>
      <c r="N310" s="5" t="b">
        <f>FALSE()</f>
        <v>0</v>
      </c>
    </row>
    <row r="311" spans="1:14" x14ac:dyDescent="0.25">
      <c r="A311" s="2" t="s">
        <v>722</v>
      </c>
      <c r="B311" s="2" t="s">
        <v>195</v>
      </c>
      <c r="C311" s="2" t="s">
        <v>196</v>
      </c>
      <c r="D311" s="3">
        <v>46035</v>
      </c>
      <c r="E311" s="2" t="s">
        <v>723</v>
      </c>
      <c r="F311" s="4">
        <v>1484.16</v>
      </c>
      <c r="G311" s="2" t="s">
        <v>18</v>
      </c>
      <c r="H311" s="5">
        <v>3</v>
      </c>
      <c r="I311" s="3">
        <v>46035</v>
      </c>
      <c r="J311" s="3">
        <v>46035</v>
      </c>
      <c r="K311" s="2" t="s">
        <v>19</v>
      </c>
      <c r="L311" s="5" t="b">
        <f>TRUE()</f>
        <v>1</v>
      </c>
      <c r="M311" s="5" t="b">
        <f>FALSE()</f>
        <v>0</v>
      </c>
      <c r="N311" s="5" t="b">
        <f>FALSE()</f>
        <v>0</v>
      </c>
    </row>
    <row r="312" spans="1:14" x14ac:dyDescent="0.25">
      <c r="A312" s="2" t="s">
        <v>724</v>
      </c>
      <c r="B312" s="2" t="s">
        <v>167</v>
      </c>
      <c r="C312" s="2" t="s">
        <v>168</v>
      </c>
      <c r="D312" s="3">
        <v>46035</v>
      </c>
      <c r="E312" s="2" t="s">
        <v>725</v>
      </c>
      <c r="F312" s="4">
        <v>16200.8</v>
      </c>
      <c r="G312" s="2" t="s">
        <v>18</v>
      </c>
      <c r="H312" s="5">
        <v>1</v>
      </c>
      <c r="I312" s="3">
        <v>46035</v>
      </c>
      <c r="J312" s="3">
        <v>46035</v>
      </c>
      <c r="K312" s="2" t="s">
        <v>19</v>
      </c>
      <c r="L312" s="5" t="b">
        <f>TRUE()</f>
        <v>1</v>
      </c>
      <c r="M312" s="5" t="b">
        <f>FALSE()</f>
        <v>0</v>
      </c>
      <c r="N312" s="5" t="b">
        <f>FALSE()</f>
        <v>0</v>
      </c>
    </row>
    <row r="313" spans="1:14" x14ac:dyDescent="0.25">
      <c r="A313" s="2" t="s">
        <v>726</v>
      </c>
      <c r="B313" s="2" t="s">
        <v>29</v>
      </c>
      <c r="C313" s="2" t="s">
        <v>30</v>
      </c>
      <c r="D313" s="3">
        <v>46030</v>
      </c>
      <c r="E313" s="2" t="s">
        <v>727</v>
      </c>
      <c r="F313" s="4">
        <v>12494.8</v>
      </c>
      <c r="G313" s="2" t="s">
        <v>18</v>
      </c>
      <c r="H313" s="5">
        <v>1</v>
      </c>
      <c r="I313" s="3">
        <v>46030</v>
      </c>
      <c r="J313" s="3">
        <v>46030</v>
      </c>
      <c r="K313" s="2" t="s">
        <v>19</v>
      </c>
      <c r="L313" s="5" t="b">
        <f>TRUE()</f>
        <v>1</v>
      </c>
      <c r="M313" s="5" t="b">
        <f>FALSE()</f>
        <v>0</v>
      </c>
      <c r="N313" s="5" t="b">
        <f>FALSE()</f>
        <v>0</v>
      </c>
    </row>
    <row r="314" spans="1:14" x14ac:dyDescent="0.25">
      <c r="A314" s="2" t="s">
        <v>728</v>
      </c>
      <c r="B314" s="2" t="s">
        <v>135</v>
      </c>
      <c r="C314" s="2" t="s">
        <v>340</v>
      </c>
      <c r="D314" s="3">
        <v>46030</v>
      </c>
      <c r="E314" s="2" t="s">
        <v>729</v>
      </c>
      <c r="F314" s="4">
        <v>25467.88</v>
      </c>
      <c r="G314" s="2" t="s">
        <v>18</v>
      </c>
      <c r="H314" s="5">
        <v>3</v>
      </c>
      <c r="I314" s="3">
        <v>46030</v>
      </c>
      <c r="J314" s="3">
        <v>46030</v>
      </c>
      <c r="K314" s="2" t="s">
        <v>19</v>
      </c>
      <c r="L314" s="5" t="b">
        <f>TRUE()</f>
        <v>1</v>
      </c>
      <c r="M314" s="5" t="b">
        <f>FALSE()</f>
        <v>0</v>
      </c>
      <c r="N314" s="5" t="b">
        <f>FALSE()</f>
        <v>0</v>
      </c>
    </row>
    <row r="315" spans="1:14" x14ac:dyDescent="0.25">
      <c r="A315" s="2" t="s">
        <v>730</v>
      </c>
      <c r="B315" s="2" t="s">
        <v>513</v>
      </c>
      <c r="C315" s="2" t="s">
        <v>514</v>
      </c>
      <c r="D315" s="3">
        <v>46030</v>
      </c>
      <c r="E315" s="2" t="s">
        <v>731</v>
      </c>
      <c r="F315" s="4">
        <v>6279.52</v>
      </c>
      <c r="G315" s="2" t="s">
        <v>18</v>
      </c>
      <c r="H315" s="5">
        <v>6</v>
      </c>
      <c r="I315" s="3">
        <v>46030</v>
      </c>
      <c r="J315" s="3">
        <v>46030</v>
      </c>
      <c r="K315" s="2" t="s">
        <v>19</v>
      </c>
      <c r="L315" s="5" t="b">
        <f>TRUE()</f>
        <v>1</v>
      </c>
      <c r="M315" s="5" t="b">
        <f>FALSE()</f>
        <v>0</v>
      </c>
      <c r="N315" s="5" t="b">
        <f>FALSE()</f>
        <v>0</v>
      </c>
    </row>
    <row r="316" spans="1:14" x14ac:dyDescent="0.25">
      <c r="A316" s="2" t="s">
        <v>732</v>
      </c>
      <c r="B316" s="2" t="s">
        <v>55</v>
      </c>
      <c r="C316" s="2" t="s">
        <v>56</v>
      </c>
      <c r="D316" s="3">
        <v>46029</v>
      </c>
      <c r="E316" s="2" t="s">
        <v>733</v>
      </c>
      <c r="F316" s="4">
        <v>4277.76</v>
      </c>
      <c r="G316" s="2" t="s">
        <v>18</v>
      </c>
      <c r="H316" s="5">
        <v>1</v>
      </c>
      <c r="I316" s="3">
        <v>46029</v>
      </c>
      <c r="J316" s="3">
        <v>46029</v>
      </c>
      <c r="K316" s="2" t="s">
        <v>19</v>
      </c>
      <c r="L316" s="5" t="b">
        <f>TRUE()</f>
        <v>1</v>
      </c>
      <c r="M316" s="5" t="b">
        <f>FALSE()</f>
        <v>0</v>
      </c>
      <c r="N316" s="5" t="b">
        <f>FALSE()</f>
        <v>0</v>
      </c>
    </row>
    <row r="317" spans="1:14" x14ac:dyDescent="0.25">
      <c r="A317" s="2" t="s">
        <v>734</v>
      </c>
      <c r="B317" s="2" t="s">
        <v>119</v>
      </c>
      <c r="C317" s="2" t="s">
        <v>439</v>
      </c>
      <c r="D317" s="3">
        <v>46029</v>
      </c>
      <c r="E317" s="2" t="s">
        <v>735</v>
      </c>
      <c r="F317" s="4">
        <v>12425.41</v>
      </c>
      <c r="G317" s="2" t="s">
        <v>18</v>
      </c>
      <c r="H317" s="5">
        <v>4</v>
      </c>
      <c r="I317" s="3">
        <v>46029</v>
      </c>
      <c r="J317" s="3">
        <v>46029</v>
      </c>
      <c r="K317" s="2" t="s">
        <v>19</v>
      </c>
      <c r="L317" s="5" t="b">
        <f>TRUE()</f>
        <v>1</v>
      </c>
      <c r="M317" s="5" t="b">
        <f>FALSE()</f>
        <v>0</v>
      </c>
      <c r="N317" s="5" t="b">
        <f>FALSE()</f>
        <v>0</v>
      </c>
    </row>
    <row r="318" spans="1:14" x14ac:dyDescent="0.25">
      <c r="A318" s="2" t="s">
        <v>736</v>
      </c>
      <c r="B318" s="2" t="s">
        <v>199</v>
      </c>
      <c r="C318" s="2" t="s">
        <v>200</v>
      </c>
      <c r="D318" s="3">
        <v>46029</v>
      </c>
      <c r="E318" s="2" t="s">
        <v>737</v>
      </c>
      <c r="F318" s="4">
        <v>7280</v>
      </c>
      <c r="G318" s="2" t="s">
        <v>18</v>
      </c>
      <c r="H318" s="5">
        <v>0</v>
      </c>
      <c r="I318" s="3">
        <v>46029</v>
      </c>
      <c r="J318" s="3">
        <v>46029</v>
      </c>
      <c r="K318" s="2" t="s">
        <v>19</v>
      </c>
      <c r="L318" s="5" t="b">
        <f>TRUE()</f>
        <v>1</v>
      </c>
      <c r="M318" s="5" t="b">
        <f>FALSE()</f>
        <v>0</v>
      </c>
      <c r="N318" s="5" t="b">
        <f>FALSE()</f>
        <v>0</v>
      </c>
    </row>
    <row r="319" spans="1:14" x14ac:dyDescent="0.25">
      <c r="A319" s="2" t="s">
        <v>738</v>
      </c>
      <c r="B319" s="2" t="s">
        <v>21</v>
      </c>
      <c r="C319" s="2" t="s">
        <v>389</v>
      </c>
      <c r="D319" s="3">
        <v>46028</v>
      </c>
      <c r="E319" s="2" t="s">
        <v>739</v>
      </c>
      <c r="F319" s="4">
        <v>11878.12</v>
      </c>
      <c r="G319" s="2" t="s">
        <v>18</v>
      </c>
      <c r="H319" s="5">
        <v>2</v>
      </c>
      <c r="I319" s="3">
        <v>46028</v>
      </c>
      <c r="J319" s="3">
        <v>46028</v>
      </c>
      <c r="K319" s="2" t="s">
        <v>19</v>
      </c>
      <c r="L319" s="5" t="b">
        <f>TRUE()</f>
        <v>1</v>
      </c>
      <c r="M319" s="5" t="b">
        <f>FALSE()</f>
        <v>0</v>
      </c>
      <c r="N319" s="5" t="b">
        <f>FALSE()</f>
        <v>0</v>
      </c>
    </row>
    <row r="320" spans="1:14" x14ac:dyDescent="0.25">
      <c r="A320" s="2" t="s">
        <v>740</v>
      </c>
      <c r="B320" s="2" t="s">
        <v>41</v>
      </c>
      <c r="C320" s="2" t="s">
        <v>42</v>
      </c>
      <c r="D320" s="3">
        <v>46027</v>
      </c>
      <c r="E320" s="2" t="s">
        <v>741</v>
      </c>
      <c r="F320" s="4">
        <v>25873.64</v>
      </c>
      <c r="G320" s="2" t="s">
        <v>18</v>
      </c>
      <c r="H320" s="5">
        <v>3</v>
      </c>
      <c r="I320" s="3">
        <v>46027</v>
      </c>
      <c r="J320" s="3">
        <v>46027</v>
      </c>
      <c r="K320" s="2" t="s">
        <v>19</v>
      </c>
      <c r="L320" s="5" t="b">
        <f>TRUE()</f>
        <v>1</v>
      </c>
      <c r="M320" s="5" t="b">
        <f>FALSE()</f>
        <v>0</v>
      </c>
      <c r="N320" s="5" t="b">
        <f>FALSE()</f>
        <v>0</v>
      </c>
    </row>
    <row r="321" spans="1:14" x14ac:dyDescent="0.25">
      <c r="A321" s="2" t="s">
        <v>742</v>
      </c>
      <c r="B321" s="2" t="s">
        <v>29</v>
      </c>
      <c r="C321" s="2" t="s">
        <v>30</v>
      </c>
      <c r="D321" s="3">
        <v>46027</v>
      </c>
      <c r="E321" s="2" t="s">
        <v>743</v>
      </c>
      <c r="F321" s="4">
        <v>15730.96</v>
      </c>
      <c r="G321" s="2" t="s">
        <v>18</v>
      </c>
      <c r="H321" s="5">
        <v>1</v>
      </c>
      <c r="I321" s="3">
        <v>46027</v>
      </c>
      <c r="J321" s="3">
        <v>46027</v>
      </c>
      <c r="K321" s="2" t="s">
        <v>19</v>
      </c>
      <c r="L321" s="5" t="b">
        <f>TRUE()</f>
        <v>1</v>
      </c>
      <c r="M321" s="5" t="b">
        <f>FALSE()</f>
        <v>0</v>
      </c>
      <c r="N321" s="5" t="b">
        <f>FALSE()</f>
        <v>0</v>
      </c>
    </row>
    <row r="322" spans="1:14" x14ac:dyDescent="0.25">
      <c r="A322" s="2" t="s">
        <v>744</v>
      </c>
      <c r="B322" s="2" t="s">
        <v>227</v>
      </c>
      <c r="C322" s="2" t="s">
        <v>406</v>
      </c>
      <c r="D322" s="3">
        <v>46027</v>
      </c>
      <c r="E322" s="2" t="s">
        <v>745</v>
      </c>
      <c r="F322" s="4">
        <v>8768</v>
      </c>
      <c r="G322" s="2" t="s">
        <v>18</v>
      </c>
      <c r="H322" s="5">
        <v>1</v>
      </c>
      <c r="I322" s="3">
        <v>46027</v>
      </c>
      <c r="J322" s="3">
        <v>46027</v>
      </c>
      <c r="K322" s="2" t="s">
        <v>19</v>
      </c>
      <c r="L322" s="5" t="b">
        <f>TRUE()</f>
        <v>1</v>
      </c>
      <c r="M322" s="5" t="b">
        <f>FALSE()</f>
        <v>0</v>
      </c>
      <c r="N322" s="5" t="b">
        <f>FALSE()</f>
        <v>0</v>
      </c>
    </row>
    <row r="323" spans="1:14" x14ac:dyDescent="0.25">
      <c r="A323" s="2" t="s">
        <v>746</v>
      </c>
      <c r="B323" s="2" t="s">
        <v>295</v>
      </c>
      <c r="C323" s="2" t="s">
        <v>386</v>
      </c>
      <c r="D323" s="3">
        <v>46027</v>
      </c>
      <c r="E323" s="2" t="s">
        <v>747</v>
      </c>
      <c r="F323" s="4">
        <v>7828.8</v>
      </c>
      <c r="G323" s="2" t="s">
        <v>18</v>
      </c>
      <c r="H323" s="5">
        <v>1</v>
      </c>
      <c r="I323" s="3">
        <v>46027</v>
      </c>
      <c r="J323" s="3">
        <v>46027</v>
      </c>
      <c r="K323" s="2" t="s">
        <v>19</v>
      </c>
      <c r="L323" s="5" t="b">
        <f>TRUE()</f>
        <v>1</v>
      </c>
      <c r="M323" s="5" t="b">
        <f>FALSE()</f>
        <v>0</v>
      </c>
      <c r="N323" s="5" t="b">
        <f>FALSE()</f>
        <v>0</v>
      </c>
    </row>
    <row r="324" spans="1:14" x14ac:dyDescent="0.25">
      <c r="A324" s="2" t="s">
        <v>748</v>
      </c>
      <c r="B324" s="2" t="s">
        <v>171</v>
      </c>
      <c r="C324" s="2" t="s">
        <v>172</v>
      </c>
      <c r="D324" s="3">
        <v>46027</v>
      </c>
      <c r="E324" s="2" t="s">
        <v>749</v>
      </c>
      <c r="F324" s="4">
        <v>25200</v>
      </c>
      <c r="G324" s="2" t="s">
        <v>18</v>
      </c>
      <c r="H324" s="5">
        <v>4</v>
      </c>
      <c r="I324" s="3">
        <v>46027</v>
      </c>
      <c r="J324" s="3">
        <v>46027</v>
      </c>
      <c r="K324" s="2" t="s">
        <v>19</v>
      </c>
      <c r="L324" s="5" t="b">
        <f>TRUE()</f>
        <v>1</v>
      </c>
      <c r="M324" s="5" t="b">
        <f>FALSE()</f>
        <v>0</v>
      </c>
      <c r="N324" s="5" t="b">
        <f>FALSE()</f>
        <v>0</v>
      </c>
    </row>
    <row r="325" spans="1:14" x14ac:dyDescent="0.25">
      <c r="A325" s="2" t="s">
        <v>750</v>
      </c>
      <c r="B325" s="2" t="s">
        <v>87</v>
      </c>
      <c r="C325" s="2" t="s">
        <v>88</v>
      </c>
      <c r="D325" s="3">
        <v>46027</v>
      </c>
      <c r="E325" s="2" t="s">
        <v>751</v>
      </c>
      <c r="F325" s="4">
        <v>33840.42</v>
      </c>
      <c r="G325" s="2" t="s">
        <v>18</v>
      </c>
      <c r="H325" s="5">
        <v>7</v>
      </c>
      <c r="I325" s="3">
        <v>46027</v>
      </c>
      <c r="J325" s="3">
        <v>46027</v>
      </c>
      <c r="K325" s="2" t="s">
        <v>19</v>
      </c>
      <c r="L325" s="5" t="b">
        <f>TRUE()</f>
        <v>1</v>
      </c>
      <c r="M325" s="5" t="b">
        <f>FALSE()</f>
        <v>0</v>
      </c>
      <c r="N325" s="5" t="b">
        <f>FALSE()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A0AF-A6F1-459D-BD7E-7889488BAE77}">
  <dimension ref="A1:Q1891"/>
  <sheetViews>
    <sheetView workbookViewId="0">
      <pane ySplit="1" topLeftCell="A11" activePane="bottomLeft" state="frozen"/>
      <selection pane="bottomLeft" activeCell="H22" sqref="H22"/>
    </sheetView>
  </sheetViews>
  <sheetFormatPr defaultRowHeight="15" x14ac:dyDescent="0.25"/>
  <cols>
    <col min="1" max="1" width="15.42578125" bestFit="1" customWidth="1"/>
    <col min="2" max="2" width="20.85546875" bestFit="1" customWidth="1"/>
    <col min="3" max="3" width="23" bestFit="1" customWidth="1"/>
    <col min="4" max="4" width="7" bestFit="1" customWidth="1"/>
    <col min="5" max="5" width="5.85546875" bestFit="1" customWidth="1"/>
    <col min="6" max="6" width="12.7109375" bestFit="1" customWidth="1"/>
    <col min="7" max="7" width="13.85546875" bestFit="1" customWidth="1"/>
    <col min="8" max="8" width="24" bestFit="1" customWidth="1"/>
    <col min="9" max="9" width="25" bestFit="1" customWidth="1"/>
    <col min="10" max="10" width="9.7109375" bestFit="1" customWidth="1"/>
    <col min="11" max="11" width="12" bestFit="1" customWidth="1"/>
    <col min="12" max="12" width="10.42578125" bestFit="1" customWidth="1"/>
    <col min="13" max="13" width="22" bestFit="1" customWidth="1"/>
    <col min="14" max="14" width="19.28515625" bestFit="1" customWidth="1"/>
    <col min="15" max="15" width="9.85546875" bestFit="1" customWidth="1"/>
    <col min="16" max="16" width="21.85546875" bestFit="1" customWidth="1"/>
    <col min="17" max="17" width="16.5703125" bestFit="1" customWidth="1"/>
  </cols>
  <sheetData>
    <row r="1" spans="1:17" x14ac:dyDescent="0.25">
      <c r="A1" s="1" t="s">
        <v>1032</v>
      </c>
      <c r="B1" s="1" t="s">
        <v>1031</v>
      </c>
      <c r="C1" s="1" t="s">
        <v>1030</v>
      </c>
      <c r="D1" s="1" t="s">
        <v>1029</v>
      </c>
      <c r="E1" s="1" t="s">
        <v>0</v>
      </c>
      <c r="F1" s="1" t="s">
        <v>1028</v>
      </c>
      <c r="G1" s="1" t="s">
        <v>3</v>
      </c>
      <c r="H1" s="1" t="s">
        <v>1027</v>
      </c>
      <c r="I1" s="1" t="s">
        <v>1026</v>
      </c>
      <c r="J1" s="1" t="s">
        <v>1025</v>
      </c>
      <c r="K1" s="1" t="s">
        <v>1024</v>
      </c>
      <c r="L1" s="1" t="s">
        <v>1023</v>
      </c>
      <c r="M1" s="1" t="s">
        <v>1022</v>
      </c>
      <c r="N1" s="1" t="s">
        <v>1021</v>
      </c>
      <c r="O1" s="1" t="s">
        <v>5</v>
      </c>
      <c r="P1" s="1" t="s">
        <v>1020</v>
      </c>
      <c r="Q1" s="1" t="s">
        <v>1019</v>
      </c>
    </row>
    <row r="2" spans="1:17" x14ac:dyDescent="0.25">
      <c r="A2" s="2" t="s">
        <v>750</v>
      </c>
      <c r="B2" s="2" t="s">
        <v>87</v>
      </c>
      <c r="C2" s="2" t="s">
        <v>88</v>
      </c>
      <c r="D2" s="2" t="s">
        <v>758</v>
      </c>
      <c r="E2" s="2" t="s">
        <v>786</v>
      </c>
      <c r="F2" s="2" t="s">
        <v>785</v>
      </c>
      <c r="G2" s="3">
        <v>46027</v>
      </c>
      <c r="H2" s="2" t="s">
        <v>753</v>
      </c>
      <c r="I2" s="2" t="s">
        <v>755</v>
      </c>
      <c r="J2" s="2" t="s">
        <v>754</v>
      </c>
      <c r="K2" s="2" t="s">
        <v>753</v>
      </c>
      <c r="L2" s="6">
        <v>28</v>
      </c>
      <c r="M2" s="2" t="s">
        <v>752</v>
      </c>
      <c r="N2" s="7">
        <v>35</v>
      </c>
      <c r="O2" s="4">
        <v>980</v>
      </c>
      <c r="P2" s="4">
        <v>980</v>
      </c>
      <c r="Q2" s="6">
        <v>0</v>
      </c>
    </row>
    <row r="3" spans="1:17" x14ac:dyDescent="0.25">
      <c r="A3" s="2" t="s">
        <v>750</v>
      </c>
      <c r="B3" s="2" t="s">
        <v>87</v>
      </c>
      <c r="C3" s="2" t="s">
        <v>88</v>
      </c>
      <c r="D3" s="2" t="s">
        <v>758</v>
      </c>
      <c r="E3" s="2" t="s">
        <v>845</v>
      </c>
      <c r="F3" s="2" t="s">
        <v>844</v>
      </c>
      <c r="G3" s="3">
        <v>46027</v>
      </c>
      <c r="H3" s="2" t="s">
        <v>753</v>
      </c>
      <c r="I3" s="2" t="s">
        <v>755</v>
      </c>
      <c r="J3" s="2" t="s">
        <v>754</v>
      </c>
      <c r="K3" s="2" t="s">
        <v>753</v>
      </c>
      <c r="L3" s="6">
        <v>84</v>
      </c>
      <c r="M3" s="2" t="s">
        <v>752</v>
      </c>
      <c r="N3" s="7">
        <v>40.119999999999997</v>
      </c>
      <c r="O3" s="4">
        <v>3370.08</v>
      </c>
      <c r="P3" s="4">
        <v>3370.08</v>
      </c>
      <c r="Q3" s="6">
        <v>0</v>
      </c>
    </row>
    <row r="4" spans="1:17" x14ac:dyDescent="0.25">
      <c r="A4" s="2" t="s">
        <v>750</v>
      </c>
      <c r="B4" s="2" t="s">
        <v>87</v>
      </c>
      <c r="C4" s="2" t="s">
        <v>88</v>
      </c>
      <c r="D4" s="2" t="s">
        <v>758</v>
      </c>
      <c r="E4" s="2" t="s">
        <v>910</v>
      </c>
      <c r="F4" s="2" t="s">
        <v>909</v>
      </c>
      <c r="G4" s="3">
        <v>46027</v>
      </c>
      <c r="H4" s="2" t="s">
        <v>753</v>
      </c>
      <c r="I4" s="2" t="s">
        <v>755</v>
      </c>
      <c r="J4" s="2" t="s">
        <v>754</v>
      </c>
      <c r="K4" s="2" t="s">
        <v>753</v>
      </c>
      <c r="L4" s="6">
        <v>8</v>
      </c>
      <c r="M4" s="2" t="s">
        <v>752</v>
      </c>
      <c r="N4" s="7">
        <v>42.03</v>
      </c>
      <c r="O4" s="4">
        <v>336.24</v>
      </c>
      <c r="P4" s="4">
        <v>336.24</v>
      </c>
      <c r="Q4" s="6">
        <v>0</v>
      </c>
    </row>
    <row r="5" spans="1:17" x14ac:dyDescent="0.25">
      <c r="A5" s="2" t="s">
        <v>750</v>
      </c>
      <c r="B5" s="2" t="s">
        <v>87</v>
      </c>
      <c r="C5" s="2" t="s">
        <v>88</v>
      </c>
      <c r="D5" s="2" t="s">
        <v>758</v>
      </c>
      <c r="E5" s="2" t="s">
        <v>908</v>
      </c>
      <c r="F5" s="2" t="s">
        <v>907</v>
      </c>
      <c r="G5" s="3">
        <v>46027</v>
      </c>
      <c r="H5" s="2" t="s">
        <v>753</v>
      </c>
      <c r="I5" s="2" t="s">
        <v>755</v>
      </c>
      <c r="J5" s="2" t="s">
        <v>754</v>
      </c>
      <c r="K5" s="2" t="s">
        <v>753</v>
      </c>
      <c r="L5" s="6">
        <v>308</v>
      </c>
      <c r="M5" s="2" t="s">
        <v>752</v>
      </c>
      <c r="N5" s="7">
        <v>39</v>
      </c>
      <c r="O5" s="4">
        <v>12012</v>
      </c>
      <c r="P5" s="4">
        <v>12012</v>
      </c>
      <c r="Q5" s="6">
        <v>0</v>
      </c>
    </row>
    <row r="6" spans="1:17" x14ac:dyDescent="0.25">
      <c r="A6" s="2" t="s">
        <v>750</v>
      </c>
      <c r="B6" s="2" t="s">
        <v>87</v>
      </c>
      <c r="C6" s="2" t="s">
        <v>88</v>
      </c>
      <c r="D6" s="2" t="s">
        <v>758</v>
      </c>
      <c r="E6" s="2" t="s">
        <v>815</v>
      </c>
      <c r="F6" s="2" t="s">
        <v>814</v>
      </c>
      <c r="G6" s="3">
        <v>46027</v>
      </c>
      <c r="H6" s="2" t="s">
        <v>753</v>
      </c>
      <c r="I6" s="2" t="s">
        <v>755</v>
      </c>
      <c r="J6" s="2" t="s">
        <v>754</v>
      </c>
      <c r="K6" s="2" t="s">
        <v>753</v>
      </c>
      <c r="L6" s="6">
        <v>28</v>
      </c>
      <c r="M6" s="2" t="s">
        <v>752</v>
      </c>
      <c r="N6" s="7">
        <v>36.24</v>
      </c>
      <c r="O6" s="4">
        <v>1014.72</v>
      </c>
      <c r="P6" s="4">
        <v>1014.72</v>
      </c>
      <c r="Q6" s="6">
        <v>0</v>
      </c>
    </row>
    <row r="7" spans="1:17" x14ac:dyDescent="0.25">
      <c r="A7" s="2" t="s">
        <v>750</v>
      </c>
      <c r="B7" s="2" t="s">
        <v>87</v>
      </c>
      <c r="C7" s="2" t="s">
        <v>88</v>
      </c>
      <c r="D7" s="2" t="s">
        <v>758</v>
      </c>
      <c r="E7" s="2" t="s">
        <v>906</v>
      </c>
      <c r="F7" s="2" t="s">
        <v>905</v>
      </c>
      <c r="G7" s="3">
        <v>46027</v>
      </c>
      <c r="H7" s="2" t="s">
        <v>753</v>
      </c>
      <c r="I7" s="2" t="s">
        <v>755</v>
      </c>
      <c r="J7" s="2" t="s">
        <v>754</v>
      </c>
      <c r="K7" s="2" t="s">
        <v>753</v>
      </c>
      <c r="L7" s="6">
        <v>14</v>
      </c>
      <c r="M7" s="2" t="s">
        <v>752</v>
      </c>
      <c r="N7" s="7">
        <v>35.21</v>
      </c>
      <c r="O7" s="4">
        <v>492.94</v>
      </c>
      <c r="P7" s="4">
        <v>492.94</v>
      </c>
      <c r="Q7" s="6">
        <v>0</v>
      </c>
    </row>
    <row r="8" spans="1:17" x14ac:dyDescent="0.25">
      <c r="A8" s="2" t="s">
        <v>750</v>
      </c>
      <c r="B8" s="2" t="s">
        <v>87</v>
      </c>
      <c r="C8" s="2" t="s">
        <v>88</v>
      </c>
      <c r="D8" s="2" t="s">
        <v>758</v>
      </c>
      <c r="E8" s="2" t="s">
        <v>763</v>
      </c>
      <c r="F8" s="2" t="s">
        <v>762</v>
      </c>
      <c r="G8" s="3">
        <v>46027</v>
      </c>
      <c r="H8" s="2" t="s">
        <v>753</v>
      </c>
      <c r="I8" s="2" t="s">
        <v>755</v>
      </c>
      <c r="J8" s="2" t="s">
        <v>754</v>
      </c>
      <c r="K8" s="2" t="s">
        <v>753</v>
      </c>
      <c r="L8" s="6">
        <v>140</v>
      </c>
      <c r="M8" s="2" t="s">
        <v>752</v>
      </c>
      <c r="N8" s="7">
        <v>45.49</v>
      </c>
      <c r="O8" s="4">
        <v>6368.6</v>
      </c>
      <c r="P8" s="4">
        <v>6368.6</v>
      </c>
      <c r="Q8" s="6">
        <v>0</v>
      </c>
    </row>
    <row r="9" spans="1:17" x14ac:dyDescent="0.25">
      <c r="A9" s="2" t="s">
        <v>750</v>
      </c>
      <c r="B9" s="2" t="s">
        <v>87</v>
      </c>
      <c r="C9" s="2" t="s">
        <v>88</v>
      </c>
      <c r="D9" s="2" t="s">
        <v>758</v>
      </c>
      <c r="E9" s="2" t="s">
        <v>774</v>
      </c>
      <c r="F9" s="2" t="s">
        <v>773</v>
      </c>
      <c r="G9" s="3">
        <v>46027</v>
      </c>
      <c r="H9" s="2" t="s">
        <v>753</v>
      </c>
      <c r="I9" s="2" t="s">
        <v>755</v>
      </c>
      <c r="J9" s="2" t="s">
        <v>754</v>
      </c>
      <c r="K9" s="2" t="s">
        <v>753</v>
      </c>
      <c r="L9" s="6">
        <v>28</v>
      </c>
      <c r="M9" s="2" t="s">
        <v>752</v>
      </c>
      <c r="N9" s="7">
        <v>37.020000000000003</v>
      </c>
      <c r="O9" s="4">
        <v>1036.56</v>
      </c>
      <c r="P9" s="4">
        <v>1036.56</v>
      </c>
      <c r="Q9" s="6">
        <v>0</v>
      </c>
    </row>
    <row r="10" spans="1:17" x14ac:dyDescent="0.25">
      <c r="A10" s="2" t="s">
        <v>750</v>
      </c>
      <c r="B10" s="2" t="s">
        <v>87</v>
      </c>
      <c r="C10" s="2" t="s">
        <v>88</v>
      </c>
      <c r="D10" s="2" t="s">
        <v>758</v>
      </c>
      <c r="E10" s="2" t="s">
        <v>863</v>
      </c>
      <c r="F10" s="2" t="s">
        <v>862</v>
      </c>
      <c r="G10" s="3">
        <v>46027</v>
      </c>
      <c r="H10" s="2" t="s">
        <v>753</v>
      </c>
      <c r="I10" s="2" t="s">
        <v>755</v>
      </c>
      <c r="J10" s="2" t="s">
        <v>754</v>
      </c>
      <c r="K10" s="2" t="s">
        <v>753</v>
      </c>
      <c r="L10" s="6">
        <v>4</v>
      </c>
      <c r="M10" s="2" t="s">
        <v>752</v>
      </c>
      <c r="N10" s="7">
        <v>52.47</v>
      </c>
      <c r="O10" s="4">
        <v>209.88</v>
      </c>
      <c r="P10" s="4">
        <v>209.88</v>
      </c>
      <c r="Q10" s="6">
        <v>0</v>
      </c>
    </row>
    <row r="11" spans="1:17" x14ac:dyDescent="0.25">
      <c r="A11" s="2" t="s">
        <v>750</v>
      </c>
      <c r="B11" s="2" t="s">
        <v>87</v>
      </c>
      <c r="C11" s="2" t="s">
        <v>88</v>
      </c>
      <c r="D11" s="2" t="s">
        <v>758</v>
      </c>
      <c r="E11" s="2" t="s">
        <v>813</v>
      </c>
      <c r="F11" s="2" t="s">
        <v>812</v>
      </c>
      <c r="G11" s="3">
        <v>46027</v>
      </c>
      <c r="H11" s="2" t="s">
        <v>753</v>
      </c>
      <c r="I11" s="2" t="s">
        <v>755</v>
      </c>
      <c r="J11" s="2" t="s">
        <v>754</v>
      </c>
      <c r="K11" s="2" t="s">
        <v>753</v>
      </c>
      <c r="L11" s="6">
        <v>4</v>
      </c>
      <c r="M11" s="2" t="s">
        <v>752</v>
      </c>
      <c r="N11" s="7">
        <v>54</v>
      </c>
      <c r="O11" s="4">
        <v>216</v>
      </c>
      <c r="P11" s="4">
        <v>216</v>
      </c>
      <c r="Q11" s="6">
        <v>0</v>
      </c>
    </row>
    <row r="12" spans="1:17" x14ac:dyDescent="0.25">
      <c r="A12" s="2" t="s">
        <v>750</v>
      </c>
      <c r="B12" s="2" t="s">
        <v>87</v>
      </c>
      <c r="C12" s="2" t="s">
        <v>88</v>
      </c>
      <c r="D12" s="2" t="s">
        <v>758</v>
      </c>
      <c r="E12" s="2" t="s">
        <v>776</v>
      </c>
      <c r="F12" s="2" t="s">
        <v>775</v>
      </c>
      <c r="G12" s="3">
        <v>46027</v>
      </c>
      <c r="H12" s="2" t="s">
        <v>753</v>
      </c>
      <c r="I12" s="2" t="s">
        <v>755</v>
      </c>
      <c r="J12" s="2" t="s">
        <v>754</v>
      </c>
      <c r="K12" s="2" t="s">
        <v>753</v>
      </c>
      <c r="L12" s="6">
        <v>8</v>
      </c>
      <c r="M12" s="2" t="s">
        <v>752</v>
      </c>
      <c r="N12" s="7">
        <v>43.2</v>
      </c>
      <c r="O12" s="4">
        <v>345.6</v>
      </c>
      <c r="P12" s="4">
        <v>345.6</v>
      </c>
      <c r="Q12" s="6">
        <v>0</v>
      </c>
    </row>
    <row r="13" spans="1:17" x14ac:dyDescent="0.25">
      <c r="A13" s="2" t="s">
        <v>750</v>
      </c>
      <c r="B13" s="2" t="s">
        <v>87</v>
      </c>
      <c r="C13" s="2" t="s">
        <v>88</v>
      </c>
      <c r="D13" s="2" t="s">
        <v>758</v>
      </c>
      <c r="E13" s="2" t="s">
        <v>807</v>
      </c>
      <c r="F13" s="2" t="s">
        <v>806</v>
      </c>
      <c r="G13" s="3">
        <v>46027</v>
      </c>
      <c r="H13" s="2" t="s">
        <v>753</v>
      </c>
      <c r="I13" s="2" t="s">
        <v>755</v>
      </c>
      <c r="J13" s="2" t="s">
        <v>754</v>
      </c>
      <c r="K13" s="2" t="s">
        <v>753</v>
      </c>
      <c r="L13" s="6">
        <v>28</v>
      </c>
      <c r="M13" s="2" t="s">
        <v>752</v>
      </c>
      <c r="N13" s="7">
        <v>44.15</v>
      </c>
      <c r="O13" s="4">
        <v>1236.2</v>
      </c>
      <c r="P13" s="4">
        <v>1236.2</v>
      </c>
      <c r="Q13" s="6">
        <v>0</v>
      </c>
    </row>
    <row r="14" spans="1:17" x14ac:dyDescent="0.25">
      <c r="A14" s="2" t="s">
        <v>750</v>
      </c>
      <c r="B14" s="2" t="s">
        <v>87</v>
      </c>
      <c r="C14" s="2" t="s">
        <v>88</v>
      </c>
      <c r="D14" s="2" t="s">
        <v>758</v>
      </c>
      <c r="E14" s="2" t="s">
        <v>956</v>
      </c>
      <c r="F14" s="2" t="s">
        <v>955</v>
      </c>
      <c r="G14" s="3">
        <v>46027</v>
      </c>
      <c r="H14" s="2" t="s">
        <v>753</v>
      </c>
      <c r="I14" s="2" t="s">
        <v>755</v>
      </c>
      <c r="J14" s="2" t="s">
        <v>754</v>
      </c>
      <c r="K14" s="2" t="s">
        <v>753</v>
      </c>
      <c r="L14" s="6">
        <v>4</v>
      </c>
      <c r="M14" s="2" t="s">
        <v>752</v>
      </c>
      <c r="N14" s="7">
        <v>47.4</v>
      </c>
      <c r="O14" s="4">
        <v>189.6</v>
      </c>
      <c r="P14" s="4">
        <v>189.6</v>
      </c>
      <c r="Q14" s="6">
        <v>0</v>
      </c>
    </row>
    <row r="15" spans="1:17" x14ac:dyDescent="0.25">
      <c r="A15" s="2" t="s">
        <v>750</v>
      </c>
      <c r="B15" s="2" t="s">
        <v>87</v>
      </c>
      <c r="C15" s="2" t="s">
        <v>88</v>
      </c>
      <c r="D15" s="2" t="s">
        <v>758</v>
      </c>
      <c r="E15" s="2" t="s">
        <v>904</v>
      </c>
      <c r="F15" s="2" t="s">
        <v>903</v>
      </c>
      <c r="G15" s="3">
        <v>46027</v>
      </c>
      <c r="H15" s="2" t="s">
        <v>753</v>
      </c>
      <c r="I15" s="2" t="s">
        <v>755</v>
      </c>
      <c r="J15" s="2" t="s">
        <v>754</v>
      </c>
      <c r="K15" s="2" t="s">
        <v>753</v>
      </c>
      <c r="L15" s="6">
        <v>8</v>
      </c>
      <c r="M15" s="2" t="s">
        <v>752</v>
      </c>
      <c r="N15" s="7">
        <v>40.22</v>
      </c>
      <c r="O15" s="4">
        <v>321.76</v>
      </c>
      <c r="P15" s="4">
        <v>321.76</v>
      </c>
      <c r="Q15" s="6">
        <v>0</v>
      </c>
    </row>
    <row r="16" spans="1:17" x14ac:dyDescent="0.25">
      <c r="A16" s="2" t="s">
        <v>750</v>
      </c>
      <c r="B16" s="2" t="s">
        <v>87</v>
      </c>
      <c r="C16" s="2" t="s">
        <v>88</v>
      </c>
      <c r="D16" s="2" t="s">
        <v>758</v>
      </c>
      <c r="E16" s="2" t="s">
        <v>855</v>
      </c>
      <c r="F16" s="2" t="s">
        <v>854</v>
      </c>
      <c r="G16" s="3">
        <v>46027</v>
      </c>
      <c r="H16" s="2" t="s">
        <v>753</v>
      </c>
      <c r="I16" s="2" t="s">
        <v>755</v>
      </c>
      <c r="J16" s="2" t="s">
        <v>754</v>
      </c>
      <c r="K16" s="2" t="s">
        <v>753</v>
      </c>
      <c r="L16" s="6">
        <v>56</v>
      </c>
      <c r="M16" s="2" t="s">
        <v>752</v>
      </c>
      <c r="N16" s="7">
        <v>42.37</v>
      </c>
      <c r="O16" s="4">
        <v>2372.7199999999998</v>
      </c>
      <c r="P16" s="4">
        <v>2372.7199999999998</v>
      </c>
      <c r="Q16" s="6">
        <v>0</v>
      </c>
    </row>
    <row r="17" spans="1:17" x14ac:dyDescent="0.25">
      <c r="A17" s="2" t="s">
        <v>750</v>
      </c>
      <c r="B17" s="2" t="s">
        <v>87</v>
      </c>
      <c r="C17" s="2" t="s">
        <v>88</v>
      </c>
      <c r="D17" s="2" t="s">
        <v>758</v>
      </c>
      <c r="E17" s="2" t="s">
        <v>954</v>
      </c>
      <c r="F17" s="2" t="s">
        <v>953</v>
      </c>
      <c r="G17" s="3">
        <v>46027</v>
      </c>
      <c r="H17" s="2" t="s">
        <v>753</v>
      </c>
      <c r="I17" s="2" t="s">
        <v>755</v>
      </c>
      <c r="J17" s="2" t="s">
        <v>754</v>
      </c>
      <c r="K17" s="2" t="s">
        <v>753</v>
      </c>
      <c r="L17" s="6">
        <v>4</v>
      </c>
      <c r="M17" s="2" t="s">
        <v>752</v>
      </c>
      <c r="N17" s="7">
        <v>36.24</v>
      </c>
      <c r="O17" s="4">
        <v>144.96</v>
      </c>
      <c r="P17" s="4">
        <v>144.96</v>
      </c>
      <c r="Q17" s="6">
        <v>0</v>
      </c>
    </row>
    <row r="18" spans="1:17" x14ac:dyDescent="0.25">
      <c r="A18" s="2" t="s">
        <v>750</v>
      </c>
      <c r="B18" s="2" t="s">
        <v>87</v>
      </c>
      <c r="C18" s="2" t="s">
        <v>88</v>
      </c>
      <c r="D18" s="2" t="s">
        <v>758</v>
      </c>
      <c r="E18" s="2" t="s">
        <v>900</v>
      </c>
      <c r="F18" s="2" t="s">
        <v>899</v>
      </c>
      <c r="G18" s="3">
        <v>46027</v>
      </c>
      <c r="H18" s="2" t="s">
        <v>753</v>
      </c>
      <c r="I18" s="2" t="s">
        <v>755</v>
      </c>
      <c r="J18" s="2" t="s">
        <v>754</v>
      </c>
      <c r="K18" s="2" t="s">
        <v>753</v>
      </c>
      <c r="L18" s="6">
        <v>28</v>
      </c>
      <c r="M18" s="2" t="s">
        <v>752</v>
      </c>
      <c r="N18" s="7">
        <v>32.549999999999997</v>
      </c>
      <c r="O18" s="4">
        <v>911.4</v>
      </c>
      <c r="P18" s="4">
        <v>911.4</v>
      </c>
      <c r="Q18" s="6">
        <v>0</v>
      </c>
    </row>
    <row r="19" spans="1:17" x14ac:dyDescent="0.25">
      <c r="A19" s="2" t="s">
        <v>750</v>
      </c>
      <c r="B19" s="2" t="s">
        <v>87</v>
      </c>
      <c r="C19" s="2" t="s">
        <v>88</v>
      </c>
      <c r="D19" s="2" t="s">
        <v>758</v>
      </c>
      <c r="E19" s="2" t="s">
        <v>898</v>
      </c>
      <c r="F19" s="2" t="s">
        <v>897</v>
      </c>
      <c r="G19" s="3">
        <v>46027</v>
      </c>
      <c r="H19" s="2" t="s">
        <v>753</v>
      </c>
      <c r="I19" s="2" t="s">
        <v>755</v>
      </c>
      <c r="J19" s="2" t="s">
        <v>754</v>
      </c>
      <c r="K19" s="2" t="s">
        <v>753</v>
      </c>
      <c r="L19" s="6">
        <v>28</v>
      </c>
      <c r="M19" s="2" t="s">
        <v>752</v>
      </c>
      <c r="N19" s="7">
        <v>41.25</v>
      </c>
      <c r="O19" s="4">
        <v>1155</v>
      </c>
      <c r="P19" s="4">
        <v>1155</v>
      </c>
      <c r="Q19" s="6">
        <v>0</v>
      </c>
    </row>
    <row r="20" spans="1:17" x14ac:dyDescent="0.25">
      <c r="A20" s="2" t="s">
        <v>750</v>
      </c>
      <c r="B20" s="2" t="s">
        <v>87</v>
      </c>
      <c r="C20" s="2" t="s">
        <v>88</v>
      </c>
      <c r="D20" s="2" t="s">
        <v>758</v>
      </c>
      <c r="E20" s="2" t="s">
        <v>819</v>
      </c>
      <c r="F20" s="2" t="s">
        <v>818</v>
      </c>
      <c r="G20" s="3">
        <v>46027</v>
      </c>
      <c r="H20" s="2" t="s">
        <v>753</v>
      </c>
      <c r="I20" s="2" t="s">
        <v>755</v>
      </c>
      <c r="J20" s="2" t="s">
        <v>754</v>
      </c>
      <c r="K20" s="2" t="s">
        <v>753</v>
      </c>
      <c r="L20" s="6">
        <v>28</v>
      </c>
      <c r="M20" s="2" t="s">
        <v>752</v>
      </c>
      <c r="N20" s="7">
        <v>40.22</v>
      </c>
      <c r="O20" s="4">
        <v>1126.1600000000001</v>
      </c>
      <c r="P20" s="4">
        <v>1126.1600000000001</v>
      </c>
      <c r="Q20" s="6">
        <v>0</v>
      </c>
    </row>
    <row r="21" spans="1:17" x14ac:dyDescent="0.25">
      <c r="A21" s="2" t="s">
        <v>748</v>
      </c>
      <c r="B21" s="2" t="s">
        <v>171</v>
      </c>
      <c r="C21" s="2" t="s">
        <v>172</v>
      </c>
      <c r="D21" s="2" t="s">
        <v>758</v>
      </c>
      <c r="E21" s="2" t="s">
        <v>780</v>
      </c>
      <c r="F21" s="2" t="s">
        <v>779</v>
      </c>
      <c r="G21" s="3">
        <v>46027</v>
      </c>
      <c r="H21" s="2" t="s">
        <v>753</v>
      </c>
      <c r="I21" s="2" t="s">
        <v>755</v>
      </c>
      <c r="J21" s="2" t="s">
        <v>754</v>
      </c>
      <c r="K21" s="2" t="s">
        <v>753</v>
      </c>
      <c r="L21" s="6">
        <v>960</v>
      </c>
      <c r="M21" s="2" t="s">
        <v>752</v>
      </c>
      <c r="N21" s="7">
        <v>26.25</v>
      </c>
      <c r="O21" s="4">
        <v>25200</v>
      </c>
      <c r="P21" s="4">
        <v>25200</v>
      </c>
      <c r="Q21" s="6">
        <v>0</v>
      </c>
    </row>
    <row r="22" spans="1:17" x14ac:dyDescent="0.25">
      <c r="A22" s="2" t="s">
        <v>746</v>
      </c>
      <c r="B22" s="2" t="s">
        <v>295</v>
      </c>
      <c r="C22" s="2" t="s">
        <v>296</v>
      </c>
      <c r="D22" s="2" t="s">
        <v>758</v>
      </c>
      <c r="E22" s="2" t="s">
        <v>763</v>
      </c>
      <c r="F22" s="2" t="s">
        <v>762</v>
      </c>
      <c r="G22" s="3">
        <v>46027</v>
      </c>
      <c r="H22" s="2"/>
      <c r="I22" s="2" t="s">
        <v>755</v>
      </c>
      <c r="J22" s="2" t="s">
        <v>754</v>
      </c>
      <c r="K22" s="2" t="s">
        <v>753</v>
      </c>
      <c r="L22" s="6">
        <v>168</v>
      </c>
      <c r="M22" s="2" t="s">
        <v>752</v>
      </c>
      <c r="N22" s="7">
        <v>46.6</v>
      </c>
      <c r="O22" s="4">
        <v>7828.8</v>
      </c>
      <c r="P22" s="4">
        <v>7828.8</v>
      </c>
      <c r="Q22" s="6">
        <v>0</v>
      </c>
    </row>
    <row r="23" spans="1:17" x14ac:dyDescent="0.25">
      <c r="A23" s="2" t="s">
        <v>744</v>
      </c>
      <c r="B23" s="2" t="s">
        <v>227</v>
      </c>
      <c r="C23" s="2" t="s">
        <v>228</v>
      </c>
      <c r="D23" s="2" t="s">
        <v>758</v>
      </c>
      <c r="E23" s="2" t="s">
        <v>813</v>
      </c>
      <c r="F23" s="2" t="s">
        <v>812</v>
      </c>
      <c r="G23" s="3">
        <v>46027</v>
      </c>
      <c r="H23" s="2" t="s">
        <v>753</v>
      </c>
      <c r="I23" s="2" t="s">
        <v>755</v>
      </c>
      <c r="J23" s="2" t="s">
        <v>754</v>
      </c>
      <c r="K23" s="2" t="s">
        <v>753</v>
      </c>
      <c r="L23" s="6">
        <v>48</v>
      </c>
      <c r="M23" s="2" t="s">
        <v>752</v>
      </c>
      <c r="N23" s="7">
        <v>45</v>
      </c>
      <c r="O23" s="4">
        <v>2160</v>
      </c>
      <c r="P23" s="4">
        <v>2160</v>
      </c>
      <c r="Q23" s="6">
        <v>0</v>
      </c>
    </row>
    <row r="24" spans="1:17" x14ac:dyDescent="0.25">
      <c r="A24" s="2" t="s">
        <v>744</v>
      </c>
      <c r="B24" s="2" t="s">
        <v>227</v>
      </c>
      <c r="C24" s="2" t="s">
        <v>228</v>
      </c>
      <c r="D24" s="2" t="s">
        <v>758</v>
      </c>
      <c r="E24" s="2" t="s">
        <v>763</v>
      </c>
      <c r="F24" s="2" t="s">
        <v>762</v>
      </c>
      <c r="G24" s="3">
        <v>46027</v>
      </c>
      <c r="H24" s="2" t="s">
        <v>753</v>
      </c>
      <c r="I24" s="2" t="s">
        <v>755</v>
      </c>
      <c r="J24" s="2" t="s">
        <v>754</v>
      </c>
      <c r="K24" s="2" t="s">
        <v>753</v>
      </c>
      <c r="L24" s="6">
        <v>80</v>
      </c>
      <c r="M24" s="2" t="s">
        <v>752</v>
      </c>
      <c r="N24" s="7">
        <v>42.6</v>
      </c>
      <c r="O24" s="4">
        <v>3408</v>
      </c>
      <c r="P24" s="4">
        <v>3408</v>
      </c>
      <c r="Q24" s="6">
        <v>0</v>
      </c>
    </row>
    <row r="25" spans="1:17" x14ac:dyDescent="0.25">
      <c r="A25" s="2" t="s">
        <v>744</v>
      </c>
      <c r="B25" s="2" t="s">
        <v>227</v>
      </c>
      <c r="C25" s="2" t="s">
        <v>228</v>
      </c>
      <c r="D25" s="2" t="s">
        <v>758</v>
      </c>
      <c r="E25" s="2" t="s">
        <v>847</v>
      </c>
      <c r="F25" s="2" t="s">
        <v>846</v>
      </c>
      <c r="G25" s="3">
        <v>46027</v>
      </c>
      <c r="H25" s="2" t="s">
        <v>753</v>
      </c>
      <c r="I25" s="2" t="s">
        <v>755</v>
      </c>
      <c r="J25" s="2" t="s">
        <v>754</v>
      </c>
      <c r="K25" s="2" t="s">
        <v>753</v>
      </c>
      <c r="L25" s="6">
        <v>80</v>
      </c>
      <c r="M25" s="2" t="s">
        <v>752</v>
      </c>
      <c r="N25" s="7">
        <v>40</v>
      </c>
      <c r="O25" s="4">
        <v>3200</v>
      </c>
      <c r="P25" s="4">
        <v>3200</v>
      </c>
      <c r="Q25" s="6">
        <v>0</v>
      </c>
    </row>
    <row r="26" spans="1:17" x14ac:dyDescent="0.25">
      <c r="A26" s="2" t="s">
        <v>736</v>
      </c>
      <c r="B26" s="2" t="s">
        <v>199</v>
      </c>
      <c r="C26" s="2" t="s">
        <v>200</v>
      </c>
      <c r="D26" s="2" t="s">
        <v>758</v>
      </c>
      <c r="E26" s="2" t="s">
        <v>817</v>
      </c>
      <c r="F26" s="2" t="s">
        <v>937</v>
      </c>
      <c r="G26" s="3">
        <v>46029</v>
      </c>
      <c r="H26" s="2" t="s">
        <v>753</v>
      </c>
      <c r="I26" s="2" t="s">
        <v>755</v>
      </c>
      <c r="J26" s="2" t="s">
        <v>754</v>
      </c>
      <c r="K26" s="2" t="s">
        <v>753</v>
      </c>
      <c r="L26" s="6">
        <v>224</v>
      </c>
      <c r="M26" s="2" t="s">
        <v>752</v>
      </c>
      <c r="N26" s="7">
        <v>32.5</v>
      </c>
      <c r="O26" s="4">
        <v>7280</v>
      </c>
      <c r="P26" s="4">
        <v>7280</v>
      </c>
      <c r="Q26" s="6">
        <v>0</v>
      </c>
    </row>
    <row r="27" spans="1:17" x14ac:dyDescent="0.25">
      <c r="A27" s="2" t="s">
        <v>736</v>
      </c>
      <c r="B27" s="2" t="s">
        <v>199</v>
      </c>
      <c r="C27" s="2" t="s">
        <v>200</v>
      </c>
      <c r="D27" s="2" t="s">
        <v>758</v>
      </c>
      <c r="E27" s="2" t="s">
        <v>855</v>
      </c>
      <c r="F27" s="2" t="s">
        <v>854</v>
      </c>
      <c r="G27" s="3">
        <v>46029</v>
      </c>
      <c r="H27" s="2" t="s">
        <v>753</v>
      </c>
      <c r="I27" s="2" t="s">
        <v>755</v>
      </c>
      <c r="J27" s="2" t="s">
        <v>754</v>
      </c>
      <c r="K27" s="2" t="s">
        <v>753</v>
      </c>
      <c r="L27" s="6">
        <v>0</v>
      </c>
      <c r="M27" s="2" t="s">
        <v>752</v>
      </c>
      <c r="N27" s="7">
        <v>0</v>
      </c>
      <c r="O27" s="4">
        <v>0</v>
      </c>
      <c r="P27" s="4">
        <v>0</v>
      </c>
      <c r="Q27" s="6">
        <v>0</v>
      </c>
    </row>
    <row r="28" spans="1:17" x14ac:dyDescent="0.25">
      <c r="A28" s="2" t="s">
        <v>730</v>
      </c>
      <c r="B28" s="2" t="s">
        <v>513</v>
      </c>
      <c r="C28" s="2" t="s">
        <v>514</v>
      </c>
      <c r="D28" s="2" t="s">
        <v>758</v>
      </c>
      <c r="E28" s="2" t="s">
        <v>871</v>
      </c>
      <c r="F28" s="2" t="s">
        <v>1010</v>
      </c>
      <c r="G28" s="3">
        <v>46030</v>
      </c>
      <c r="H28" s="2" t="s">
        <v>753</v>
      </c>
      <c r="I28" s="2" t="s">
        <v>755</v>
      </c>
      <c r="J28" s="2" t="s">
        <v>754</v>
      </c>
      <c r="K28" s="2" t="s">
        <v>753</v>
      </c>
      <c r="L28" s="6">
        <v>60</v>
      </c>
      <c r="M28" s="2" t="s">
        <v>752</v>
      </c>
      <c r="N28" s="7">
        <v>41.66</v>
      </c>
      <c r="O28" s="4">
        <v>2499.6</v>
      </c>
      <c r="P28" s="4">
        <v>2499.6</v>
      </c>
      <c r="Q28" s="6">
        <v>0</v>
      </c>
    </row>
    <row r="29" spans="1:17" x14ac:dyDescent="0.25">
      <c r="A29" s="2" t="s">
        <v>730</v>
      </c>
      <c r="B29" s="2" t="s">
        <v>513</v>
      </c>
      <c r="C29" s="2" t="s">
        <v>514</v>
      </c>
      <c r="D29" s="2" t="s">
        <v>758</v>
      </c>
      <c r="E29" s="2" t="s">
        <v>918</v>
      </c>
      <c r="F29" s="2" t="s">
        <v>917</v>
      </c>
      <c r="G29" s="3">
        <v>46030</v>
      </c>
      <c r="H29" s="2" t="s">
        <v>753</v>
      </c>
      <c r="I29" s="2" t="s">
        <v>755</v>
      </c>
      <c r="J29" s="2" t="s">
        <v>754</v>
      </c>
      <c r="K29" s="2" t="s">
        <v>753</v>
      </c>
      <c r="L29" s="6">
        <v>8</v>
      </c>
      <c r="M29" s="2" t="s">
        <v>752</v>
      </c>
      <c r="N29" s="7">
        <v>42.53</v>
      </c>
      <c r="O29" s="4">
        <v>340.24</v>
      </c>
      <c r="P29" s="4">
        <v>340.24</v>
      </c>
      <c r="Q29" s="6">
        <v>0</v>
      </c>
    </row>
    <row r="30" spans="1:17" x14ac:dyDescent="0.25">
      <c r="A30" s="2" t="s">
        <v>730</v>
      </c>
      <c r="B30" s="2" t="s">
        <v>513</v>
      </c>
      <c r="C30" s="2" t="s">
        <v>514</v>
      </c>
      <c r="D30" s="2" t="s">
        <v>758</v>
      </c>
      <c r="E30" s="2" t="s">
        <v>778</v>
      </c>
      <c r="F30" s="2" t="s">
        <v>997</v>
      </c>
      <c r="G30" s="3">
        <v>46030</v>
      </c>
      <c r="H30" s="2" t="s">
        <v>753</v>
      </c>
      <c r="I30" s="2" t="s">
        <v>755</v>
      </c>
      <c r="J30" s="2" t="s">
        <v>754</v>
      </c>
      <c r="K30" s="2" t="s">
        <v>753</v>
      </c>
      <c r="L30" s="6">
        <v>8</v>
      </c>
      <c r="M30" s="2" t="s">
        <v>752</v>
      </c>
      <c r="N30" s="7">
        <v>39.96</v>
      </c>
      <c r="O30" s="4">
        <v>319.68</v>
      </c>
      <c r="P30" s="4">
        <v>319.68</v>
      </c>
      <c r="Q30" s="6">
        <v>0</v>
      </c>
    </row>
    <row r="31" spans="1:17" x14ac:dyDescent="0.25">
      <c r="A31" s="2" t="s">
        <v>730</v>
      </c>
      <c r="B31" s="2" t="s">
        <v>513</v>
      </c>
      <c r="C31" s="2" t="s">
        <v>514</v>
      </c>
      <c r="D31" s="2" t="s">
        <v>758</v>
      </c>
      <c r="E31" s="2" t="s">
        <v>823</v>
      </c>
      <c r="F31" s="2" t="s">
        <v>822</v>
      </c>
      <c r="G31" s="3">
        <v>46030</v>
      </c>
      <c r="H31" s="2" t="s">
        <v>753</v>
      </c>
      <c r="I31" s="2" t="s">
        <v>755</v>
      </c>
      <c r="J31" s="2" t="s">
        <v>754</v>
      </c>
      <c r="K31" s="2" t="s">
        <v>753</v>
      </c>
      <c r="L31" s="6">
        <v>60</v>
      </c>
      <c r="M31" s="2" t="s">
        <v>752</v>
      </c>
      <c r="N31" s="7">
        <v>52</v>
      </c>
      <c r="O31" s="4">
        <v>3120</v>
      </c>
      <c r="P31" s="4">
        <v>3120</v>
      </c>
      <c r="Q31" s="6">
        <v>0</v>
      </c>
    </row>
    <row r="32" spans="1:17" x14ac:dyDescent="0.25">
      <c r="A32" s="2" t="s">
        <v>694</v>
      </c>
      <c r="B32" s="2" t="s">
        <v>25</v>
      </c>
      <c r="C32" s="2" t="s">
        <v>26</v>
      </c>
      <c r="D32" s="2" t="s">
        <v>758</v>
      </c>
      <c r="E32" s="2" t="s">
        <v>827</v>
      </c>
      <c r="F32" s="2" t="s">
        <v>826</v>
      </c>
      <c r="G32" s="3">
        <v>46044</v>
      </c>
      <c r="H32" s="2" t="s">
        <v>753</v>
      </c>
      <c r="I32" s="2" t="s">
        <v>755</v>
      </c>
      <c r="J32" s="2" t="s">
        <v>754</v>
      </c>
      <c r="K32" s="2" t="s">
        <v>753</v>
      </c>
      <c r="L32" s="6">
        <v>16</v>
      </c>
      <c r="M32" s="2" t="s">
        <v>752</v>
      </c>
      <c r="N32" s="7">
        <v>41.85</v>
      </c>
      <c r="O32" s="4">
        <v>669.6</v>
      </c>
      <c r="P32" s="4">
        <v>669.6</v>
      </c>
      <c r="Q32" s="6">
        <v>0</v>
      </c>
    </row>
    <row r="33" spans="1:17" x14ac:dyDescent="0.25">
      <c r="A33" s="2" t="s">
        <v>694</v>
      </c>
      <c r="B33" s="2" t="s">
        <v>25</v>
      </c>
      <c r="C33" s="2" t="s">
        <v>26</v>
      </c>
      <c r="D33" s="2" t="s">
        <v>758</v>
      </c>
      <c r="E33" s="2" t="s">
        <v>825</v>
      </c>
      <c r="F33" s="2" t="s">
        <v>989</v>
      </c>
      <c r="G33" s="3">
        <v>46044</v>
      </c>
      <c r="H33" s="2" t="s">
        <v>753</v>
      </c>
      <c r="I33" s="2" t="s">
        <v>755</v>
      </c>
      <c r="J33" s="2" t="s">
        <v>754</v>
      </c>
      <c r="K33" s="2" t="s">
        <v>753</v>
      </c>
      <c r="L33" s="6">
        <v>4</v>
      </c>
      <c r="M33" s="2" t="s">
        <v>752</v>
      </c>
      <c r="N33" s="7">
        <v>47.2</v>
      </c>
      <c r="O33" s="4">
        <v>188.8</v>
      </c>
      <c r="P33" s="4">
        <v>188.8</v>
      </c>
      <c r="Q33" s="6">
        <v>0</v>
      </c>
    </row>
    <row r="34" spans="1:17" x14ac:dyDescent="0.25">
      <c r="A34" s="2" t="s">
        <v>694</v>
      </c>
      <c r="B34" s="2" t="s">
        <v>25</v>
      </c>
      <c r="C34" s="2" t="s">
        <v>26</v>
      </c>
      <c r="D34" s="2" t="s">
        <v>758</v>
      </c>
      <c r="E34" s="2" t="s">
        <v>823</v>
      </c>
      <c r="F34" s="2" t="s">
        <v>822</v>
      </c>
      <c r="G34" s="3">
        <v>46044</v>
      </c>
      <c r="H34" s="2" t="s">
        <v>753</v>
      </c>
      <c r="I34" s="2" t="s">
        <v>755</v>
      </c>
      <c r="J34" s="2" t="s">
        <v>754</v>
      </c>
      <c r="K34" s="2" t="s">
        <v>753</v>
      </c>
      <c r="L34" s="6">
        <v>48</v>
      </c>
      <c r="M34" s="2" t="s">
        <v>752</v>
      </c>
      <c r="N34" s="7">
        <v>52</v>
      </c>
      <c r="O34" s="4">
        <v>2496</v>
      </c>
      <c r="P34" s="4">
        <v>2496</v>
      </c>
      <c r="Q34" s="6">
        <v>0</v>
      </c>
    </row>
    <row r="35" spans="1:17" x14ac:dyDescent="0.25">
      <c r="A35" s="2" t="s">
        <v>694</v>
      </c>
      <c r="B35" s="2" t="s">
        <v>25</v>
      </c>
      <c r="C35" s="2" t="s">
        <v>26</v>
      </c>
      <c r="D35" s="2" t="s">
        <v>758</v>
      </c>
      <c r="E35" s="2" t="s">
        <v>879</v>
      </c>
      <c r="F35" s="2" t="s">
        <v>878</v>
      </c>
      <c r="G35" s="3">
        <v>46044</v>
      </c>
      <c r="H35" s="2" t="s">
        <v>753</v>
      </c>
      <c r="I35" s="2" t="s">
        <v>755</v>
      </c>
      <c r="J35" s="2" t="s">
        <v>754</v>
      </c>
      <c r="K35" s="2" t="s">
        <v>753</v>
      </c>
      <c r="L35" s="6">
        <v>16</v>
      </c>
      <c r="M35" s="2" t="s">
        <v>752</v>
      </c>
      <c r="N35" s="7">
        <v>38.9</v>
      </c>
      <c r="O35" s="4">
        <v>622.4</v>
      </c>
      <c r="P35" s="4">
        <v>622.4</v>
      </c>
      <c r="Q35" s="6">
        <v>0</v>
      </c>
    </row>
    <row r="36" spans="1:17" x14ac:dyDescent="0.25">
      <c r="A36" s="2" t="s">
        <v>694</v>
      </c>
      <c r="B36" s="2" t="s">
        <v>25</v>
      </c>
      <c r="C36" s="2" t="s">
        <v>26</v>
      </c>
      <c r="D36" s="2" t="s">
        <v>758</v>
      </c>
      <c r="E36" s="2" t="s">
        <v>763</v>
      </c>
      <c r="F36" s="2" t="s">
        <v>762</v>
      </c>
      <c r="G36" s="3">
        <v>46044</v>
      </c>
      <c r="H36" s="2" t="s">
        <v>753</v>
      </c>
      <c r="I36" s="2" t="s">
        <v>755</v>
      </c>
      <c r="J36" s="2" t="s">
        <v>754</v>
      </c>
      <c r="K36" s="2" t="s">
        <v>753</v>
      </c>
      <c r="L36" s="6">
        <v>24</v>
      </c>
      <c r="M36" s="2" t="s">
        <v>752</v>
      </c>
      <c r="N36" s="7">
        <v>43.5</v>
      </c>
      <c r="O36" s="4">
        <v>1044</v>
      </c>
      <c r="P36" s="4">
        <v>1044</v>
      </c>
      <c r="Q36" s="6">
        <v>0</v>
      </c>
    </row>
    <row r="37" spans="1:17" x14ac:dyDescent="0.25">
      <c r="A37" s="2" t="s">
        <v>694</v>
      </c>
      <c r="B37" s="2" t="s">
        <v>25</v>
      </c>
      <c r="C37" s="2" t="s">
        <v>26</v>
      </c>
      <c r="D37" s="2" t="s">
        <v>758</v>
      </c>
      <c r="E37" s="2" t="s">
        <v>819</v>
      </c>
      <c r="F37" s="2" t="s">
        <v>818</v>
      </c>
      <c r="G37" s="3">
        <v>46044</v>
      </c>
      <c r="H37" s="2" t="s">
        <v>753</v>
      </c>
      <c r="I37" s="2" t="s">
        <v>755</v>
      </c>
      <c r="J37" s="2" t="s">
        <v>754</v>
      </c>
      <c r="K37" s="2" t="s">
        <v>753</v>
      </c>
      <c r="L37" s="6">
        <v>32</v>
      </c>
      <c r="M37" s="2" t="s">
        <v>752</v>
      </c>
      <c r="N37" s="7">
        <v>38.25</v>
      </c>
      <c r="O37" s="4">
        <v>1224</v>
      </c>
      <c r="P37" s="4">
        <v>1224</v>
      </c>
      <c r="Q37" s="6">
        <v>0</v>
      </c>
    </row>
    <row r="38" spans="1:17" x14ac:dyDescent="0.25">
      <c r="A38" s="2" t="s">
        <v>694</v>
      </c>
      <c r="B38" s="2" t="s">
        <v>25</v>
      </c>
      <c r="C38" s="2" t="s">
        <v>26</v>
      </c>
      <c r="D38" s="2" t="s">
        <v>758</v>
      </c>
      <c r="E38" s="2" t="s">
        <v>821</v>
      </c>
      <c r="F38" s="2" t="s">
        <v>820</v>
      </c>
      <c r="G38" s="3">
        <v>46044</v>
      </c>
      <c r="H38" s="2" t="s">
        <v>753</v>
      </c>
      <c r="I38" s="2" t="s">
        <v>755</v>
      </c>
      <c r="J38" s="2" t="s">
        <v>754</v>
      </c>
      <c r="K38" s="2" t="s">
        <v>753</v>
      </c>
      <c r="L38" s="6">
        <v>16</v>
      </c>
      <c r="M38" s="2" t="s">
        <v>752</v>
      </c>
      <c r="N38" s="7">
        <v>52</v>
      </c>
      <c r="O38" s="4">
        <v>832</v>
      </c>
      <c r="P38" s="4">
        <v>832</v>
      </c>
      <c r="Q38" s="6">
        <v>0</v>
      </c>
    </row>
    <row r="39" spans="1:17" x14ac:dyDescent="0.25">
      <c r="A39" s="2" t="s">
        <v>734</v>
      </c>
      <c r="B39" s="2" t="s">
        <v>119</v>
      </c>
      <c r="C39" s="2" t="s">
        <v>120</v>
      </c>
      <c r="D39" s="2" t="s">
        <v>758</v>
      </c>
      <c r="E39" s="2" t="s">
        <v>912</v>
      </c>
      <c r="F39" s="2" t="s">
        <v>911</v>
      </c>
      <c r="G39" s="3">
        <v>46029</v>
      </c>
      <c r="H39" s="2" t="s">
        <v>753</v>
      </c>
      <c r="I39" s="2" t="s">
        <v>755</v>
      </c>
      <c r="J39" s="2" t="s">
        <v>754</v>
      </c>
      <c r="K39" s="2" t="s">
        <v>753</v>
      </c>
      <c r="L39" s="6">
        <v>12</v>
      </c>
      <c r="M39" s="2" t="s">
        <v>752</v>
      </c>
      <c r="N39" s="7">
        <v>55.13</v>
      </c>
      <c r="O39" s="4">
        <v>661.56</v>
      </c>
      <c r="P39" s="4">
        <v>661.56</v>
      </c>
      <c r="Q39" s="6">
        <v>0</v>
      </c>
    </row>
    <row r="40" spans="1:17" x14ac:dyDescent="0.25">
      <c r="A40" s="2" t="s">
        <v>734</v>
      </c>
      <c r="B40" s="2" t="s">
        <v>119</v>
      </c>
      <c r="C40" s="2" t="s">
        <v>120</v>
      </c>
      <c r="D40" s="2" t="s">
        <v>758</v>
      </c>
      <c r="E40" s="2" t="s">
        <v>776</v>
      </c>
      <c r="F40" s="2" t="s">
        <v>775</v>
      </c>
      <c r="G40" s="3">
        <v>46029</v>
      </c>
      <c r="H40" s="2" t="s">
        <v>753</v>
      </c>
      <c r="I40" s="2" t="s">
        <v>755</v>
      </c>
      <c r="J40" s="2" t="s">
        <v>754</v>
      </c>
      <c r="K40" s="2" t="s">
        <v>753</v>
      </c>
      <c r="L40" s="6">
        <v>44</v>
      </c>
      <c r="M40" s="2" t="s">
        <v>752</v>
      </c>
      <c r="N40" s="7">
        <v>43.82</v>
      </c>
      <c r="O40" s="4">
        <v>1928.08</v>
      </c>
      <c r="P40" s="4">
        <v>1928.08</v>
      </c>
      <c r="Q40" s="6">
        <v>0</v>
      </c>
    </row>
    <row r="41" spans="1:17" x14ac:dyDescent="0.25">
      <c r="A41" s="2" t="s">
        <v>734</v>
      </c>
      <c r="B41" s="2" t="s">
        <v>119</v>
      </c>
      <c r="C41" s="2" t="s">
        <v>120</v>
      </c>
      <c r="D41" s="2" t="s">
        <v>758</v>
      </c>
      <c r="E41" s="2" t="s">
        <v>813</v>
      </c>
      <c r="F41" s="2" t="s">
        <v>812</v>
      </c>
      <c r="G41" s="3">
        <v>46029</v>
      </c>
      <c r="H41" s="2" t="s">
        <v>753</v>
      </c>
      <c r="I41" s="2" t="s">
        <v>755</v>
      </c>
      <c r="J41" s="2" t="s">
        <v>754</v>
      </c>
      <c r="K41" s="2" t="s">
        <v>753</v>
      </c>
      <c r="L41" s="6">
        <v>8</v>
      </c>
      <c r="M41" s="2" t="s">
        <v>752</v>
      </c>
      <c r="N41" s="7">
        <v>53</v>
      </c>
      <c r="O41" s="4">
        <v>424</v>
      </c>
      <c r="P41" s="4">
        <v>424</v>
      </c>
      <c r="Q41" s="6">
        <v>0</v>
      </c>
    </row>
    <row r="42" spans="1:17" x14ac:dyDescent="0.25">
      <c r="A42" s="2" t="s">
        <v>734</v>
      </c>
      <c r="B42" s="2" t="s">
        <v>119</v>
      </c>
      <c r="C42" s="2" t="s">
        <v>120</v>
      </c>
      <c r="D42" s="2" t="s">
        <v>758</v>
      </c>
      <c r="E42" s="2" t="s">
        <v>786</v>
      </c>
      <c r="F42" s="2" t="s">
        <v>785</v>
      </c>
      <c r="G42" s="3">
        <v>46029</v>
      </c>
      <c r="H42" s="2" t="s">
        <v>753</v>
      </c>
      <c r="I42" s="2" t="s">
        <v>755</v>
      </c>
      <c r="J42" s="2" t="s">
        <v>754</v>
      </c>
      <c r="K42" s="2" t="s">
        <v>753</v>
      </c>
      <c r="L42" s="6">
        <v>60</v>
      </c>
      <c r="M42" s="2" t="s">
        <v>752</v>
      </c>
      <c r="N42" s="7">
        <v>35</v>
      </c>
      <c r="O42" s="4">
        <v>2100</v>
      </c>
      <c r="P42" s="4">
        <v>2100</v>
      </c>
      <c r="Q42" s="6">
        <v>0</v>
      </c>
    </row>
    <row r="43" spans="1:17" x14ac:dyDescent="0.25">
      <c r="A43" s="2" t="s">
        <v>734</v>
      </c>
      <c r="B43" s="2" t="s">
        <v>119</v>
      </c>
      <c r="C43" s="2" t="s">
        <v>120</v>
      </c>
      <c r="D43" s="2" t="s">
        <v>758</v>
      </c>
      <c r="E43" s="2" t="s">
        <v>914</v>
      </c>
      <c r="F43" s="2" t="s">
        <v>913</v>
      </c>
      <c r="G43" s="3">
        <v>46029</v>
      </c>
      <c r="H43" s="2" t="s">
        <v>753</v>
      </c>
      <c r="I43" s="2" t="s">
        <v>755</v>
      </c>
      <c r="J43" s="2" t="s">
        <v>754</v>
      </c>
      <c r="K43" s="2" t="s">
        <v>753</v>
      </c>
      <c r="L43" s="6">
        <v>4</v>
      </c>
      <c r="M43" s="2" t="s">
        <v>752</v>
      </c>
      <c r="N43" s="7">
        <v>41.6</v>
      </c>
      <c r="O43" s="4">
        <v>166.4</v>
      </c>
      <c r="P43" s="4">
        <v>166.4</v>
      </c>
      <c r="Q43" s="6">
        <v>0</v>
      </c>
    </row>
    <row r="44" spans="1:17" x14ac:dyDescent="0.25">
      <c r="A44" s="2" t="s">
        <v>734</v>
      </c>
      <c r="B44" s="2" t="s">
        <v>119</v>
      </c>
      <c r="C44" s="2" t="s">
        <v>120</v>
      </c>
      <c r="D44" s="2" t="s">
        <v>758</v>
      </c>
      <c r="E44" s="2" t="s">
        <v>845</v>
      </c>
      <c r="F44" s="2" t="s">
        <v>844</v>
      </c>
      <c r="G44" s="3">
        <v>46029</v>
      </c>
      <c r="H44" s="2" t="s">
        <v>753</v>
      </c>
      <c r="I44" s="2" t="s">
        <v>755</v>
      </c>
      <c r="J44" s="2" t="s">
        <v>754</v>
      </c>
      <c r="K44" s="2" t="s">
        <v>753</v>
      </c>
      <c r="L44" s="6">
        <v>40</v>
      </c>
      <c r="M44" s="2" t="s">
        <v>752</v>
      </c>
      <c r="N44" s="7">
        <v>40.619999999999997</v>
      </c>
      <c r="O44" s="4">
        <v>1624.8</v>
      </c>
      <c r="P44" s="4">
        <v>1624.8</v>
      </c>
      <c r="Q44" s="6">
        <v>0</v>
      </c>
    </row>
    <row r="45" spans="1:17" x14ac:dyDescent="0.25">
      <c r="A45" s="2" t="s">
        <v>734</v>
      </c>
      <c r="B45" s="2" t="s">
        <v>119</v>
      </c>
      <c r="C45" s="2" t="s">
        <v>120</v>
      </c>
      <c r="D45" s="2" t="s">
        <v>758</v>
      </c>
      <c r="E45" s="2" t="s">
        <v>916</v>
      </c>
      <c r="F45" s="2" t="s">
        <v>915</v>
      </c>
      <c r="G45" s="3">
        <v>46029</v>
      </c>
      <c r="H45" s="2" t="s">
        <v>753</v>
      </c>
      <c r="I45" s="2" t="s">
        <v>755</v>
      </c>
      <c r="J45" s="2" t="s">
        <v>754</v>
      </c>
      <c r="K45" s="2" t="s">
        <v>753</v>
      </c>
      <c r="L45" s="6">
        <v>12</v>
      </c>
      <c r="M45" s="2" t="s">
        <v>752</v>
      </c>
      <c r="N45" s="7">
        <v>40.78</v>
      </c>
      <c r="O45" s="4">
        <v>489.36</v>
      </c>
      <c r="P45" s="4">
        <v>489.36</v>
      </c>
      <c r="Q45" s="6">
        <v>0</v>
      </c>
    </row>
    <row r="46" spans="1:17" x14ac:dyDescent="0.25">
      <c r="A46" s="2" t="s">
        <v>734</v>
      </c>
      <c r="B46" s="2" t="s">
        <v>119</v>
      </c>
      <c r="C46" s="2" t="s">
        <v>120</v>
      </c>
      <c r="D46" s="2" t="s">
        <v>758</v>
      </c>
      <c r="E46" s="2" t="s">
        <v>847</v>
      </c>
      <c r="F46" s="2" t="s">
        <v>846</v>
      </c>
      <c r="G46" s="3">
        <v>46029</v>
      </c>
      <c r="H46" s="2" t="s">
        <v>753</v>
      </c>
      <c r="I46" s="2" t="s">
        <v>755</v>
      </c>
      <c r="J46" s="2" t="s">
        <v>754</v>
      </c>
      <c r="K46" s="2" t="s">
        <v>753</v>
      </c>
      <c r="L46" s="6">
        <v>84</v>
      </c>
      <c r="M46" s="2" t="s">
        <v>752</v>
      </c>
      <c r="N46" s="7">
        <v>38.75</v>
      </c>
      <c r="O46" s="4">
        <v>3255</v>
      </c>
      <c r="P46" s="4">
        <v>3255</v>
      </c>
      <c r="Q46" s="6">
        <v>0</v>
      </c>
    </row>
    <row r="47" spans="1:17" x14ac:dyDescent="0.25">
      <c r="A47" s="2" t="s">
        <v>734</v>
      </c>
      <c r="B47" s="2" t="s">
        <v>119</v>
      </c>
      <c r="C47" s="2" t="s">
        <v>120</v>
      </c>
      <c r="D47" s="2" t="s">
        <v>758</v>
      </c>
      <c r="E47" s="2" t="s">
        <v>757</v>
      </c>
      <c r="F47" s="2" t="s">
        <v>756</v>
      </c>
      <c r="G47" s="3">
        <v>46029</v>
      </c>
      <c r="H47" s="2" t="s">
        <v>753</v>
      </c>
      <c r="I47" s="2" t="s">
        <v>755</v>
      </c>
      <c r="J47" s="2" t="s">
        <v>754</v>
      </c>
      <c r="K47" s="2" t="s">
        <v>753</v>
      </c>
      <c r="L47" s="6">
        <v>16</v>
      </c>
      <c r="M47" s="2" t="s">
        <v>752</v>
      </c>
      <c r="N47" s="7">
        <v>42.11</v>
      </c>
      <c r="O47" s="4">
        <v>673.76</v>
      </c>
      <c r="P47" s="4">
        <v>673.76</v>
      </c>
      <c r="Q47" s="6">
        <v>0</v>
      </c>
    </row>
    <row r="48" spans="1:17" x14ac:dyDescent="0.25">
      <c r="A48" s="2" t="s">
        <v>734</v>
      </c>
      <c r="B48" s="2" t="s">
        <v>119</v>
      </c>
      <c r="C48" s="2" t="s">
        <v>120</v>
      </c>
      <c r="D48" s="2" t="s">
        <v>758</v>
      </c>
      <c r="E48" s="2" t="s">
        <v>831</v>
      </c>
      <c r="F48" s="2" t="s">
        <v>830</v>
      </c>
      <c r="G48" s="3">
        <v>46029</v>
      </c>
      <c r="H48" s="2" t="s">
        <v>753</v>
      </c>
      <c r="I48" s="2" t="s">
        <v>755</v>
      </c>
      <c r="J48" s="2" t="s">
        <v>754</v>
      </c>
      <c r="K48" s="2" t="s">
        <v>753</v>
      </c>
      <c r="L48" s="6">
        <v>8</v>
      </c>
      <c r="M48" s="2" t="s">
        <v>752</v>
      </c>
      <c r="N48" s="7">
        <v>56</v>
      </c>
      <c r="O48" s="4">
        <v>448</v>
      </c>
      <c r="P48" s="4">
        <v>448</v>
      </c>
      <c r="Q48" s="6">
        <v>0</v>
      </c>
    </row>
    <row r="49" spans="1:17" x14ac:dyDescent="0.25">
      <c r="A49" s="2" t="s">
        <v>734</v>
      </c>
      <c r="B49" s="2" t="s">
        <v>119</v>
      </c>
      <c r="C49" s="2" t="s">
        <v>120</v>
      </c>
      <c r="D49" s="2" t="s">
        <v>758</v>
      </c>
      <c r="E49" s="2" t="s">
        <v>936</v>
      </c>
      <c r="F49" s="2" t="s">
        <v>935</v>
      </c>
      <c r="G49" s="3">
        <v>46029</v>
      </c>
      <c r="H49" s="2" t="s">
        <v>753</v>
      </c>
      <c r="I49" s="2" t="s">
        <v>755</v>
      </c>
      <c r="J49" s="2" t="s">
        <v>754</v>
      </c>
      <c r="K49" s="2" t="s">
        <v>753</v>
      </c>
      <c r="L49" s="6">
        <v>8</v>
      </c>
      <c r="M49" s="2" t="s">
        <v>752</v>
      </c>
      <c r="N49" s="7">
        <v>37</v>
      </c>
      <c r="O49" s="4">
        <v>296</v>
      </c>
      <c r="P49" s="4">
        <v>296</v>
      </c>
      <c r="Q49" s="6">
        <v>0</v>
      </c>
    </row>
    <row r="50" spans="1:17" x14ac:dyDescent="0.25">
      <c r="A50" s="2" t="s">
        <v>734</v>
      </c>
      <c r="B50" s="2" t="s">
        <v>119</v>
      </c>
      <c r="C50" s="2" t="s">
        <v>120</v>
      </c>
      <c r="D50" s="2" t="s">
        <v>758</v>
      </c>
      <c r="E50" s="2" t="s">
        <v>807</v>
      </c>
      <c r="F50" s="2" t="s">
        <v>806</v>
      </c>
      <c r="G50" s="3">
        <v>46029</v>
      </c>
      <c r="H50" s="2" t="s">
        <v>753</v>
      </c>
      <c r="I50" s="2" t="s">
        <v>755</v>
      </c>
      <c r="J50" s="2" t="s">
        <v>754</v>
      </c>
      <c r="K50" s="2" t="s">
        <v>753</v>
      </c>
      <c r="L50" s="6">
        <v>8</v>
      </c>
      <c r="M50" s="2" t="s">
        <v>752</v>
      </c>
      <c r="N50" s="7">
        <v>44.65</v>
      </c>
      <c r="O50" s="4">
        <v>357.2</v>
      </c>
      <c r="P50" s="4">
        <v>357.2</v>
      </c>
      <c r="Q50" s="6">
        <v>0</v>
      </c>
    </row>
    <row r="51" spans="1:17" x14ac:dyDescent="0.25">
      <c r="A51" s="2" t="s">
        <v>742</v>
      </c>
      <c r="B51" s="2" t="s">
        <v>29</v>
      </c>
      <c r="C51" s="2" t="s">
        <v>30</v>
      </c>
      <c r="D51" s="2" t="s">
        <v>758</v>
      </c>
      <c r="E51" s="2" t="s">
        <v>780</v>
      </c>
      <c r="F51" s="2" t="s">
        <v>779</v>
      </c>
      <c r="G51" s="3">
        <v>46027</v>
      </c>
      <c r="H51" s="2" t="s">
        <v>753</v>
      </c>
      <c r="I51" s="2" t="s">
        <v>755</v>
      </c>
      <c r="J51" s="2" t="s">
        <v>754</v>
      </c>
      <c r="K51" s="2" t="s">
        <v>753</v>
      </c>
      <c r="L51" s="6">
        <v>8</v>
      </c>
      <c r="M51" s="2" t="s">
        <v>752</v>
      </c>
      <c r="N51" s="7">
        <v>36.5</v>
      </c>
      <c r="O51" s="4">
        <v>292</v>
      </c>
      <c r="P51" s="4">
        <v>292</v>
      </c>
      <c r="Q51" s="6">
        <v>0</v>
      </c>
    </row>
    <row r="52" spans="1:17" x14ac:dyDescent="0.25">
      <c r="A52" s="2" t="s">
        <v>742</v>
      </c>
      <c r="B52" s="2" t="s">
        <v>29</v>
      </c>
      <c r="C52" s="2" t="s">
        <v>30</v>
      </c>
      <c r="D52" s="2" t="s">
        <v>758</v>
      </c>
      <c r="E52" s="2" t="s">
        <v>817</v>
      </c>
      <c r="F52" s="2" t="s">
        <v>937</v>
      </c>
      <c r="G52" s="3">
        <v>46027</v>
      </c>
      <c r="H52" s="2" t="s">
        <v>753</v>
      </c>
      <c r="I52" s="2" t="s">
        <v>755</v>
      </c>
      <c r="J52" s="2" t="s">
        <v>754</v>
      </c>
      <c r="K52" s="2" t="s">
        <v>753</v>
      </c>
      <c r="L52" s="6">
        <v>56</v>
      </c>
      <c r="M52" s="2" t="s">
        <v>752</v>
      </c>
      <c r="N52" s="7">
        <v>31.42</v>
      </c>
      <c r="O52" s="4">
        <v>1759.52</v>
      </c>
      <c r="P52" s="4">
        <v>1759.52</v>
      </c>
      <c r="Q52" s="6">
        <v>0</v>
      </c>
    </row>
    <row r="53" spans="1:17" x14ac:dyDescent="0.25">
      <c r="A53" s="2" t="s">
        <v>742</v>
      </c>
      <c r="B53" s="2" t="s">
        <v>29</v>
      </c>
      <c r="C53" s="2" t="s">
        <v>30</v>
      </c>
      <c r="D53" s="2" t="s">
        <v>758</v>
      </c>
      <c r="E53" s="2" t="s">
        <v>815</v>
      </c>
      <c r="F53" s="2" t="s">
        <v>814</v>
      </c>
      <c r="G53" s="3">
        <v>46027</v>
      </c>
      <c r="H53" s="2" t="s">
        <v>753</v>
      </c>
      <c r="I53" s="2" t="s">
        <v>755</v>
      </c>
      <c r="J53" s="2" t="s">
        <v>754</v>
      </c>
      <c r="K53" s="2" t="s">
        <v>753</v>
      </c>
      <c r="L53" s="6">
        <v>196</v>
      </c>
      <c r="M53" s="2" t="s">
        <v>752</v>
      </c>
      <c r="N53" s="7">
        <v>34</v>
      </c>
      <c r="O53" s="4">
        <v>6664</v>
      </c>
      <c r="P53" s="4">
        <v>6664</v>
      </c>
      <c r="Q53" s="6">
        <v>0</v>
      </c>
    </row>
    <row r="54" spans="1:17" x14ac:dyDescent="0.25">
      <c r="A54" s="2" t="s">
        <v>742</v>
      </c>
      <c r="B54" s="2" t="s">
        <v>29</v>
      </c>
      <c r="C54" s="2" t="s">
        <v>30</v>
      </c>
      <c r="D54" s="2" t="s">
        <v>758</v>
      </c>
      <c r="E54" s="2" t="s">
        <v>805</v>
      </c>
      <c r="F54" s="2" t="s">
        <v>804</v>
      </c>
      <c r="G54" s="3">
        <v>46027</v>
      </c>
      <c r="H54" s="2" t="s">
        <v>753</v>
      </c>
      <c r="I54" s="2" t="s">
        <v>755</v>
      </c>
      <c r="J54" s="2" t="s">
        <v>754</v>
      </c>
      <c r="K54" s="2" t="s">
        <v>753</v>
      </c>
      <c r="L54" s="6">
        <v>40</v>
      </c>
      <c r="M54" s="2" t="s">
        <v>752</v>
      </c>
      <c r="N54" s="7">
        <v>41</v>
      </c>
      <c r="O54" s="4">
        <v>1640</v>
      </c>
      <c r="P54" s="4">
        <v>1640</v>
      </c>
      <c r="Q54" s="6">
        <v>0</v>
      </c>
    </row>
    <row r="55" spans="1:17" x14ac:dyDescent="0.25">
      <c r="A55" s="2" t="s">
        <v>742</v>
      </c>
      <c r="B55" s="2" t="s">
        <v>29</v>
      </c>
      <c r="C55" s="2" t="s">
        <v>30</v>
      </c>
      <c r="D55" s="2" t="s">
        <v>758</v>
      </c>
      <c r="E55" s="2" t="s">
        <v>763</v>
      </c>
      <c r="F55" s="2" t="s">
        <v>762</v>
      </c>
      <c r="G55" s="3">
        <v>46027</v>
      </c>
      <c r="H55" s="2" t="s">
        <v>753</v>
      </c>
      <c r="I55" s="2" t="s">
        <v>755</v>
      </c>
      <c r="J55" s="2" t="s">
        <v>754</v>
      </c>
      <c r="K55" s="2" t="s">
        <v>753</v>
      </c>
      <c r="L55" s="6">
        <v>112</v>
      </c>
      <c r="M55" s="2" t="s">
        <v>752</v>
      </c>
      <c r="N55" s="7">
        <v>43.36</v>
      </c>
      <c r="O55" s="4">
        <v>4856.32</v>
      </c>
      <c r="P55" s="4">
        <v>4856.32</v>
      </c>
      <c r="Q55" s="6">
        <v>0</v>
      </c>
    </row>
    <row r="56" spans="1:17" x14ac:dyDescent="0.25">
      <c r="A56" s="2" t="s">
        <v>742</v>
      </c>
      <c r="B56" s="2" t="s">
        <v>29</v>
      </c>
      <c r="C56" s="2" t="s">
        <v>30</v>
      </c>
      <c r="D56" s="2" t="s">
        <v>758</v>
      </c>
      <c r="E56" s="2" t="s">
        <v>813</v>
      </c>
      <c r="F56" s="2" t="s">
        <v>812</v>
      </c>
      <c r="G56" s="3">
        <v>46027</v>
      </c>
      <c r="H56" s="2" t="s">
        <v>753</v>
      </c>
      <c r="I56" s="2" t="s">
        <v>755</v>
      </c>
      <c r="J56" s="2" t="s">
        <v>754</v>
      </c>
      <c r="K56" s="2" t="s">
        <v>753</v>
      </c>
      <c r="L56" s="6">
        <v>12</v>
      </c>
      <c r="M56" s="2" t="s">
        <v>752</v>
      </c>
      <c r="N56" s="7">
        <v>43.26</v>
      </c>
      <c r="O56" s="4">
        <v>519.12</v>
      </c>
      <c r="P56" s="4">
        <v>519.12</v>
      </c>
      <c r="Q56" s="6">
        <v>0</v>
      </c>
    </row>
    <row r="57" spans="1:17" x14ac:dyDescent="0.25">
      <c r="A57" s="2" t="s">
        <v>732</v>
      </c>
      <c r="B57" s="2" t="s">
        <v>55</v>
      </c>
      <c r="C57" s="2" t="s">
        <v>56</v>
      </c>
      <c r="D57" s="2" t="s">
        <v>758</v>
      </c>
      <c r="E57" s="2" t="s">
        <v>859</v>
      </c>
      <c r="F57" s="2" t="s">
        <v>858</v>
      </c>
      <c r="G57" s="3">
        <v>46029</v>
      </c>
      <c r="H57" s="2" t="s">
        <v>753</v>
      </c>
      <c r="I57" s="2" t="s">
        <v>755</v>
      </c>
      <c r="J57" s="2" t="s">
        <v>754</v>
      </c>
      <c r="K57" s="2" t="s">
        <v>753</v>
      </c>
      <c r="L57" s="6">
        <v>128</v>
      </c>
      <c r="M57" s="2" t="s">
        <v>752</v>
      </c>
      <c r="N57" s="7">
        <v>33.42</v>
      </c>
      <c r="O57" s="4">
        <v>4277.76</v>
      </c>
      <c r="P57" s="4">
        <v>4277.76</v>
      </c>
      <c r="Q57" s="6">
        <v>0</v>
      </c>
    </row>
    <row r="58" spans="1:17" x14ac:dyDescent="0.25">
      <c r="A58" s="2" t="s">
        <v>738</v>
      </c>
      <c r="B58" s="2" t="s">
        <v>21</v>
      </c>
      <c r="C58" s="2" t="s">
        <v>22</v>
      </c>
      <c r="D58" s="2" t="s">
        <v>758</v>
      </c>
      <c r="E58" s="2" t="s">
        <v>763</v>
      </c>
      <c r="F58" s="2" t="s">
        <v>762</v>
      </c>
      <c r="G58" s="3">
        <v>46028</v>
      </c>
      <c r="H58" s="2" t="s">
        <v>753</v>
      </c>
      <c r="I58" s="2" t="s">
        <v>755</v>
      </c>
      <c r="J58" s="2" t="s">
        <v>754</v>
      </c>
      <c r="K58" s="2" t="s">
        <v>753</v>
      </c>
      <c r="L58" s="6">
        <v>0</v>
      </c>
      <c r="M58" s="2" t="s">
        <v>752</v>
      </c>
      <c r="N58" s="7">
        <v>42.6</v>
      </c>
      <c r="O58" s="4">
        <v>0</v>
      </c>
      <c r="P58" s="4">
        <v>0</v>
      </c>
      <c r="Q58" s="6">
        <v>0</v>
      </c>
    </row>
    <row r="59" spans="1:17" x14ac:dyDescent="0.25">
      <c r="A59" s="2" t="s">
        <v>738</v>
      </c>
      <c r="B59" s="2" t="s">
        <v>21</v>
      </c>
      <c r="C59" s="2" t="s">
        <v>22</v>
      </c>
      <c r="D59" s="2" t="s">
        <v>758</v>
      </c>
      <c r="E59" s="2" t="s">
        <v>774</v>
      </c>
      <c r="F59" s="2" t="s">
        <v>773</v>
      </c>
      <c r="G59" s="3">
        <v>46028</v>
      </c>
      <c r="H59" s="2" t="s">
        <v>753</v>
      </c>
      <c r="I59" s="2" t="s">
        <v>755</v>
      </c>
      <c r="J59" s="2" t="s">
        <v>754</v>
      </c>
      <c r="K59" s="2" t="s">
        <v>753</v>
      </c>
      <c r="L59" s="6">
        <v>16</v>
      </c>
      <c r="M59" s="2" t="s">
        <v>752</v>
      </c>
      <c r="N59" s="7">
        <v>38.299999999999997</v>
      </c>
      <c r="O59" s="4">
        <v>612.79999999999995</v>
      </c>
      <c r="P59" s="4">
        <v>612.79999999999995</v>
      </c>
      <c r="Q59" s="6">
        <v>0</v>
      </c>
    </row>
    <row r="60" spans="1:17" x14ac:dyDescent="0.25">
      <c r="A60" s="2" t="s">
        <v>738</v>
      </c>
      <c r="B60" s="2" t="s">
        <v>21</v>
      </c>
      <c r="C60" s="2" t="s">
        <v>22</v>
      </c>
      <c r="D60" s="2" t="s">
        <v>758</v>
      </c>
      <c r="E60" s="2" t="s">
        <v>794</v>
      </c>
      <c r="F60" s="2" t="s">
        <v>793</v>
      </c>
      <c r="G60" s="3">
        <v>46028</v>
      </c>
      <c r="H60" s="2" t="s">
        <v>753</v>
      </c>
      <c r="I60" s="2" t="s">
        <v>755</v>
      </c>
      <c r="J60" s="2" t="s">
        <v>754</v>
      </c>
      <c r="K60" s="2" t="s">
        <v>753</v>
      </c>
      <c r="L60" s="6">
        <v>28</v>
      </c>
      <c r="M60" s="2" t="s">
        <v>752</v>
      </c>
      <c r="N60" s="7">
        <v>40.619999999999997</v>
      </c>
      <c r="O60" s="4">
        <v>1137.3599999999999</v>
      </c>
      <c r="P60" s="4">
        <v>1137.3599999999999</v>
      </c>
      <c r="Q60" s="6">
        <v>0</v>
      </c>
    </row>
    <row r="61" spans="1:17" x14ac:dyDescent="0.25">
      <c r="A61" s="2" t="s">
        <v>738</v>
      </c>
      <c r="B61" s="2" t="s">
        <v>21</v>
      </c>
      <c r="C61" s="2" t="s">
        <v>22</v>
      </c>
      <c r="D61" s="2" t="s">
        <v>758</v>
      </c>
      <c r="E61" s="2" t="s">
        <v>792</v>
      </c>
      <c r="F61" s="2" t="s">
        <v>943</v>
      </c>
      <c r="G61" s="3">
        <v>46028</v>
      </c>
      <c r="H61" s="2" t="s">
        <v>753</v>
      </c>
      <c r="I61" s="2" t="s">
        <v>755</v>
      </c>
      <c r="J61" s="2" t="s">
        <v>754</v>
      </c>
      <c r="K61" s="2" t="s">
        <v>753</v>
      </c>
      <c r="L61" s="6">
        <v>20</v>
      </c>
      <c r="M61" s="2" t="s">
        <v>752</v>
      </c>
      <c r="N61" s="7">
        <v>35</v>
      </c>
      <c r="O61" s="4">
        <v>700</v>
      </c>
      <c r="P61" s="4">
        <v>700</v>
      </c>
      <c r="Q61" s="6">
        <v>0</v>
      </c>
    </row>
    <row r="62" spans="1:17" x14ac:dyDescent="0.25">
      <c r="A62" s="2" t="s">
        <v>738</v>
      </c>
      <c r="B62" s="2" t="s">
        <v>21</v>
      </c>
      <c r="C62" s="2" t="s">
        <v>22</v>
      </c>
      <c r="D62" s="2" t="s">
        <v>758</v>
      </c>
      <c r="E62" s="2" t="s">
        <v>788</v>
      </c>
      <c r="F62" s="2" t="s">
        <v>787</v>
      </c>
      <c r="G62" s="3">
        <v>46028</v>
      </c>
      <c r="H62" s="2" t="s">
        <v>753</v>
      </c>
      <c r="I62" s="2" t="s">
        <v>755</v>
      </c>
      <c r="J62" s="2" t="s">
        <v>754</v>
      </c>
      <c r="K62" s="2" t="s">
        <v>753</v>
      </c>
      <c r="L62" s="6">
        <v>52</v>
      </c>
      <c r="M62" s="2" t="s">
        <v>752</v>
      </c>
      <c r="N62" s="7">
        <v>38.299999999999997</v>
      </c>
      <c r="O62" s="4">
        <v>1991.6</v>
      </c>
      <c r="P62" s="4">
        <v>1991.6</v>
      </c>
      <c r="Q62" s="6">
        <v>0</v>
      </c>
    </row>
    <row r="63" spans="1:17" x14ac:dyDescent="0.25">
      <c r="A63" s="2" t="s">
        <v>738</v>
      </c>
      <c r="B63" s="2" t="s">
        <v>21</v>
      </c>
      <c r="C63" s="2" t="s">
        <v>22</v>
      </c>
      <c r="D63" s="2" t="s">
        <v>758</v>
      </c>
      <c r="E63" s="2" t="s">
        <v>950</v>
      </c>
      <c r="F63" s="2" t="s">
        <v>949</v>
      </c>
      <c r="G63" s="3">
        <v>46028</v>
      </c>
      <c r="H63" s="2" t="s">
        <v>753</v>
      </c>
      <c r="I63" s="2" t="s">
        <v>755</v>
      </c>
      <c r="J63" s="2" t="s">
        <v>754</v>
      </c>
      <c r="K63" s="2" t="s">
        <v>753</v>
      </c>
      <c r="L63" s="6">
        <v>0</v>
      </c>
      <c r="M63" s="2" t="s">
        <v>752</v>
      </c>
      <c r="N63" s="7">
        <v>49</v>
      </c>
      <c r="O63" s="4">
        <v>0</v>
      </c>
      <c r="P63" s="4">
        <v>0</v>
      </c>
      <c r="Q63" s="6">
        <v>0</v>
      </c>
    </row>
    <row r="64" spans="1:17" x14ac:dyDescent="0.25">
      <c r="A64" s="2" t="s">
        <v>738</v>
      </c>
      <c r="B64" s="2" t="s">
        <v>21</v>
      </c>
      <c r="C64" s="2" t="s">
        <v>22</v>
      </c>
      <c r="D64" s="2" t="s">
        <v>758</v>
      </c>
      <c r="E64" s="2" t="s">
        <v>786</v>
      </c>
      <c r="F64" s="2" t="s">
        <v>785</v>
      </c>
      <c r="G64" s="3">
        <v>46028</v>
      </c>
      <c r="H64" s="2" t="s">
        <v>753</v>
      </c>
      <c r="I64" s="2" t="s">
        <v>755</v>
      </c>
      <c r="J64" s="2" t="s">
        <v>754</v>
      </c>
      <c r="K64" s="2" t="s">
        <v>753</v>
      </c>
      <c r="L64" s="6">
        <v>24</v>
      </c>
      <c r="M64" s="2" t="s">
        <v>752</v>
      </c>
      <c r="N64" s="7">
        <v>35</v>
      </c>
      <c r="O64" s="4">
        <v>840</v>
      </c>
      <c r="P64" s="4">
        <v>840</v>
      </c>
      <c r="Q64" s="6">
        <v>0</v>
      </c>
    </row>
    <row r="65" spans="1:17" x14ac:dyDescent="0.25">
      <c r="A65" s="2" t="s">
        <v>738</v>
      </c>
      <c r="B65" s="2" t="s">
        <v>21</v>
      </c>
      <c r="C65" s="2" t="s">
        <v>22</v>
      </c>
      <c r="D65" s="2" t="s">
        <v>758</v>
      </c>
      <c r="E65" s="2" t="s">
        <v>851</v>
      </c>
      <c r="F65" s="2" t="s">
        <v>850</v>
      </c>
      <c r="G65" s="3">
        <v>46028</v>
      </c>
      <c r="H65" s="2" t="s">
        <v>753</v>
      </c>
      <c r="I65" s="2" t="s">
        <v>755</v>
      </c>
      <c r="J65" s="2" t="s">
        <v>754</v>
      </c>
      <c r="K65" s="2" t="s">
        <v>753</v>
      </c>
      <c r="L65" s="6">
        <v>32</v>
      </c>
      <c r="M65" s="2" t="s">
        <v>752</v>
      </c>
      <c r="N65" s="7">
        <v>43.82</v>
      </c>
      <c r="O65" s="4">
        <v>1402.24</v>
      </c>
      <c r="P65" s="4">
        <v>1402.24</v>
      </c>
      <c r="Q65" s="6">
        <v>0</v>
      </c>
    </row>
    <row r="66" spans="1:17" x14ac:dyDescent="0.25">
      <c r="A66" s="2" t="s">
        <v>738</v>
      </c>
      <c r="B66" s="2" t="s">
        <v>21</v>
      </c>
      <c r="C66" s="2" t="s">
        <v>22</v>
      </c>
      <c r="D66" s="2" t="s">
        <v>758</v>
      </c>
      <c r="E66" s="2" t="s">
        <v>784</v>
      </c>
      <c r="F66" s="2" t="s">
        <v>783</v>
      </c>
      <c r="G66" s="3">
        <v>46028</v>
      </c>
      <c r="H66" s="2" t="s">
        <v>753</v>
      </c>
      <c r="I66" s="2" t="s">
        <v>755</v>
      </c>
      <c r="J66" s="2" t="s">
        <v>754</v>
      </c>
      <c r="K66" s="2" t="s">
        <v>753</v>
      </c>
      <c r="L66" s="6">
        <v>12</v>
      </c>
      <c r="M66" s="2" t="s">
        <v>752</v>
      </c>
      <c r="N66" s="7">
        <v>38.07</v>
      </c>
      <c r="O66" s="4">
        <v>456.84</v>
      </c>
      <c r="P66" s="4">
        <v>456.84</v>
      </c>
      <c r="Q66" s="6">
        <v>0</v>
      </c>
    </row>
    <row r="67" spans="1:17" x14ac:dyDescent="0.25">
      <c r="A67" s="2" t="s">
        <v>738</v>
      </c>
      <c r="B67" s="2" t="s">
        <v>21</v>
      </c>
      <c r="C67" s="2" t="s">
        <v>22</v>
      </c>
      <c r="D67" s="2" t="s">
        <v>758</v>
      </c>
      <c r="E67" s="2" t="s">
        <v>782</v>
      </c>
      <c r="F67" s="2" t="s">
        <v>781</v>
      </c>
      <c r="G67" s="3">
        <v>46028</v>
      </c>
      <c r="H67" s="2" t="s">
        <v>753</v>
      </c>
      <c r="I67" s="2" t="s">
        <v>755</v>
      </c>
      <c r="J67" s="2" t="s">
        <v>754</v>
      </c>
      <c r="K67" s="2" t="s">
        <v>753</v>
      </c>
      <c r="L67" s="6">
        <v>40</v>
      </c>
      <c r="M67" s="2" t="s">
        <v>752</v>
      </c>
      <c r="N67" s="7">
        <v>36.18</v>
      </c>
      <c r="O67" s="4">
        <v>1447.2</v>
      </c>
      <c r="P67" s="4">
        <v>1447.2</v>
      </c>
      <c r="Q67" s="6">
        <v>0</v>
      </c>
    </row>
    <row r="68" spans="1:17" x14ac:dyDescent="0.25">
      <c r="A68" s="2" t="s">
        <v>738</v>
      </c>
      <c r="B68" s="2" t="s">
        <v>21</v>
      </c>
      <c r="C68" s="2" t="s">
        <v>22</v>
      </c>
      <c r="D68" s="2" t="s">
        <v>758</v>
      </c>
      <c r="E68" s="2" t="s">
        <v>776</v>
      </c>
      <c r="F68" s="2" t="s">
        <v>775</v>
      </c>
      <c r="G68" s="3">
        <v>46028</v>
      </c>
      <c r="H68" s="2" t="s">
        <v>753</v>
      </c>
      <c r="I68" s="2" t="s">
        <v>755</v>
      </c>
      <c r="J68" s="2" t="s">
        <v>754</v>
      </c>
      <c r="K68" s="2" t="s">
        <v>753</v>
      </c>
      <c r="L68" s="6">
        <v>64</v>
      </c>
      <c r="M68" s="2" t="s">
        <v>752</v>
      </c>
      <c r="N68" s="7">
        <v>43.82</v>
      </c>
      <c r="O68" s="4">
        <v>2804.48</v>
      </c>
      <c r="P68" s="4">
        <v>2804.48</v>
      </c>
      <c r="Q68" s="6">
        <v>0</v>
      </c>
    </row>
    <row r="69" spans="1:17" x14ac:dyDescent="0.25">
      <c r="A69" s="2" t="s">
        <v>738</v>
      </c>
      <c r="B69" s="2" t="s">
        <v>21</v>
      </c>
      <c r="C69" s="2" t="s">
        <v>22</v>
      </c>
      <c r="D69" s="2" t="s">
        <v>758</v>
      </c>
      <c r="E69" s="2" t="s">
        <v>837</v>
      </c>
      <c r="F69" s="2" t="s">
        <v>836</v>
      </c>
      <c r="G69" s="3">
        <v>46028</v>
      </c>
      <c r="H69" s="2" t="s">
        <v>753</v>
      </c>
      <c r="I69" s="2" t="s">
        <v>755</v>
      </c>
      <c r="J69" s="2" t="s">
        <v>754</v>
      </c>
      <c r="K69" s="2" t="s">
        <v>753</v>
      </c>
      <c r="L69" s="6">
        <v>8</v>
      </c>
      <c r="M69" s="2" t="s">
        <v>752</v>
      </c>
      <c r="N69" s="7">
        <v>60.7</v>
      </c>
      <c r="O69" s="4">
        <v>485.6</v>
      </c>
      <c r="P69" s="4">
        <v>485.6</v>
      </c>
      <c r="Q69" s="6">
        <v>0</v>
      </c>
    </row>
    <row r="70" spans="1:17" x14ac:dyDescent="0.25">
      <c r="A70" s="2" t="s">
        <v>728</v>
      </c>
      <c r="B70" s="2" t="s">
        <v>135</v>
      </c>
      <c r="C70" s="2" t="s">
        <v>136</v>
      </c>
      <c r="D70" s="2" t="s">
        <v>758</v>
      </c>
      <c r="E70" s="2" t="s">
        <v>813</v>
      </c>
      <c r="F70" s="2" t="s">
        <v>812</v>
      </c>
      <c r="G70" s="3">
        <v>46030</v>
      </c>
      <c r="H70" s="2" t="s">
        <v>753</v>
      </c>
      <c r="I70" s="2" t="s">
        <v>755</v>
      </c>
      <c r="J70" s="2" t="s">
        <v>754</v>
      </c>
      <c r="K70" s="2" t="s">
        <v>753</v>
      </c>
      <c r="L70" s="6">
        <v>28</v>
      </c>
      <c r="M70" s="2" t="s">
        <v>752</v>
      </c>
      <c r="N70" s="7">
        <v>46.25</v>
      </c>
      <c r="O70" s="4">
        <v>1295</v>
      </c>
      <c r="P70" s="4">
        <v>1295</v>
      </c>
      <c r="Q70" s="6">
        <v>0</v>
      </c>
    </row>
    <row r="71" spans="1:17" x14ac:dyDescent="0.25">
      <c r="A71" s="2" t="s">
        <v>728</v>
      </c>
      <c r="B71" s="2" t="s">
        <v>135</v>
      </c>
      <c r="C71" s="2" t="s">
        <v>136</v>
      </c>
      <c r="D71" s="2" t="s">
        <v>758</v>
      </c>
      <c r="E71" s="2" t="s">
        <v>763</v>
      </c>
      <c r="F71" s="2" t="s">
        <v>762</v>
      </c>
      <c r="G71" s="3">
        <v>46030</v>
      </c>
      <c r="H71" s="2" t="s">
        <v>753</v>
      </c>
      <c r="I71" s="2" t="s">
        <v>755</v>
      </c>
      <c r="J71" s="2" t="s">
        <v>754</v>
      </c>
      <c r="K71" s="2" t="s">
        <v>753</v>
      </c>
      <c r="L71" s="6">
        <v>24</v>
      </c>
      <c r="M71" s="2" t="s">
        <v>752</v>
      </c>
      <c r="N71" s="7">
        <v>42</v>
      </c>
      <c r="O71" s="4">
        <v>1008</v>
      </c>
      <c r="P71" s="4">
        <v>1008</v>
      </c>
      <c r="Q71" s="6">
        <v>0</v>
      </c>
    </row>
    <row r="72" spans="1:17" x14ac:dyDescent="0.25">
      <c r="A72" s="2" t="s">
        <v>728</v>
      </c>
      <c r="B72" s="2" t="s">
        <v>135</v>
      </c>
      <c r="C72" s="2" t="s">
        <v>136</v>
      </c>
      <c r="D72" s="2" t="s">
        <v>758</v>
      </c>
      <c r="E72" s="2" t="s">
        <v>788</v>
      </c>
      <c r="F72" s="2" t="s">
        <v>787</v>
      </c>
      <c r="G72" s="3">
        <v>46030</v>
      </c>
      <c r="H72" s="2" t="s">
        <v>753</v>
      </c>
      <c r="I72" s="2" t="s">
        <v>755</v>
      </c>
      <c r="J72" s="2" t="s">
        <v>754</v>
      </c>
      <c r="K72" s="2" t="s">
        <v>753</v>
      </c>
      <c r="L72" s="6">
        <v>448</v>
      </c>
      <c r="M72" s="2" t="s">
        <v>752</v>
      </c>
      <c r="N72" s="7">
        <v>38.299999999999997</v>
      </c>
      <c r="O72" s="4">
        <v>17158.400000000001</v>
      </c>
      <c r="P72" s="4">
        <v>17158.400000000001</v>
      </c>
      <c r="Q72" s="6">
        <v>0</v>
      </c>
    </row>
    <row r="73" spans="1:17" x14ac:dyDescent="0.25">
      <c r="A73" s="2" t="s">
        <v>728</v>
      </c>
      <c r="B73" s="2" t="s">
        <v>135</v>
      </c>
      <c r="C73" s="2" t="s">
        <v>136</v>
      </c>
      <c r="D73" s="2" t="s">
        <v>758</v>
      </c>
      <c r="E73" s="2" t="s">
        <v>786</v>
      </c>
      <c r="F73" s="2" t="s">
        <v>785</v>
      </c>
      <c r="G73" s="3">
        <v>46030</v>
      </c>
      <c r="H73" s="2" t="s">
        <v>753</v>
      </c>
      <c r="I73" s="2" t="s">
        <v>755</v>
      </c>
      <c r="J73" s="2" t="s">
        <v>754</v>
      </c>
      <c r="K73" s="2" t="s">
        <v>753</v>
      </c>
      <c r="L73" s="6">
        <v>84</v>
      </c>
      <c r="M73" s="2" t="s">
        <v>752</v>
      </c>
      <c r="N73" s="7">
        <v>36.47</v>
      </c>
      <c r="O73" s="4">
        <v>3063.48</v>
      </c>
      <c r="P73" s="4">
        <v>3063.48</v>
      </c>
      <c r="Q73" s="6">
        <v>0</v>
      </c>
    </row>
    <row r="74" spans="1:17" x14ac:dyDescent="0.25">
      <c r="A74" s="2" t="s">
        <v>728</v>
      </c>
      <c r="B74" s="2" t="s">
        <v>135</v>
      </c>
      <c r="C74" s="2" t="s">
        <v>136</v>
      </c>
      <c r="D74" s="2" t="s">
        <v>758</v>
      </c>
      <c r="E74" s="2" t="s">
        <v>894</v>
      </c>
      <c r="F74" s="2" t="s">
        <v>893</v>
      </c>
      <c r="G74" s="3">
        <v>46030</v>
      </c>
      <c r="H74" s="2" t="s">
        <v>753</v>
      </c>
      <c r="I74" s="2" t="s">
        <v>755</v>
      </c>
      <c r="J74" s="2" t="s">
        <v>754</v>
      </c>
      <c r="K74" s="2" t="s">
        <v>753</v>
      </c>
      <c r="L74" s="6">
        <v>24</v>
      </c>
      <c r="M74" s="2" t="s">
        <v>752</v>
      </c>
      <c r="N74" s="7">
        <v>33.25</v>
      </c>
      <c r="O74" s="4">
        <v>798</v>
      </c>
      <c r="P74" s="4">
        <v>798</v>
      </c>
      <c r="Q74" s="6">
        <v>0</v>
      </c>
    </row>
    <row r="75" spans="1:17" x14ac:dyDescent="0.25">
      <c r="A75" s="2" t="s">
        <v>728</v>
      </c>
      <c r="B75" s="2" t="s">
        <v>135</v>
      </c>
      <c r="C75" s="2" t="s">
        <v>136</v>
      </c>
      <c r="D75" s="2" t="s">
        <v>758</v>
      </c>
      <c r="E75" s="2" t="s">
        <v>925</v>
      </c>
      <c r="F75" s="2" t="s">
        <v>924</v>
      </c>
      <c r="G75" s="3">
        <v>46030</v>
      </c>
      <c r="H75" s="2" t="s">
        <v>753</v>
      </c>
      <c r="I75" s="2" t="s">
        <v>755</v>
      </c>
      <c r="J75" s="2" t="s">
        <v>754</v>
      </c>
      <c r="K75" s="2" t="s">
        <v>753</v>
      </c>
      <c r="L75" s="6">
        <v>60</v>
      </c>
      <c r="M75" s="2" t="s">
        <v>752</v>
      </c>
      <c r="N75" s="7">
        <v>35.75</v>
      </c>
      <c r="O75" s="4">
        <v>2145</v>
      </c>
      <c r="P75" s="4">
        <v>2145</v>
      </c>
      <c r="Q75" s="6">
        <v>0</v>
      </c>
    </row>
    <row r="76" spans="1:17" x14ac:dyDescent="0.25">
      <c r="A76" s="2" t="s">
        <v>726</v>
      </c>
      <c r="B76" s="2" t="s">
        <v>29</v>
      </c>
      <c r="C76" s="2" t="s">
        <v>30</v>
      </c>
      <c r="D76" s="2" t="s">
        <v>758</v>
      </c>
      <c r="E76" s="2" t="s">
        <v>780</v>
      </c>
      <c r="F76" s="2" t="s">
        <v>779</v>
      </c>
      <c r="G76" s="3">
        <v>46030</v>
      </c>
      <c r="H76" s="2" t="s">
        <v>753</v>
      </c>
      <c r="I76" s="2" t="s">
        <v>755</v>
      </c>
      <c r="J76" s="2" t="s">
        <v>754</v>
      </c>
      <c r="K76" s="2" t="s">
        <v>753</v>
      </c>
      <c r="L76" s="6">
        <v>8</v>
      </c>
      <c r="M76" s="2" t="s">
        <v>752</v>
      </c>
      <c r="N76" s="7">
        <v>36.5</v>
      </c>
      <c r="O76" s="4">
        <v>292</v>
      </c>
      <c r="P76" s="4">
        <v>292</v>
      </c>
      <c r="Q76" s="6">
        <v>0</v>
      </c>
    </row>
    <row r="77" spans="1:17" x14ac:dyDescent="0.25">
      <c r="A77" s="2" t="s">
        <v>726</v>
      </c>
      <c r="B77" s="2" t="s">
        <v>29</v>
      </c>
      <c r="C77" s="2" t="s">
        <v>30</v>
      </c>
      <c r="D77" s="2" t="s">
        <v>758</v>
      </c>
      <c r="E77" s="2" t="s">
        <v>817</v>
      </c>
      <c r="F77" s="2" t="s">
        <v>937</v>
      </c>
      <c r="G77" s="3">
        <v>46030</v>
      </c>
      <c r="H77" s="2" t="s">
        <v>753</v>
      </c>
      <c r="I77" s="2" t="s">
        <v>755</v>
      </c>
      <c r="J77" s="2" t="s">
        <v>754</v>
      </c>
      <c r="K77" s="2" t="s">
        <v>753</v>
      </c>
      <c r="L77" s="6">
        <v>84</v>
      </c>
      <c r="M77" s="2" t="s">
        <v>752</v>
      </c>
      <c r="N77" s="7">
        <v>31.42</v>
      </c>
      <c r="O77" s="4">
        <v>2639.28</v>
      </c>
      <c r="P77" s="4">
        <v>2639.28</v>
      </c>
      <c r="Q77" s="6">
        <v>0</v>
      </c>
    </row>
    <row r="78" spans="1:17" x14ac:dyDescent="0.25">
      <c r="A78" s="2" t="s">
        <v>726</v>
      </c>
      <c r="B78" s="2" t="s">
        <v>29</v>
      </c>
      <c r="C78" s="2" t="s">
        <v>30</v>
      </c>
      <c r="D78" s="2" t="s">
        <v>758</v>
      </c>
      <c r="E78" s="2" t="s">
        <v>815</v>
      </c>
      <c r="F78" s="2" t="s">
        <v>814</v>
      </c>
      <c r="G78" s="3">
        <v>46030</v>
      </c>
      <c r="H78" s="2" t="s">
        <v>753</v>
      </c>
      <c r="I78" s="2" t="s">
        <v>755</v>
      </c>
      <c r="J78" s="2" t="s">
        <v>754</v>
      </c>
      <c r="K78" s="2" t="s">
        <v>753</v>
      </c>
      <c r="L78" s="6">
        <v>112</v>
      </c>
      <c r="M78" s="2" t="s">
        <v>752</v>
      </c>
      <c r="N78" s="7">
        <v>34</v>
      </c>
      <c r="O78" s="4">
        <v>3808</v>
      </c>
      <c r="P78" s="4">
        <v>3808</v>
      </c>
      <c r="Q78" s="6">
        <v>0</v>
      </c>
    </row>
    <row r="79" spans="1:17" x14ac:dyDescent="0.25">
      <c r="A79" s="2" t="s">
        <v>726</v>
      </c>
      <c r="B79" s="2" t="s">
        <v>29</v>
      </c>
      <c r="C79" s="2" t="s">
        <v>30</v>
      </c>
      <c r="D79" s="2" t="s">
        <v>758</v>
      </c>
      <c r="E79" s="2" t="s">
        <v>813</v>
      </c>
      <c r="F79" s="2" t="s">
        <v>812</v>
      </c>
      <c r="G79" s="3">
        <v>46030</v>
      </c>
      <c r="H79" s="2" t="s">
        <v>753</v>
      </c>
      <c r="I79" s="2" t="s">
        <v>755</v>
      </c>
      <c r="J79" s="2" t="s">
        <v>754</v>
      </c>
      <c r="K79" s="2" t="s">
        <v>753</v>
      </c>
      <c r="L79" s="6">
        <v>24</v>
      </c>
      <c r="M79" s="2" t="s">
        <v>752</v>
      </c>
      <c r="N79" s="7">
        <v>43.26</v>
      </c>
      <c r="O79" s="4">
        <v>1038.24</v>
      </c>
      <c r="P79" s="4">
        <v>1038.24</v>
      </c>
      <c r="Q79" s="6">
        <v>0</v>
      </c>
    </row>
    <row r="80" spans="1:17" x14ac:dyDescent="0.25">
      <c r="A80" s="2" t="s">
        <v>726</v>
      </c>
      <c r="B80" s="2" t="s">
        <v>29</v>
      </c>
      <c r="C80" s="2" t="s">
        <v>30</v>
      </c>
      <c r="D80" s="2" t="s">
        <v>758</v>
      </c>
      <c r="E80" s="2" t="s">
        <v>763</v>
      </c>
      <c r="F80" s="2" t="s">
        <v>762</v>
      </c>
      <c r="G80" s="3">
        <v>46030</v>
      </c>
      <c r="H80" s="2" t="s">
        <v>753</v>
      </c>
      <c r="I80" s="2" t="s">
        <v>755</v>
      </c>
      <c r="J80" s="2" t="s">
        <v>754</v>
      </c>
      <c r="K80" s="2" t="s">
        <v>753</v>
      </c>
      <c r="L80" s="6">
        <v>28</v>
      </c>
      <c r="M80" s="2" t="s">
        <v>752</v>
      </c>
      <c r="N80" s="7">
        <v>43.36</v>
      </c>
      <c r="O80" s="4">
        <v>1214.08</v>
      </c>
      <c r="P80" s="4">
        <v>1214.08</v>
      </c>
      <c r="Q80" s="6">
        <v>0</v>
      </c>
    </row>
    <row r="81" spans="1:17" x14ac:dyDescent="0.25">
      <c r="A81" s="2" t="s">
        <v>726</v>
      </c>
      <c r="B81" s="2" t="s">
        <v>29</v>
      </c>
      <c r="C81" s="2" t="s">
        <v>30</v>
      </c>
      <c r="D81" s="2" t="s">
        <v>758</v>
      </c>
      <c r="E81" s="2" t="s">
        <v>809</v>
      </c>
      <c r="F81" s="2" t="s">
        <v>808</v>
      </c>
      <c r="G81" s="3">
        <v>46030</v>
      </c>
      <c r="H81" s="2" t="s">
        <v>753</v>
      </c>
      <c r="I81" s="2" t="s">
        <v>755</v>
      </c>
      <c r="J81" s="2" t="s">
        <v>754</v>
      </c>
      <c r="K81" s="2" t="s">
        <v>753</v>
      </c>
      <c r="L81" s="6">
        <v>28</v>
      </c>
      <c r="M81" s="2" t="s">
        <v>752</v>
      </c>
      <c r="N81" s="7">
        <v>39.53</v>
      </c>
      <c r="O81" s="4">
        <v>1106.8399999999999</v>
      </c>
      <c r="P81" s="4">
        <v>1106.8399999999999</v>
      </c>
      <c r="Q81" s="6">
        <v>0</v>
      </c>
    </row>
    <row r="82" spans="1:17" x14ac:dyDescent="0.25">
      <c r="A82" s="2" t="s">
        <v>726</v>
      </c>
      <c r="B82" s="2" t="s">
        <v>29</v>
      </c>
      <c r="C82" s="2" t="s">
        <v>30</v>
      </c>
      <c r="D82" s="2" t="s">
        <v>758</v>
      </c>
      <c r="E82" s="2" t="s">
        <v>807</v>
      </c>
      <c r="F82" s="2" t="s">
        <v>806</v>
      </c>
      <c r="G82" s="3">
        <v>46030</v>
      </c>
      <c r="H82" s="2" t="s">
        <v>753</v>
      </c>
      <c r="I82" s="2" t="s">
        <v>755</v>
      </c>
      <c r="J82" s="2" t="s">
        <v>754</v>
      </c>
      <c r="K82" s="2" t="s">
        <v>753</v>
      </c>
      <c r="L82" s="6">
        <v>18</v>
      </c>
      <c r="M82" s="2" t="s">
        <v>752</v>
      </c>
      <c r="N82" s="7">
        <v>42.02</v>
      </c>
      <c r="O82" s="4">
        <v>756.36</v>
      </c>
      <c r="P82" s="4">
        <v>756.36</v>
      </c>
      <c r="Q82" s="6">
        <v>0</v>
      </c>
    </row>
    <row r="83" spans="1:17" x14ac:dyDescent="0.25">
      <c r="A83" s="2" t="s">
        <v>726</v>
      </c>
      <c r="B83" s="2" t="s">
        <v>29</v>
      </c>
      <c r="C83" s="2" t="s">
        <v>30</v>
      </c>
      <c r="D83" s="2" t="s">
        <v>758</v>
      </c>
      <c r="E83" s="2" t="s">
        <v>805</v>
      </c>
      <c r="F83" s="2" t="s">
        <v>804</v>
      </c>
      <c r="G83" s="3">
        <v>46030</v>
      </c>
      <c r="H83" s="2" t="s">
        <v>753</v>
      </c>
      <c r="I83" s="2" t="s">
        <v>755</v>
      </c>
      <c r="J83" s="2" t="s">
        <v>754</v>
      </c>
      <c r="K83" s="2" t="s">
        <v>753</v>
      </c>
      <c r="L83" s="6">
        <v>40</v>
      </c>
      <c r="M83" s="2" t="s">
        <v>752</v>
      </c>
      <c r="N83" s="7">
        <v>41</v>
      </c>
      <c r="O83" s="4">
        <v>1640</v>
      </c>
      <c r="P83" s="4">
        <v>1640</v>
      </c>
      <c r="Q83" s="6">
        <v>0</v>
      </c>
    </row>
    <row r="84" spans="1:17" x14ac:dyDescent="0.25">
      <c r="A84" s="2" t="s">
        <v>714</v>
      </c>
      <c r="B84" s="2" t="s">
        <v>123</v>
      </c>
      <c r="C84" s="2" t="s">
        <v>124</v>
      </c>
      <c r="D84" s="2" t="s">
        <v>758</v>
      </c>
      <c r="E84" s="2" t="s">
        <v>817</v>
      </c>
      <c r="F84" s="2" t="s">
        <v>937</v>
      </c>
      <c r="G84" s="3">
        <v>46037</v>
      </c>
      <c r="H84" s="2" t="s">
        <v>753</v>
      </c>
      <c r="I84" s="2" t="s">
        <v>755</v>
      </c>
      <c r="J84" s="2" t="s">
        <v>754</v>
      </c>
      <c r="K84" s="2" t="s">
        <v>753</v>
      </c>
      <c r="L84" s="6">
        <v>28</v>
      </c>
      <c r="M84" s="2" t="s">
        <v>752</v>
      </c>
      <c r="N84" s="7">
        <v>35.75</v>
      </c>
      <c r="O84" s="4">
        <v>1001</v>
      </c>
      <c r="P84" s="4">
        <v>1001</v>
      </c>
      <c r="Q84" s="6">
        <v>0</v>
      </c>
    </row>
    <row r="85" spans="1:17" x14ac:dyDescent="0.25">
      <c r="A85" s="2" t="s">
        <v>714</v>
      </c>
      <c r="B85" s="2" t="s">
        <v>123</v>
      </c>
      <c r="C85" s="2" t="s">
        <v>124</v>
      </c>
      <c r="D85" s="2" t="s">
        <v>758</v>
      </c>
      <c r="E85" s="2" t="s">
        <v>763</v>
      </c>
      <c r="F85" s="2" t="s">
        <v>762</v>
      </c>
      <c r="G85" s="3">
        <v>46037</v>
      </c>
      <c r="H85" s="2" t="s">
        <v>753</v>
      </c>
      <c r="I85" s="2" t="s">
        <v>755</v>
      </c>
      <c r="J85" s="2" t="s">
        <v>754</v>
      </c>
      <c r="K85" s="2" t="s">
        <v>753</v>
      </c>
      <c r="L85" s="6">
        <v>28</v>
      </c>
      <c r="M85" s="2" t="s">
        <v>752</v>
      </c>
      <c r="N85" s="7">
        <v>50.6</v>
      </c>
      <c r="O85" s="4">
        <v>1416.8</v>
      </c>
      <c r="P85" s="4">
        <v>1416.8</v>
      </c>
      <c r="Q85" s="6">
        <v>0</v>
      </c>
    </row>
    <row r="86" spans="1:17" x14ac:dyDescent="0.25">
      <c r="A86" s="2" t="s">
        <v>714</v>
      </c>
      <c r="B86" s="2" t="s">
        <v>123</v>
      </c>
      <c r="C86" s="2" t="s">
        <v>124</v>
      </c>
      <c r="D86" s="2" t="s">
        <v>758</v>
      </c>
      <c r="E86" s="2" t="s">
        <v>920</v>
      </c>
      <c r="F86" s="2" t="s">
        <v>919</v>
      </c>
      <c r="G86" s="3">
        <v>46037</v>
      </c>
      <c r="H86" s="2" t="s">
        <v>753</v>
      </c>
      <c r="I86" s="2" t="s">
        <v>755</v>
      </c>
      <c r="J86" s="2" t="s">
        <v>754</v>
      </c>
      <c r="K86" s="2" t="s">
        <v>753</v>
      </c>
      <c r="L86" s="6">
        <v>224</v>
      </c>
      <c r="M86" s="2" t="s">
        <v>752</v>
      </c>
      <c r="N86" s="7">
        <v>35</v>
      </c>
      <c r="O86" s="4">
        <v>7840</v>
      </c>
      <c r="P86" s="4">
        <v>7840</v>
      </c>
      <c r="Q86" s="6">
        <v>0</v>
      </c>
    </row>
    <row r="87" spans="1:17" x14ac:dyDescent="0.25">
      <c r="A87" s="2" t="s">
        <v>724</v>
      </c>
      <c r="B87" s="2" t="s">
        <v>167</v>
      </c>
      <c r="C87" s="2" t="s">
        <v>168</v>
      </c>
      <c r="D87" s="2" t="s">
        <v>758</v>
      </c>
      <c r="E87" s="2" t="s">
        <v>794</v>
      </c>
      <c r="F87" s="2" t="s">
        <v>793</v>
      </c>
      <c r="G87" s="3">
        <v>46035</v>
      </c>
      <c r="H87" s="2" t="s">
        <v>770</v>
      </c>
      <c r="I87" s="2" t="s">
        <v>755</v>
      </c>
      <c r="J87" s="2" t="s">
        <v>754</v>
      </c>
      <c r="K87" s="2" t="s">
        <v>753</v>
      </c>
      <c r="L87" s="6">
        <v>336</v>
      </c>
      <c r="M87" s="2" t="s">
        <v>752</v>
      </c>
      <c r="N87" s="7">
        <v>35</v>
      </c>
      <c r="O87" s="4">
        <v>11760</v>
      </c>
      <c r="P87" s="4">
        <v>11760</v>
      </c>
      <c r="Q87" s="6">
        <v>0</v>
      </c>
    </row>
    <row r="88" spans="1:17" x14ac:dyDescent="0.25">
      <c r="A88" s="2" t="s">
        <v>724</v>
      </c>
      <c r="B88" s="2" t="s">
        <v>167</v>
      </c>
      <c r="C88" s="2" t="s">
        <v>168</v>
      </c>
      <c r="D88" s="2" t="s">
        <v>758</v>
      </c>
      <c r="E88" s="2" t="s">
        <v>766</v>
      </c>
      <c r="F88" s="2" t="s">
        <v>765</v>
      </c>
      <c r="G88" s="3">
        <v>46035</v>
      </c>
      <c r="H88" s="2" t="s">
        <v>770</v>
      </c>
      <c r="I88" s="2" t="s">
        <v>755</v>
      </c>
      <c r="J88" s="2" t="s">
        <v>754</v>
      </c>
      <c r="K88" s="2" t="s">
        <v>753</v>
      </c>
      <c r="L88" s="6">
        <v>112</v>
      </c>
      <c r="M88" s="2" t="s">
        <v>752</v>
      </c>
      <c r="N88" s="7">
        <v>39.65</v>
      </c>
      <c r="O88" s="4">
        <v>4440.8</v>
      </c>
      <c r="P88" s="4">
        <v>4440.8</v>
      </c>
      <c r="Q88" s="6">
        <v>0</v>
      </c>
    </row>
    <row r="89" spans="1:17" x14ac:dyDescent="0.25">
      <c r="A89" s="2" t="s">
        <v>720</v>
      </c>
      <c r="B89" s="2" t="s">
        <v>177</v>
      </c>
      <c r="C89" s="2" t="s">
        <v>178</v>
      </c>
      <c r="D89" s="2" t="s">
        <v>758</v>
      </c>
      <c r="E89" s="2" t="s">
        <v>763</v>
      </c>
      <c r="F89" s="2" t="s">
        <v>762</v>
      </c>
      <c r="G89" s="3">
        <v>46036</v>
      </c>
      <c r="H89" s="2" t="s">
        <v>753</v>
      </c>
      <c r="I89" s="2" t="s">
        <v>755</v>
      </c>
      <c r="J89" s="2" t="s">
        <v>754</v>
      </c>
      <c r="K89" s="2" t="s">
        <v>753</v>
      </c>
      <c r="L89" s="6">
        <v>40</v>
      </c>
      <c r="M89" s="2" t="s">
        <v>752</v>
      </c>
      <c r="N89" s="7">
        <v>42.6</v>
      </c>
      <c r="O89" s="4">
        <v>1704</v>
      </c>
      <c r="P89" s="4">
        <v>1704</v>
      </c>
      <c r="Q89" s="6">
        <v>0</v>
      </c>
    </row>
    <row r="90" spans="1:17" x14ac:dyDescent="0.25">
      <c r="A90" s="2" t="s">
        <v>720</v>
      </c>
      <c r="B90" s="2" t="s">
        <v>177</v>
      </c>
      <c r="C90" s="2" t="s">
        <v>178</v>
      </c>
      <c r="D90" s="2" t="s">
        <v>758</v>
      </c>
      <c r="E90" s="2" t="s">
        <v>881</v>
      </c>
      <c r="F90" s="2" t="s">
        <v>880</v>
      </c>
      <c r="G90" s="3">
        <v>46036</v>
      </c>
      <c r="H90" s="2" t="s">
        <v>753</v>
      </c>
      <c r="I90" s="2" t="s">
        <v>755</v>
      </c>
      <c r="J90" s="2" t="s">
        <v>754</v>
      </c>
      <c r="K90" s="2" t="s">
        <v>753</v>
      </c>
      <c r="L90" s="6">
        <v>36</v>
      </c>
      <c r="M90" s="2" t="s">
        <v>752</v>
      </c>
      <c r="N90" s="7">
        <v>41.15</v>
      </c>
      <c r="O90" s="4">
        <v>1481.4</v>
      </c>
      <c r="P90" s="4">
        <v>1481.4</v>
      </c>
      <c r="Q90" s="6">
        <v>0</v>
      </c>
    </row>
    <row r="91" spans="1:17" x14ac:dyDescent="0.25">
      <c r="A91" s="2" t="s">
        <v>720</v>
      </c>
      <c r="B91" s="2" t="s">
        <v>177</v>
      </c>
      <c r="C91" s="2" t="s">
        <v>178</v>
      </c>
      <c r="D91" s="2" t="s">
        <v>758</v>
      </c>
      <c r="E91" s="2" t="s">
        <v>914</v>
      </c>
      <c r="F91" s="2" t="s">
        <v>913</v>
      </c>
      <c r="G91" s="3">
        <v>46036</v>
      </c>
      <c r="H91" s="2" t="s">
        <v>753</v>
      </c>
      <c r="I91" s="2" t="s">
        <v>755</v>
      </c>
      <c r="J91" s="2" t="s">
        <v>754</v>
      </c>
      <c r="K91" s="2" t="s">
        <v>753</v>
      </c>
      <c r="L91" s="6">
        <v>4</v>
      </c>
      <c r="M91" s="2" t="s">
        <v>752</v>
      </c>
      <c r="N91" s="7">
        <v>41.6</v>
      </c>
      <c r="O91" s="4">
        <v>166.4</v>
      </c>
      <c r="P91" s="4">
        <v>166.4</v>
      </c>
      <c r="Q91" s="6">
        <v>0</v>
      </c>
    </row>
    <row r="92" spans="1:17" x14ac:dyDescent="0.25">
      <c r="A92" s="2" t="s">
        <v>718</v>
      </c>
      <c r="B92" s="2" t="s">
        <v>69</v>
      </c>
      <c r="C92" s="2" t="s">
        <v>70</v>
      </c>
      <c r="D92" s="2" t="s">
        <v>758</v>
      </c>
      <c r="E92" s="2" t="s">
        <v>847</v>
      </c>
      <c r="F92" s="2" t="s">
        <v>846</v>
      </c>
      <c r="G92" s="3">
        <v>46036</v>
      </c>
      <c r="H92" s="2" t="s">
        <v>753</v>
      </c>
      <c r="I92" s="2" t="s">
        <v>755</v>
      </c>
      <c r="J92" s="2" t="s">
        <v>754</v>
      </c>
      <c r="K92" s="2" t="s">
        <v>753</v>
      </c>
      <c r="L92" s="6">
        <v>30</v>
      </c>
      <c r="M92" s="2" t="s">
        <v>752</v>
      </c>
      <c r="N92" s="7">
        <v>30.32</v>
      </c>
      <c r="O92" s="4">
        <v>909.6</v>
      </c>
      <c r="P92" s="4">
        <v>909.6</v>
      </c>
      <c r="Q92" s="6">
        <v>0</v>
      </c>
    </row>
    <row r="93" spans="1:17" x14ac:dyDescent="0.25">
      <c r="A93" s="2" t="s">
        <v>718</v>
      </c>
      <c r="B93" s="2" t="s">
        <v>69</v>
      </c>
      <c r="C93" s="2" t="s">
        <v>70</v>
      </c>
      <c r="D93" s="2" t="s">
        <v>758</v>
      </c>
      <c r="E93" s="2" t="s">
        <v>857</v>
      </c>
      <c r="F93" s="2" t="s">
        <v>856</v>
      </c>
      <c r="G93" s="3">
        <v>46036</v>
      </c>
      <c r="H93" s="2" t="s">
        <v>753</v>
      </c>
      <c r="I93" s="2" t="s">
        <v>755</v>
      </c>
      <c r="J93" s="2" t="s">
        <v>754</v>
      </c>
      <c r="K93" s="2" t="s">
        <v>753</v>
      </c>
      <c r="L93" s="6">
        <v>30</v>
      </c>
      <c r="M93" s="2" t="s">
        <v>752</v>
      </c>
      <c r="N93" s="7">
        <v>34.18</v>
      </c>
      <c r="O93" s="4">
        <v>1025.4000000000001</v>
      </c>
      <c r="P93" s="4">
        <v>1025.4000000000001</v>
      </c>
      <c r="Q93" s="6">
        <v>0</v>
      </c>
    </row>
    <row r="94" spans="1:17" x14ac:dyDescent="0.25">
      <c r="A94" s="2" t="s">
        <v>712</v>
      </c>
      <c r="B94" s="2" t="s">
        <v>145</v>
      </c>
      <c r="C94" s="2" t="s">
        <v>146</v>
      </c>
      <c r="D94" s="2" t="s">
        <v>758</v>
      </c>
      <c r="E94" s="2" t="s">
        <v>782</v>
      </c>
      <c r="F94" s="2" t="s">
        <v>781</v>
      </c>
      <c r="G94" s="3">
        <v>46037</v>
      </c>
      <c r="H94" s="2" t="s">
        <v>753</v>
      </c>
      <c r="I94" s="2" t="s">
        <v>755</v>
      </c>
      <c r="J94" s="2" t="s">
        <v>754</v>
      </c>
      <c r="K94" s="2" t="s">
        <v>753</v>
      </c>
      <c r="L94" s="6">
        <v>4</v>
      </c>
      <c r="M94" s="2" t="s">
        <v>752</v>
      </c>
      <c r="N94" s="7">
        <v>36.6</v>
      </c>
      <c r="O94" s="4">
        <v>146.4</v>
      </c>
      <c r="P94" s="4">
        <v>146.4</v>
      </c>
      <c r="Q94" s="6">
        <v>0</v>
      </c>
    </row>
    <row r="95" spans="1:17" x14ac:dyDescent="0.25">
      <c r="A95" s="2" t="s">
        <v>712</v>
      </c>
      <c r="B95" s="2" t="s">
        <v>145</v>
      </c>
      <c r="C95" s="2" t="s">
        <v>146</v>
      </c>
      <c r="D95" s="2" t="s">
        <v>758</v>
      </c>
      <c r="E95" s="2" t="s">
        <v>763</v>
      </c>
      <c r="F95" s="2" t="s">
        <v>762</v>
      </c>
      <c r="G95" s="3">
        <v>46037</v>
      </c>
      <c r="H95" s="2" t="s">
        <v>753</v>
      </c>
      <c r="I95" s="2" t="s">
        <v>755</v>
      </c>
      <c r="J95" s="2" t="s">
        <v>754</v>
      </c>
      <c r="K95" s="2" t="s">
        <v>753</v>
      </c>
      <c r="L95" s="6">
        <v>28</v>
      </c>
      <c r="M95" s="2" t="s">
        <v>752</v>
      </c>
      <c r="N95" s="7">
        <v>50.6</v>
      </c>
      <c r="O95" s="4">
        <v>1416.8</v>
      </c>
      <c r="P95" s="4">
        <v>1416.8</v>
      </c>
      <c r="Q95" s="6">
        <v>0</v>
      </c>
    </row>
    <row r="96" spans="1:17" x14ac:dyDescent="0.25">
      <c r="A96" s="2" t="s">
        <v>712</v>
      </c>
      <c r="B96" s="2" t="s">
        <v>145</v>
      </c>
      <c r="C96" s="2" t="s">
        <v>146</v>
      </c>
      <c r="D96" s="2" t="s">
        <v>758</v>
      </c>
      <c r="E96" s="2" t="s">
        <v>847</v>
      </c>
      <c r="F96" s="2" t="s">
        <v>846</v>
      </c>
      <c r="G96" s="3">
        <v>46037</v>
      </c>
      <c r="H96" s="2" t="s">
        <v>753</v>
      </c>
      <c r="I96" s="2" t="s">
        <v>755</v>
      </c>
      <c r="J96" s="2" t="s">
        <v>754</v>
      </c>
      <c r="K96" s="2" t="s">
        <v>753</v>
      </c>
      <c r="L96" s="6">
        <v>252</v>
      </c>
      <c r="M96" s="2" t="s">
        <v>752</v>
      </c>
      <c r="N96" s="7">
        <v>40.799999999999997</v>
      </c>
      <c r="O96" s="4">
        <v>10281.6</v>
      </c>
      <c r="P96" s="4">
        <v>10281.6</v>
      </c>
      <c r="Q96" s="6">
        <v>0</v>
      </c>
    </row>
    <row r="97" spans="1:17" x14ac:dyDescent="0.25">
      <c r="A97" s="2" t="s">
        <v>712</v>
      </c>
      <c r="B97" s="2" t="s">
        <v>145</v>
      </c>
      <c r="C97" s="2" t="s">
        <v>146</v>
      </c>
      <c r="D97" s="2" t="s">
        <v>758</v>
      </c>
      <c r="E97" s="2" t="s">
        <v>794</v>
      </c>
      <c r="F97" s="2" t="s">
        <v>793</v>
      </c>
      <c r="G97" s="3">
        <v>46037</v>
      </c>
      <c r="H97" s="2" t="s">
        <v>753</v>
      </c>
      <c r="I97" s="2" t="s">
        <v>755</v>
      </c>
      <c r="J97" s="2" t="s">
        <v>754</v>
      </c>
      <c r="K97" s="2" t="s">
        <v>753</v>
      </c>
      <c r="L97" s="6">
        <v>140</v>
      </c>
      <c r="M97" s="2" t="s">
        <v>752</v>
      </c>
      <c r="N97" s="7">
        <v>39.9</v>
      </c>
      <c r="O97" s="4">
        <v>5586</v>
      </c>
      <c r="P97" s="4">
        <v>5586</v>
      </c>
      <c r="Q97" s="6">
        <v>0</v>
      </c>
    </row>
    <row r="98" spans="1:17" x14ac:dyDescent="0.25">
      <c r="A98" s="2" t="s">
        <v>712</v>
      </c>
      <c r="B98" s="2" t="s">
        <v>145</v>
      </c>
      <c r="C98" s="2" t="s">
        <v>146</v>
      </c>
      <c r="D98" s="2" t="s">
        <v>758</v>
      </c>
      <c r="E98" s="2" t="s">
        <v>757</v>
      </c>
      <c r="F98" s="2" t="s">
        <v>756</v>
      </c>
      <c r="G98" s="3">
        <v>46037</v>
      </c>
      <c r="H98" s="2" t="s">
        <v>753</v>
      </c>
      <c r="I98" s="2" t="s">
        <v>755</v>
      </c>
      <c r="J98" s="2" t="s">
        <v>754</v>
      </c>
      <c r="K98" s="2" t="s">
        <v>753</v>
      </c>
      <c r="L98" s="6">
        <v>28</v>
      </c>
      <c r="M98" s="2" t="s">
        <v>752</v>
      </c>
      <c r="N98" s="7">
        <v>42.35</v>
      </c>
      <c r="O98" s="4">
        <v>1185.8</v>
      </c>
      <c r="P98" s="4">
        <v>1185.8</v>
      </c>
      <c r="Q98" s="6">
        <v>0</v>
      </c>
    </row>
    <row r="99" spans="1:17" x14ac:dyDescent="0.25">
      <c r="A99" s="2" t="s">
        <v>740</v>
      </c>
      <c r="B99" s="2" t="s">
        <v>41</v>
      </c>
      <c r="C99" s="2" t="s">
        <v>42</v>
      </c>
      <c r="D99" s="2" t="s">
        <v>758</v>
      </c>
      <c r="E99" s="2" t="s">
        <v>881</v>
      </c>
      <c r="F99" s="2" t="s">
        <v>880</v>
      </c>
      <c r="G99" s="3">
        <v>46027</v>
      </c>
      <c r="H99" s="2" t="s">
        <v>753</v>
      </c>
      <c r="I99" s="2" t="s">
        <v>755</v>
      </c>
      <c r="J99" s="2" t="s">
        <v>754</v>
      </c>
      <c r="K99" s="2" t="s">
        <v>753</v>
      </c>
      <c r="L99" s="6">
        <v>12</v>
      </c>
      <c r="M99" s="2" t="s">
        <v>752</v>
      </c>
      <c r="N99" s="7">
        <v>40.1</v>
      </c>
      <c r="O99" s="4">
        <v>481.2</v>
      </c>
      <c r="P99" s="4">
        <v>481.2</v>
      </c>
      <c r="Q99" s="6">
        <v>0</v>
      </c>
    </row>
    <row r="100" spans="1:17" x14ac:dyDescent="0.25">
      <c r="A100" s="2" t="s">
        <v>740</v>
      </c>
      <c r="B100" s="2" t="s">
        <v>41</v>
      </c>
      <c r="C100" s="2" t="s">
        <v>42</v>
      </c>
      <c r="D100" s="2" t="s">
        <v>758</v>
      </c>
      <c r="E100" s="2" t="s">
        <v>920</v>
      </c>
      <c r="F100" s="2" t="s">
        <v>919</v>
      </c>
      <c r="G100" s="3">
        <v>46027</v>
      </c>
      <c r="H100" s="2" t="s">
        <v>753</v>
      </c>
      <c r="I100" s="2" t="s">
        <v>755</v>
      </c>
      <c r="J100" s="2" t="s">
        <v>754</v>
      </c>
      <c r="K100" s="2" t="s">
        <v>753</v>
      </c>
      <c r="L100" s="6">
        <v>12</v>
      </c>
      <c r="M100" s="2" t="s">
        <v>752</v>
      </c>
      <c r="N100" s="7">
        <v>28.88</v>
      </c>
      <c r="O100" s="4">
        <v>346.56</v>
      </c>
      <c r="P100" s="4">
        <v>346.56</v>
      </c>
      <c r="Q100" s="6">
        <v>0</v>
      </c>
    </row>
    <row r="101" spans="1:17" x14ac:dyDescent="0.25">
      <c r="A101" s="2" t="s">
        <v>740</v>
      </c>
      <c r="B101" s="2" t="s">
        <v>41</v>
      </c>
      <c r="C101" s="2" t="s">
        <v>42</v>
      </c>
      <c r="D101" s="2" t="s">
        <v>758</v>
      </c>
      <c r="E101" s="2" t="s">
        <v>875</v>
      </c>
      <c r="F101" s="2" t="s">
        <v>874</v>
      </c>
      <c r="G101" s="3">
        <v>46027</v>
      </c>
      <c r="H101" s="2" t="s">
        <v>753</v>
      </c>
      <c r="I101" s="2" t="s">
        <v>755</v>
      </c>
      <c r="J101" s="2" t="s">
        <v>754</v>
      </c>
      <c r="K101" s="2" t="s">
        <v>753</v>
      </c>
      <c r="L101" s="6">
        <v>32</v>
      </c>
      <c r="M101" s="2" t="s">
        <v>752</v>
      </c>
      <c r="N101" s="7">
        <v>32.89</v>
      </c>
      <c r="O101" s="4">
        <v>1052.48</v>
      </c>
      <c r="P101" s="4">
        <v>1052.48</v>
      </c>
      <c r="Q101" s="6">
        <v>0</v>
      </c>
    </row>
    <row r="102" spans="1:17" x14ac:dyDescent="0.25">
      <c r="A102" s="2" t="s">
        <v>740</v>
      </c>
      <c r="B102" s="2" t="s">
        <v>41</v>
      </c>
      <c r="C102" s="2" t="s">
        <v>42</v>
      </c>
      <c r="D102" s="2" t="s">
        <v>758</v>
      </c>
      <c r="E102" s="2" t="s">
        <v>794</v>
      </c>
      <c r="F102" s="2" t="s">
        <v>793</v>
      </c>
      <c r="G102" s="3">
        <v>46027</v>
      </c>
      <c r="H102" s="2" t="s">
        <v>753</v>
      </c>
      <c r="I102" s="2" t="s">
        <v>755</v>
      </c>
      <c r="J102" s="2" t="s">
        <v>754</v>
      </c>
      <c r="K102" s="2" t="s">
        <v>753</v>
      </c>
      <c r="L102" s="6">
        <v>216</v>
      </c>
      <c r="M102" s="2" t="s">
        <v>752</v>
      </c>
      <c r="N102" s="7">
        <v>28.49</v>
      </c>
      <c r="O102" s="4">
        <v>6153.84</v>
      </c>
      <c r="P102" s="4">
        <v>6153.84</v>
      </c>
      <c r="Q102" s="6">
        <v>0</v>
      </c>
    </row>
    <row r="103" spans="1:17" x14ac:dyDescent="0.25">
      <c r="A103" s="2" t="s">
        <v>740</v>
      </c>
      <c r="B103" s="2" t="s">
        <v>41</v>
      </c>
      <c r="C103" s="2" t="s">
        <v>42</v>
      </c>
      <c r="D103" s="2" t="s">
        <v>758</v>
      </c>
      <c r="E103" s="2" t="s">
        <v>849</v>
      </c>
      <c r="F103" s="2" t="s">
        <v>848</v>
      </c>
      <c r="G103" s="3">
        <v>46027</v>
      </c>
      <c r="H103" s="2" t="s">
        <v>753</v>
      </c>
      <c r="I103" s="2" t="s">
        <v>755</v>
      </c>
      <c r="J103" s="2" t="s">
        <v>754</v>
      </c>
      <c r="K103" s="2" t="s">
        <v>753</v>
      </c>
      <c r="L103" s="6">
        <v>32</v>
      </c>
      <c r="M103" s="2" t="s">
        <v>752</v>
      </c>
      <c r="N103" s="7">
        <v>29.1</v>
      </c>
      <c r="O103" s="4">
        <v>931.2</v>
      </c>
      <c r="P103" s="4">
        <v>931.2</v>
      </c>
      <c r="Q103" s="6">
        <v>0</v>
      </c>
    </row>
    <row r="104" spans="1:17" x14ac:dyDescent="0.25">
      <c r="A104" s="2" t="s">
        <v>740</v>
      </c>
      <c r="B104" s="2" t="s">
        <v>41</v>
      </c>
      <c r="C104" s="2" t="s">
        <v>42</v>
      </c>
      <c r="D104" s="2" t="s">
        <v>758</v>
      </c>
      <c r="E104" s="2" t="s">
        <v>845</v>
      </c>
      <c r="F104" s="2" t="s">
        <v>844</v>
      </c>
      <c r="G104" s="3">
        <v>46027</v>
      </c>
      <c r="H104" s="2" t="s">
        <v>753</v>
      </c>
      <c r="I104" s="2" t="s">
        <v>755</v>
      </c>
      <c r="J104" s="2" t="s">
        <v>754</v>
      </c>
      <c r="K104" s="2" t="s">
        <v>753</v>
      </c>
      <c r="L104" s="6">
        <v>28</v>
      </c>
      <c r="M104" s="2" t="s">
        <v>752</v>
      </c>
      <c r="N104" s="7">
        <v>28.49</v>
      </c>
      <c r="O104" s="4">
        <v>797.72</v>
      </c>
      <c r="P104" s="4">
        <v>797.72</v>
      </c>
      <c r="Q104" s="6">
        <v>0</v>
      </c>
    </row>
    <row r="105" spans="1:17" x14ac:dyDescent="0.25">
      <c r="A105" s="2" t="s">
        <v>740</v>
      </c>
      <c r="B105" s="2" t="s">
        <v>41</v>
      </c>
      <c r="C105" s="2" t="s">
        <v>42</v>
      </c>
      <c r="D105" s="2" t="s">
        <v>758</v>
      </c>
      <c r="E105" s="2" t="s">
        <v>841</v>
      </c>
      <c r="F105" s="2" t="s">
        <v>840</v>
      </c>
      <c r="G105" s="3">
        <v>46027</v>
      </c>
      <c r="H105" s="2" t="s">
        <v>753</v>
      </c>
      <c r="I105" s="2" t="s">
        <v>755</v>
      </c>
      <c r="J105" s="2" t="s">
        <v>754</v>
      </c>
      <c r="K105" s="2" t="s">
        <v>753</v>
      </c>
      <c r="L105" s="6">
        <v>64</v>
      </c>
      <c r="M105" s="2" t="s">
        <v>752</v>
      </c>
      <c r="N105" s="7">
        <v>28.49</v>
      </c>
      <c r="O105" s="4">
        <v>1823.36</v>
      </c>
      <c r="P105" s="4">
        <v>1823.36</v>
      </c>
      <c r="Q105" s="6">
        <v>0</v>
      </c>
    </row>
    <row r="106" spans="1:17" x14ac:dyDescent="0.25">
      <c r="A106" s="2" t="s">
        <v>740</v>
      </c>
      <c r="B106" s="2" t="s">
        <v>41</v>
      </c>
      <c r="C106" s="2" t="s">
        <v>42</v>
      </c>
      <c r="D106" s="2" t="s">
        <v>758</v>
      </c>
      <c r="E106" s="2" t="s">
        <v>786</v>
      </c>
      <c r="F106" s="2" t="s">
        <v>785</v>
      </c>
      <c r="G106" s="3">
        <v>46027</v>
      </c>
      <c r="H106" s="2" t="s">
        <v>753</v>
      </c>
      <c r="I106" s="2" t="s">
        <v>755</v>
      </c>
      <c r="J106" s="2" t="s">
        <v>754</v>
      </c>
      <c r="K106" s="2" t="s">
        <v>753</v>
      </c>
      <c r="L106" s="6">
        <v>252</v>
      </c>
      <c r="M106" s="2" t="s">
        <v>752</v>
      </c>
      <c r="N106" s="7">
        <v>25.25</v>
      </c>
      <c r="O106" s="4">
        <v>6363</v>
      </c>
      <c r="P106" s="4">
        <v>6363</v>
      </c>
      <c r="Q106" s="6">
        <v>0</v>
      </c>
    </row>
    <row r="107" spans="1:17" x14ac:dyDescent="0.25">
      <c r="A107" s="2" t="s">
        <v>740</v>
      </c>
      <c r="B107" s="2" t="s">
        <v>41</v>
      </c>
      <c r="C107" s="2" t="s">
        <v>42</v>
      </c>
      <c r="D107" s="2" t="s">
        <v>758</v>
      </c>
      <c r="E107" s="2" t="s">
        <v>763</v>
      </c>
      <c r="F107" s="2" t="s">
        <v>762</v>
      </c>
      <c r="G107" s="3">
        <v>46027</v>
      </c>
      <c r="H107" s="2" t="s">
        <v>753</v>
      </c>
      <c r="I107" s="2" t="s">
        <v>755</v>
      </c>
      <c r="J107" s="2" t="s">
        <v>754</v>
      </c>
      <c r="K107" s="2" t="s">
        <v>753</v>
      </c>
      <c r="L107" s="6">
        <v>196</v>
      </c>
      <c r="M107" s="2" t="s">
        <v>752</v>
      </c>
      <c r="N107" s="7">
        <v>40.43</v>
      </c>
      <c r="O107" s="4">
        <v>7924.28</v>
      </c>
      <c r="P107" s="4">
        <v>7924.28</v>
      </c>
      <c r="Q107" s="6">
        <v>0</v>
      </c>
    </row>
    <row r="108" spans="1:17" x14ac:dyDescent="0.25">
      <c r="A108" s="2" t="s">
        <v>700</v>
      </c>
      <c r="B108" s="2" t="s">
        <v>171</v>
      </c>
      <c r="C108" s="2" t="s">
        <v>172</v>
      </c>
      <c r="D108" s="2" t="s">
        <v>758</v>
      </c>
      <c r="E108" s="2" t="s">
        <v>780</v>
      </c>
      <c r="F108" s="2" t="s">
        <v>779</v>
      </c>
      <c r="G108" s="3">
        <v>46043</v>
      </c>
      <c r="H108" s="2" t="s">
        <v>753</v>
      </c>
      <c r="I108" s="2" t="s">
        <v>755</v>
      </c>
      <c r="J108" s="2" t="s">
        <v>754</v>
      </c>
      <c r="K108" s="2" t="s">
        <v>753</v>
      </c>
      <c r="L108" s="6">
        <v>960</v>
      </c>
      <c r="M108" s="2" t="s">
        <v>752</v>
      </c>
      <c r="N108" s="7">
        <v>26.25</v>
      </c>
      <c r="O108" s="4">
        <v>25200</v>
      </c>
      <c r="P108" s="4">
        <v>25200</v>
      </c>
      <c r="Q108" s="6">
        <v>0</v>
      </c>
    </row>
    <row r="109" spans="1:17" x14ac:dyDescent="0.25">
      <c r="A109" s="2" t="s">
        <v>710</v>
      </c>
      <c r="B109" s="2" t="s">
        <v>29</v>
      </c>
      <c r="C109" s="2" t="s">
        <v>30</v>
      </c>
      <c r="D109" s="2" t="s">
        <v>758</v>
      </c>
      <c r="E109" s="2" t="s">
        <v>817</v>
      </c>
      <c r="F109" s="2" t="s">
        <v>937</v>
      </c>
      <c r="G109" s="3">
        <v>46037</v>
      </c>
      <c r="H109" s="2" t="s">
        <v>753</v>
      </c>
      <c r="I109" s="2" t="s">
        <v>755</v>
      </c>
      <c r="J109" s="2" t="s">
        <v>754</v>
      </c>
      <c r="K109" s="2" t="s">
        <v>753</v>
      </c>
      <c r="L109" s="6">
        <v>56</v>
      </c>
      <c r="M109" s="2" t="s">
        <v>752</v>
      </c>
      <c r="N109" s="7">
        <v>31.42</v>
      </c>
      <c r="O109" s="4">
        <v>1759.52</v>
      </c>
      <c r="P109" s="4">
        <v>1759.52</v>
      </c>
      <c r="Q109" s="6">
        <v>0</v>
      </c>
    </row>
    <row r="110" spans="1:17" x14ac:dyDescent="0.25">
      <c r="A110" s="2" t="s">
        <v>710</v>
      </c>
      <c r="B110" s="2" t="s">
        <v>29</v>
      </c>
      <c r="C110" s="2" t="s">
        <v>30</v>
      </c>
      <c r="D110" s="2" t="s">
        <v>758</v>
      </c>
      <c r="E110" s="2" t="s">
        <v>815</v>
      </c>
      <c r="F110" s="2" t="s">
        <v>814</v>
      </c>
      <c r="G110" s="3">
        <v>46037</v>
      </c>
      <c r="H110" s="2" t="s">
        <v>753</v>
      </c>
      <c r="I110" s="2" t="s">
        <v>755</v>
      </c>
      <c r="J110" s="2" t="s">
        <v>754</v>
      </c>
      <c r="K110" s="2" t="s">
        <v>753</v>
      </c>
      <c r="L110" s="6">
        <v>140</v>
      </c>
      <c r="M110" s="2" t="s">
        <v>752</v>
      </c>
      <c r="N110" s="7">
        <v>34</v>
      </c>
      <c r="O110" s="4">
        <v>4760</v>
      </c>
      <c r="P110" s="4">
        <v>4760</v>
      </c>
      <c r="Q110" s="6">
        <v>0</v>
      </c>
    </row>
    <row r="111" spans="1:17" x14ac:dyDescent="0.25">
      <c r="A111" s="2" t="s">
        <v>710</v>
      </c>
      <c r="B111" s="2" t="s">
        <v>29</v>
      </c>
      <c r="C111" s="2" t="s">
        <v>30</v>
      </c>
      <c r="D111" s="2" t="s">
        <v>758</v>
      </c>
      <c r="E111" s="2" t="s">
        <v>813</v>
      </c>
      <c r="F111" s="2" t="s">
        <v>812</v>
      </c>
      <c r="G111" s="3">
        <v>46037</v>
      </c>
      <c r="H111" s="2" t="s">
        <v>753</v>
      </c>
      <c r="I111" s="2" t="s">
        <v>755</v>
      </c>
      <c r="J111" s="2" t="s">
        <v>754</v>
      </c>
      <c r="K111" s="2" t="s">
        <v>753</v>
      </c>
      <c r="L111" s="6">
        <v>24</v>
      </c>
      <c r="M111" s="2" t="s">
        <v>752</v>
      </c>
      <c r="N111" s="7">
        <v>43.26</v>
      </c>
      <c r="O111" s="4">
        <v>1038.24</v>
      </c>
      <c r="P111" s="4">
        <v>1038.24</v>
      </c>
      <c r="Q111" s="6">
        <v>0</v>
      </c>
    </row>
    <row r="112" spans="1:17" x14ac:dyDescent="0.25">
      <c r="A112" s="2" t="s">
        <v>710</v>
      </c>
      <c r="B112" s="2" t="s">
        <v>29</v>
      </c>
      <c r="C112" s="2" t="s">
        <v>30</v>
      </c>
      <c r="D112" s="2" t="s">
        <v>758</v>
      </c>
      <c r="E112" s="2" t="s">
        <v>811</v>
      </c>
      <c r="F112" s="2" t="s">
        <v>810</v>
      </c>
      <c r="G112" s="3">
        <v>46037</v>
      </c>
      <c r="H112" s="2" t="s">
        <v>753</v>
      </c>
      <c r="I112" s="2" t="s">
        <v>755</v>
      </c>
      <c r="J112" s="2" t="s">
        <v>754</v>
      </c>
      <c r="K112" s="2" t="s">
        <v>753</v>
      </c>
      <c r="L112" s="6">
        <v>20</v>
      </c>
      <c r="M112" s="2" t="s">
        <v>752</v>
      </c>
      <c r="N112" s="7">
        <v>43.26</v>
      </c>
      <c r="O112" s="4">
        <v>865.2</v>
      </c>
      <c r="P112" s="4">
        <v>865.2</v>
      </c>
      <c r="Q112" s="6">
        <v>0</v>
      </c>
    </row>
    <row r="113" spans="1:17" x14ac:dyDescent="0.25">
      <c r="A113" s="2" t="s">
        <v>710</v>
      </c>
      <c r="B113" s="2" t="s">
        <v>29</v>
      </c>
      <c r="C113" s="2" t="s">
        <v>30</v>
      </c>
      <c r="D113" s="2" t="s">
        <v>758</v>
      </c>
      <c r="E113" s="2" t="s">
        <v>763</v>
      </c>
      <c r="F113" s="2" t="s">
        <v>762</v>
      </c>
      <c r="G113" s="3">
        <v>46037</v>
      </c>
      <c r="H113" s="2" t="s">
        <v>753</v>
      </c>
      <c r="I113" s="2" t="s">
        <v>755</v>
      </c>
      <c r="J113" s="2" t="s">
        <v>754</v>
      </c>
      <c r="K113" s="2" t="s">
        <v>753</v>
      </c>
      <c r="L113" s="6">
        <v>112</v>
      </c>
      <c r="M113" s="2" t="s">
        <v>752</v>
      </c>
      <c r="N113" s="7">
        <v>43.36</v>
      </c>
      <c r="O113" s="4">
        <v>4856.32</v>
      </c>
      <c r="P113" s="4">
        <v>4856.32</v>
      </c>
      <c r="Q113" s="6">
        <v>0</v>
      </c>
    </row>
    <row r="114" spans="1:17" x14ac:dyDescent="0.25">
      <c r="A114" s="2" t="s">
        <v>710</v>
      </c>
      <c r="B114" s="2" t="s">
        <v>29</v>
      </c>
      <c r="C114" s="2" t="s">
        <v>30</v>
      </c>
      <c r="D114" s="2" t="s">
        <v>758</v>
      </c>
      <c r="E114" s="2" t="s">
        <v>776</v>
      </c>
      <c r="F114" s="2" t="s">
        <v>775</v>
      </c>
      <c r="G114" s="3">
        <v>46037</v>
      </c>
      <c r="H114" s="2" t="s">
        <v>753</v>
      </c>
      <c r="I114" s="2" t="s">
        <v>755</v>
      </c>
      <c r="J114" s="2" t="s">
        <v>754</v>
      </c>
      <c r="K114" s="2" t="s">
        <v>753</v>
      </c>
      <c r="L114" s="6">
        <v>20</v>
      </c>
      <c r="M114" s="2" t="s">
        <v>752</v>
      </c>
      <c r="N114" s="7">
        <v>41.2</v>
      </c>
      <c r="O114" s="4">
        <v>824</v>
      </c>
      <c r="P114" s="4">
        <v>824</v>
      </c>
      <c r="Q114" s="6">
        <v>0</v>
      </c>
    </row>
    <row r="115" spans="1:17" x14ac:dyDescent="0.25">
      <c r="A115" s="2" t="s">
        <v>710</v>
      </c>
      <c r="B115" s="2" t="s">
        <v>29</v>
      </c>
      <c r="C115" s="2" t="s">
        <v>30</v>
      </c>
      <c r="D115" s="2" t="s">
        <v>758</v>
      </c>
      <c r="E115" s="2" t="s">
        <v>807</v>
      </c>
      <c r="F115" s="2" t="s">
        <v>806</v>
      </c>
      <c r="G115" s="3">
        <v>46037</v>
      </c>
      <c r="H115" s="2" t="s">
        <v>753</v>
      </c>
      <c r="I115" s="2" t="s">
        <v>755</v>
      </c>
      <c r="J115" s="2" t="s">
        <v>754</v>
      </c>
      <c r="K115" s="2" t="s">
        <v>753</v>
      </c>
      <c r="L115" s="6">
        <v>1</v>
      </c>
      <c r="M115" s="2" t="s">
        <v>752</v>
      </c>
      <c r="N115" s="7">
        <v>42.02</v>
      </c>
      <c r="O115" s="4">
        <v>42.02</v>
      </c>
      <c r="P115" s="4">
        <v>42.02</v>
      </c>
      <c r="Q115" s="6">
        <v>0</v>
      </c>
    </row>
    <row r="116" spans="1:17" x14ac:dyDescent="0.25">
      <c r="A116" s="2" t="s">
        <v>710</v>
      </c>
      <c r="B116" s="2" t="s">
        <v>29</v>
      </c>
      <c r="C116" s="2" t="s">
        <v>30</v>
      </c>
      <c r="D116" s="2" t="s">
        <v>758</v>
      </c>
      <c r="E116" s="2" t="s">
        <v>805</v>
      </c>
      <c r="F116" s="2" t="s">
        <v>804</v>
      </c>
      <c r="G116" s="3">
        <v>46037</v>
      </c>
      <c r="H116" s="2" t="s">
        <v>753</v>
      </c>
      <c r="I116" s="2" t="s">
        <v>755</v>
      </c>
      <c r="J116" s="2" t="s">
        <v>754</v>
      </c>
      <c r="K116" s="2" t="s">
        <v>753</v>
      </c>
      <c r="L116" s="6">
        <v>20</v>
      </c>
      <c r="M116" s="2" t="s">
        <v>752</v>
      </c>
      <c r="N116" s="7">
        <v>41</v>
      </c>
      <c r="O116" s="4">
        <v>820</v>
      </c>
      <c r="P116" s="4">
        <v>820</v>
      </c>
      <c r="Q116" s="6">
        <v>0</v>
      </c>
    </row>
    <row r="117" spans="1:17" x14ac:dyDescent="0.25">
      <c r="A117" s="2" t="s">
        <v>708</v>
      </c>
      <c r="B117" s="2" t="s">
        <v>99</v>
      </c>
      <c r="C117" s="2" t="s">
        <v>100</v>
      </c>
      <c r="D117" s="2" t="s">
        <v>758</v>
      </c>
      <c r="E117" s="2" t="s">
        <v>863</v>
      </c>
      <c r="F117" s="2" t="s">
        <v>862</v>
      </c>
      <c r="G117" s="3">
        <v>46037</v>
      </c>
      <c r="H117" s="2" t="s">
        <v>770</v>
      </c>
      <c r="I117" s="2" t="s">
        <v>755</v>
      </c>
      <c r="J117" s="2" t="s">
        <v>754</v>
      </c>
      <c r="K117" s="2" t="s">
        <v>753</v>
      </c>
      <c r="L117" s="6">
        <v>48</v>
      </c>
      <c r="M117" s="2" t="s">
        <v>752</v>
      </c>
      <c r="N117" s="7">
        <v>33.299999999999997</v>
      </c>
      <c r="O117" s="4">
        <v>1598.4</v>
      </c>
      <c r="P117" s="4">
        <v>1598.4</v>
      </c>
      <c r="Q117" s="6">
        <v>0</v>
      </c>
    </row>
    <row r="118" spans="1:17" x14ac:dyDescent="0.25">
      <c r="A118" s="2" t="s">
        <v>708</v>
      </c>
      <c r="B118" s="2" t="s">
        <v>99</v>
      </c>
      <c r="C118" s="2" t="s">
        <v>100</v>
      </c>
      <c r="D118" s="2" t="s">
        <v>758</v>
      </c>
      <c r="E118" s="2" t="s">
        <v>763</v>
      </c>
      <c r="F118" s="2" t="s">
        <v>762</v>
      </c>
      <c r="G118" s="3">
        <v>46037</v>
      </c>
      <c r="H118" s="2" t="s">
        <v>770</v>
      </c>
      <c r="I118" s="2" t="s">
        <v>755</v>
      </c>
      <c r="J118" s="2" t="s">
        <v>754</v>
      </c>
      <c r="K118" s="2" t="s">
        <v>753</v>
      </c>
      <c r="L118" s="6">
        <v>256</v>
      </c>
      <c r="M118" s="2" t="s">
        <v>752</v>
      </c>
      <c r="N118" s="7">
        <v>36.82</v>
      </c>
      <c r="O118" s="4">
        <v>9425.92</v>
      </c>
      <c r="P118" s="4">
        <v>9425.92</v>
      </c>
      <c r="Q118" s="6">
        <v>0</v>
      </c>
    </row>
    <row r="119" spans="1:17" x14ac:dyDescent="0.25">
      <c r="A119" s="2" t="s">
        <v>708</v>
      </c>
      <c r="B119" s="2" t="s">
        <v>99</v>
      </c>
      <c r="C119" s="2" t="s">
        <v>100</v>
      </c>
      <c r="D119" s="2" t="s">
        <v>758</v>
      </c>
      <c r="E119" s="2" t="s">
        <v>861</v>
      </c>
      <c r="F119" s="2" t="s">
        <v>860</v>
      </c>
      <c r="G119" s="3">
        <v>46037</v>
      </c>
      <c r="H119" s="2" t="s">
        <v>770</v>
      </c>
      <c r="I119" s="2" t="s">
        <v>755</v>
      </c>
      <c r="J119" s="2" t="s">
        <v>754</v>
      </c>
      <c r="K119" s="2" t="s">
        <v>753</v>
      </c>
      <c r="L119" s="6">
        <v>112</v>
      </c>
      <c r="M119" s="2" t="s">
        <v>752</v>
      </c>
      <c r="N119" s="7">
        <v>39.700000000000003</v>
      </c>
      <c r="O119" s="4">
        <v>4446.3999999999996</v>
      </c>
      <c r="P119" s="4">
        <v>4446.3999999999996</v>
      </c>
      <c r="Q119" s="6">
        <v>0</v>
      </c>
    </row>
    <row r="120" spans="1:17" x14ac:dyDescent="0.25">
      <c r="A120" s="2" t="s">
        <v>708</v>
      </c>
      <c r="B120" s="2" t="s">
        <v>99</v>
      </c>
      <c r="C120" s="2" t="s">
        <v>100</v>
      </c>
      <c r="D120" s="2" t="s">
        <v>758</v>
      </c>
      <c r="E120" s="2" t="s">
        <v>757</v>
      </c>
      <c r="F120" s="2" t="s">
        <v>756</v>
      </c>
      <c r="G120" s="3">
        <v>46037</v>
      </c>
      <c r="H120" s="2" t="s">
        <v>770</v>
      </c>
      <c r="I120" s="2" t="s">
        <v>755</v>
      </c>
      <c r="J120" s="2" t="s">
        <v>754</v>
      </c>
      <c r="K120" s="2" t="s">
        <v>753</v>
      </c>
      <c r="L120" s="6">
        <v>400</v>
      </c>
      <c r="M120" s="2" t="s">
        <v>752</v>
      </c>
      <c r="N120" s="7">
        <v>39.700000000000003</v>
      </c>
      <c r="O120" s="4">
        <v>15880</v>
      </c>
      <c r="P120" s="4">
        <v>15880</v>
      </c>
      <c r="Q120" s="6">
        <v>0</v>
      </c>
    </row>
    <row r="121" spans="1:17" x14ac:dyDescent="0.25">
      <c r="A121" s="2" t="s">
        <v>702</v>
      </c>
      <c r="B121" s="2" t="s">
        <v>139</v>
      </c>
      <c r="C121" s="2" t="s">
        <v>140</v>
      </c>
      <c r="D121" s="2" t="s">
        <v>758</v>
      </c>
      <c r="E121" s="2" t="s">
        <v>865</v>
      </c>
      <c r="F121" s="2" t="s">
        <v>864</v>
      </c>
      <c r="G121" s="3">
        <v>46041</v>
      </c>
      <c r="H121" s="2" t="s">
        <v>753</v>
      </c>
      <c r="I121" s="2" t="s">
        <v>755</v>
      </c>
      <c r="J121" s="2" t="s">
        <v>754</v>
      </c>
      <c r="K121" s="2" t="s">
        <v>753</v>
      </c>
      <c r="L121" s="6">
        <v>52</v>
      </c>
      <c r="M121" s="2" t="s">
        <v>752</v>
      </c>
      <c r="N121" s="7">
        <v>40.11</v>
      </c>
      <c r="O121" s="4">
        <v>2085.7199999999998</v>
      </c>
      <c r="P121" s="4">
        <v>2085.7199999999998</v>
      </c>
      <c r="Q121" s="6">
        <v>0</v>
      </c>
    </row>
    <row r="122" spans="1:17" x14ac:dyDescent="0.25">
      <c r="A122" s="2" t="s">
        <v>702</v>
      </c>
      <c r="B122" s="2" t="s">
        <v>139</v>
      </c>
      <c r="C122" s="2" t="s">
        <v>140</v>
      </c>
      <c r="D122" s="2" t="s">
        <v>758</v>
      </c>
      <c r="E122" s="2" t="s">
        <v>922</v>
      </c>
      <c r="F122" s="2" t="s">
        <v>921</v>
      </c>
      <c r="G122" s="3">
        <v>46041</v>
      </c>
      <c r="H122" s="2" t="s">
        <v>753</v>
      </c>
      <c r="I122" s="2" t="s">
        <v>755</v>
      </c>
      <c r="J122" s="2" t="s">
        <v>754</v>
      </c>
      <c r="K122" s="2" t="s">
        <v>753</v>
      </c>
      <c r="L122" s="6">
        <v>12</v>
      </c>
      <c r="M122" s="2" t="s">
        <v>752</v>
      </c>
      <c r="N122" s="7">
        <v>48.57</v>
      </c>
      <c r="O122" s="4">
        <v>582.84</v>
      </c>
      <c r="P122" s="4">
        <v>582.84</v>
      </c>
      <c r="Q122" s="6">
        <v>0</v>
      </c>
    </row>
    <row r="123" spans="1:17" x14ac:dyDescent="0.25">
      <c r="A123" s="2" t="s">
        <v>702</v>
      </c>
      <c r="B123" s="2" t="s">
        <v>139</v>
      </c>
      <c r="C123" s="2" t="s">
        <v>140</v>
      </c>
      <c r="D123" s="2" t="s">
        <v>758</v>
      </c>
      <c r="E123" s="2" t="s">
        <v>827</v>
      </c>
      <c r="F123" s="2" t="s">
        <v>826</v>
      </c>
      <c r="G123" s="3">
        <v>46041</v>
      </c>
      <c r="H123" s="2" t="s">
        <v>753</v>
      </c>
      <c r="I123" s="2" t="s">
        <v>755</v>
      </c>
      <c r="J123" s="2" t="s">
        <v>754</v>
      </c>
      <c r="K123" s="2" t="s">
        <v>753</v>
      </c>
      <c r="L123" s="6">
        <v>32</v>
      </c>
      <c r="M123" s="2" t="s">
        <v>752</v>
      </c>
      <c r="N123" s="7">
        <v>40.85</v>
      </c>
      <c r="O123" s="4">
        <v>1307.2</v>
      </c>
      <c r="P123" s="4">
        <v>1307.2</v>
      </c>
      <c r="Q123" s="6">
        <v>0</v>
      </c>
    </row>
    <row r="124" spans="1:17" x14ac:dyDescent="0.25">
      <c r="A124" s="2" t="s">
        <v>702</v>
      </c>
      <c r="B124" s="2" t="s">
        <v>139</v>
      </c>
      <c r="C124" s="2" t="s">
        <v>140</v>
      </c>
      <c r="D124" s="2" t="s">
        <v>758</v>
      </c>
      <c r="E124" s="2" t="s">
        <v>879</v>
      </c>
      <c r="F124" s="2" t="s">
        <v>878</v>
      </c>
      <c r="G124" s="3">
        <v>46041</v>
      </c>
      <c r="H124" s="2" t="s">
        <v>753</v>
      </c>
      <c r="I124" s="2" t="s">
        <v>755</v>
      </c>
      <c r="J124" s="2" t="s">
        <v>754</v>
      </c>
      <c r="K124" s="2" t="s">
        <v>753</v>
      </c>
      <c r="L124" s="6">
        <v>116</v>
      </c>
      <c r="M124" s="2" t="s">
        <v>752</v>
      </c>
      <c r="N124" s="7">
        <v>40.9</v>
      </c>
      <c r="O124" s="4">
        <v>4744.3999999999996</v>
      </c>
      <c r="P124" s="4">
        <v>4744.3999999999996</v>
      </c>
      <c r="Q124" s="6">
        <v>0</v>
      </c>
    </row>
    <row r="125" spans="1:17" x14ac:dyDescent="0.25">
      <c r="A125" s="2" t="s">
        <v>702</v>
      </c>
      <c r="B125" s="2" t="s">
        <v>139</v>
      </c>
      <c r="C125" s="2" t="s">
        <v>140</v>
      </c>
      <c r="D125" s="2" t="s">
        <v>758</v>
      </c>
      <c r="E125" s="2" t="s">
        <v>847</v>
      </c>
      <c r="F125" s="2" t="s">
        <v>846</v>
      </c>
      <c r="G125" s="3">
        <v>46041</v>
      </c>
      <c r="H125" s="2" t="s">
        <v>753</v>
      </c>
      <c r="I125" s="2" t="s">
        <v>755</v>
      </c>
      <c r="J125" s="2" t="s">
        <v>754</v>
      </c>
      <c r="K125" s="2" t="s">
        <v>753</v>
      </c>
      <c r="L125" s="6">
        <v>72</v>
      </c>
      <c r="M125" s="2" t="s">
        <v>752</v>
      </c>
      <c r="N125" s="7">
        <v>38.08</v>
      </c>
      <c r="O125" s="4">
        <v>2741.76</v>
      </c>
      <c r="P125" s="4">
        <v>2741.76</v>
      </c>
      <c r="Q125" s="6">
        <v>0</v>
      </c>
    </row>
    <row r="126" spans="1:17" x14ac:dyDescent="0.25">
      <c r="A126" s="2" t="s">
        <v>702</v>
      </c>
      <c r="B126" s="2" t="s">
        <v>139</v>
      </c>
      <c r="C126" s="2" t="s">
        <v>140</v>
      </c>
      <c r="D126" s="2" t="s">
        <v>758</v>
      </c>
      <c r="E126" s="2" t="s">
        <v>819</v>
      </c>
      <c r="F126" s="2" t="s">
        <v>818</v>
      </c>
      <c r="G126" s="3">
        <v>46041</v>
      </c>
      <c r="H126" s="2" t="s">
        <v>753</v>
      </c>
      <c r="I126" s="2" t="s">
        <v>755</v>
      </c>
      <c r="J126" s="2" t="s">
        <v>754</v>
      </c>
      <c r="K126" s="2" t="s">
        <v>753</v>
      </c>
      <c r="L126" s="6">
        <v>60</v>
      </c>
      <c r="M126" s="2" t="s">
        <v>752</v>
      </c>
      <c r="N126" s="7">
        <v>40.22</v>
      </c>
      <c r="O126" s="4">
        <v>2413.1999999999998</v>
      </c>
      <c r="P126" s="4">
        <v>2413.1999999999998</v>
      </c>
      <c r="Q126" s="6">
        <v>0</v>
      </c>
    </row>
    <row r="127" spans="1:17" x14ac:dyDescent="0.25">
      <c r="A127" s="2" t="s">
        <v>706</v>
      </c>
      <c r="B127" s="2" t="s">
        <v>21</v>
      </c>
      <c r="C127" s="2" t="s">
        <v>22</v>
      </c>
      <c r="D127" s="2" t="s">
        <v>758</v>
      </c>
      <c r="E127" s="2" t="s">
        <v>774</v>
      </c>
      <c r="F127" s="2" t="s">
        <v>773</v>
      </c>
      <c r="G127" s="3">
        <v>46037</v>
      </c>
      <c r="H127" s="2" t="s">
        <v>753</v>
      </c>
      <c r="I127" s="2" t="s">
        <v>755</v>
      </c>
      <c r="J127" s="2" t="s">
        <v>754</v>
      </c>
      <c r="K127" s="2" t="s">
        <v>753</v>
      </c>
      <c r="L127" s="6">
        <v>28</v>
      </c>
      <c r="M127" s="2" t="s">
        <v>752</v>
      </c>
      <c r="N127" s="7">
        <v>38.299999999999997</v>
      </c>
      <c r="O127" s="4">
        <v>1072.4000000000001</v>
      </c>
      <c r="P127" s="4">
        <v>1072.4000000000001</v>
      </c>
      <c r="Q127" s="6">
        <v>0</v>
      </c>
    </row>
    <row r="128" spans="1:17" x14ac:dyDescent="0.25">
      <c r="A128" s="2" t="s">
        <v>706</v>
      </c>
      <c r="B128" s="2" t="s">
        <v>21</v>
      </c>
      <c r="C128" s="2" t="s">
        <v>22</v>
      </c>
      <c r="D128" s="2" t="s">
        <v>758</v>
      </c>
      <c r="E128" s="2" t="s">
        <v>794</v>
      </c>
      <c r="F128" s="2" t="s">
        <v>793</v>
      </c>
      <c r="G128" s="3">
        <v>46037</v>
      </c>
      <c r="H128" s="2" t="s">
        <v>753</v>
      </c>
      <c r="I128" s="2" t="s">
        <v>755</v>
      </c>
      <c r="J128" s="2" t="s">
        <v>754</v>
      </c>
      <c r="K128" s="2" t="s">
        <v>753</v>
      </c>
      <c r="L128" s="6">
        <v>0</v>
      </c>
      <c r="M128" s="2" t="s">
        <v>752</v>
      </c>
      <c r="N128" s="7">
        <v>40.619999999999997</v>
      </c>
      <c r="O128" s="4">
        <v>0</v>
      </c>
      <c r="P128" s="4">
        <v>0</v>
      </c>
      <c r="Q128" s="6">
        <v>0</v>
      </c>
    </row>
    <row r="129" spans="1:17" x14ac:dyDescent="0.25">
      <c r="A129" s="2" t="s">
        <v>706</v>
      </c>
      <c r="B129" s="2" t="s">
        <v>21</v>
      </c>
      <c r="C129" s="2" t="s">
        <v>22</v>
      </c>
      <c r="D129" s="2" t="s">
        <v>758</v>
      </c>
      <c r="E129" s="2" t="s">
        <v>792</v>
      </c>
      <c r="F129" s="2" t="s">
        <v>943</v>
      </c>
      <c r="G129" s="3">
        <v>46037</v>
      </c>
      <c r="H129" s="2" t="s">
        <v>753</v>
      </c>
      <c r="I129" s="2" t="s">
        <v>755</v>
      </c>
      <c r="J129" s="2" t="s">
        <v>754</v>
      </c>
      <c r="K129" s="2" t="s">
        <v>753</v>
      </c>
      <c r="L129" s="6">
        <v>28</v>
      </c>
      <c r="M129" s="2" t="s">
        <v>752</v>
      </c>
      <c r="N129" s="7">
        <v>35</v>
      </c>
      <c r="O129" s="4">
        <v>980</v>
      </c>
      <c r="P129" s="4">
        <v>980</v>
      </c>
      <c r="Q129" s="6">
        <v>0</v>
      </c>
    </row>
    <row r="130" spans="1:17" x14ac:dyDescent="0.25">
      <c r="A130" s="2" t="s">
        <v>706</v>
      </c>
      <c r="B130" s="2" t="s">
        <v>21</v>
      </c>
      <c r="C130" s="2" t="s">
        <v>22</v>
      </c>
      <c r="D130" s="2" t="s">
        <v>758</v>
      </c>
      <c r="E130" s="2" t="s">
        <v>788</v>
      </c>
      <c r="F130" s="2" t="s">
        <v>787</v>
      </c>
      <c r="G130" s="3">
        <v>46037</v>
      </c>
      <c r="H130" s="2" t="s">
        <v>753</v>
      </c>
      <c r="I130" s="2" t="s">
        <v>755</v>
      </c>
      <c r="J130" s="2" t="s">
        <v>754</v>
      </c>
      <c r="K130" s="2" t="s">
        <v>753</v>
      </c>
      <c r="L130" s="6">
        <v>84</v>
      </c>
      <c r="M130" s="2" t="s">
        <v>752</v>
      </c>
      <c r="N130" s="7">
        <v>38.299999999999997</v>
      </c>
      <c r="O130" s="4">
        <v>3217.2</v>
      </c>
      <c r="P130" s="4">
        <v>3217.2</v>
      </c>
      <c r="Q130" s="6">
        <v>0</v>
      </c>
    </row>
    <row r="131" spans="1:17" x14ac:dyDescent="0.25">
      <c r="A131" s="2" t="s">
        <v>706</v>
      </c>
      <c r="B131" s="2" t="s">
        <v>21</v>
      </c>
      <c r="C131" s="2" t="s">
        <v>22</v>
      </c>
      <c r="D131" s="2" t="s">
        <v>758</v>
      </c>
      <c r="E131" s="2" t="s">
        <v>950</v>
      </c>
      <c r="F131" s="2" t="s">
        <v>949</v>
      </c>
      <c r="G131" s="3">
        <v>46037</v>
      </c>
      <c r="H131" s="2" t="s">
        <v>753</v>
      </c>
      <c r="I131" s="2" t="s">
        <v>755</v>
      </c>
      <c r="J131" s="2" t="s">
        <v>754</v>
      </c>
      <c r="K131" s="2" t="s">
        <v>753</v>
      </c>
      <c r="L131" s="6">
        <v>28</v>
      </c>
      <c r="M131" s="2" t="s">
        <v>752</v>
      </c>
      <c r="N131" s="7">
        <v>49</v>
      </c>
      <c r="O131" s="4">
        <v>1372</v>
      </c>
      <c r="P131" s="4">
        <v>1372</v>
      </c>
      <c r="Q131" s="6">
        <v>0</v>
      </c>
    </row>
    <row r="132" spans="1:17" x14ac:dyDescent="0.25">
      <c r="A132" s="2" t="s">
        <v>706</v>
      </c>
      <c r="B132" s="2" t="s">
        <v>21</v>
      </c>
      <c r="C132" s="2" t="s">
        <v>22</v>
      </c>
      <c r="D132" s="2" t="s">
        <v>758</v>
      </c>
      <c r="E132" s="2" t="s">
        <v>851</v>
      </c>
      <c r="F132" s="2" t="s">
        <v>850</v>
      </c>
      <c r="G132" s="3">
        <v>46037</v>
      </c>
      <c r="H132" s="2" t="s">
        <v>753</v>
      </c>
      <c r="I132" s="2" t="s">
        <v>755</v>
      </c>
      <c r="J132" s="2" t="s">
        <v>754</v>
      </c>
      <c r="K132" s="2" t="s">
        <v>753</v>
      </c>
      <c r="L132" s="6">
        <v>0</v>
      </c>
      <c r="M132" s="2" t="s">
        <v>752</v>
      </c>
      <c r="N132" s="7">
        <v>43.82</v>
      </c>
      <c r="O132" s="4">
        <v>0</v>
      </c>
      <c r="P132" s="4">
        <v>0</v>
      </c>
      <c r="Q132" s="6">
        <v>0</v>
      </c>
    </row>
    <row r="133" spans="1:17" x14ac:dyDescent="0.25">
      <c r="A133" s="2" t="s">
        <v>706</v>
      </c>
      <c r="B133" s="2" t="s">
        <v>21</v>
      </c>
      <c r="C133" s="2" t="s">
        <v>22</v>
      </c>
      <c r="D133" s="2" t="s">
        <v>758</v>
      </c>
      <c r="E133" s="2" t="s">
        <v>784</v>
      </c>
      <c r="F133" s="2" t="s">
        <v>783</v>
      </c>
      <c r="G133" s="3">
        <v>46037</v>
      </c>
      <c r="H133" s="2" t="s">
        <v>753</v>
      </c>
      <c r="I133" s="2" t="s">
        <v>755</v>
      </c>
      <c r="J133" s="2" t="s">
        <v>754</v>
      </c>
      <c r="K133" s="2" t="s">
        <v>753</v>
      </c>
      <c r="L133" s="6">
        <v>8</v>
      </c>
      <c r="M133" s="2" t="s">
        <v>752</v>
      </c>
      <c r="N133" s="7">
        <v>38.07</v>
      </c>
      <c r="O133" s="4">
        <v>304.56</v>
      </c>
      <c r="P133" s="4">
        <v>304.56</v>
      </c>
      <c r="Q133" s="6">
        <v>0</v>
      </c>
    </row>
    <row r="134" spans="1:17" x14ac:dyDescent="0.25">
      <c r="A134" s="2" t="s">
        <v>706</v>
      </c>
      <c r="B134" s="2" t="s">
        <v>21</v>
      </c>
      <c r="C134" s="2" t="s">
        <v>22</v>
      </c>
      <c r="D134" s="2" t="s">
        <v>758</v>
      </c>
      <c r="E134" s="2" t="s">
        <v>782</v>
      </c>
      <c r="F134" s="2" t="s">
        <v>781</v>
      </c>
      <c r="G134" s="3">
        <v>46037</v>
      </c>
      <c r="H134" s="2" t="s">
        <v>753</v>
      </c>
      <c r="I134" s="2" t="s">
        <v>755</v>
      </c>
      <c r="J134" s="2" t="s">
        <v>754</v>
      </c>
      <c r="K134" s="2" t="s">
        <v>753</v>
      </c>
      <c r="L134" s="6">
        <v>40</v>
      </c>
      <c r="M134" s="2" t="s">
        <v>752</v>
      </c>
      <c r="N134" s="7">
        <v>36.18</v>
      </c>
      <c r="O134" s="4">
        <v>1447.2</v>
      </c>
      <c r="P134" s="4">
        <v>1447.2</v>
      </c>
      <c r="Q134" s="6">
        <v>0</v>
      </c>
    </row>
    <row r="135" spans="1:17" x14ac:dyDescent="0.25">
      <c r="A135" s="2" t="s">
        <v>706</v>
      </c>
      <c r="B135" s="2" t="s">
        <v>21</v>
      </c>
      <c r="C135" s="2" t="s">
        <v>22</v>
      </c>
      <c r="D135" s="2" t="s">
        <v>758</v>
      </c>
      <c r="E135" s="2" t="s">
        <v>780</v>
      </c>
      <c r="F135" s="2" t="s">
        <v>779</v>
      </c>
      <c r="G135" s="3">
        <v>46037</v>
      </c>
      <c r="H135" s="2" t="s">
        <v>753</v>
      </c>
      <c r="I135" s="2" t="s">
        <v>755</v>
      </c>
      <c r="J135" s="2" t="s">
        <v>754</v>
      </c>
      <c r="K135" s="2" t="s">
        <v>753</v>
      </c>
      <c r="L135" s="6">
        <v>12</v>
      </c>
      <c r="M135" s="2" t="s">
        <v>752</v>
      </c>
      <c r="N135" s="7">
        <v>36.07</v>
      </c>
      <c r="O135" s="4">
        <v>432.84</v>
      </c>
      <c r="P135" s="4">
        <v>432.84</v>
      </c>
      <c r="Q135" s="6">
        <v>0</v>
      </c>
    </row>
    <row r="136" spans="1:17" x14ac:dyDescent="0.25">
      <c r="A136" s="2" t="s">
        <v>706</v>
      </c>
      <c r="B136" s="2" t="s">
        <v>21</v>
      </c>
      <c r="C136" s="2" t="s">
        <v>22</v>
      </c>
      <c r="D136" s="2" t="s">
        <v>758</v>
      </c>
      <c r="E136" s="2" t="s">
        <v>776</v>
      </c>
      <c r="F136" s="2" t="s">
        <v>775</v>
      </c>
      <c r="G136" s="3">
        <v>46037</v>
      </c>
      <c r="H136" s="2" t="s">
        <v>753</v>
      </c>
      <c r="I136" s="2" t="s">
        <v>755</v>
      </c>
      <c r="J136" s="2" t="s">
        <v>754</v>
      </c>
      <c r="K136" s="2" t="s">
        <v>753</v>
      </c>
      <c r="L136" s="6">
        <v>56</v>
      </c>
      <c r="M136" s="2" t="s">
        <v>752</v>
      </c>
      <c r="N136" s="7">
        <v>43.82</v>
      </c>
      <c r="O136" s="4">
        <v>2453.92</v>
      </c>
      <c r="P136" s="4">
        <v>2453.92</v>
      </c>
      <c r="Q136" s="6">
        <v>0</v>
      </c>
    </row>
    <row r="137" spans="1:17" x14ac:dyDescent="0.25">
      <c r="A137" s="2" t="s">
        <v>706</v>
      </c>
      <c r="B137" s="2" t="s">
        <v>21</v>
      </c>
      <c r="C137" s="2" t="s">
        <v>22</v>
      </c>
      <c r="D137" s="2" t="s">
        <v>758</v>
      </c>
      <c r="E137" s="2" t="s">
        <v>786</v>
      </c>
      <c r="F137" s="2" t="s">
        <v>785</v>
      </c>
      <c r="G137" s="3">
        <v>46037</v>
      </c>
      <c r="H137" s="2" t="s">
        <v>753</v>
      </c>
      <c r="I137" s="2" t="s">
        <v>755</v>
      </c>
      <c r="J137" s="2" t="s">
        <v>754</v>
      </c>
      <c r="K137" s="2" t="s">
        <v>753</v>
      </c>
      <c r="L137" s="6">
        <v>28</v>
      </c>
      <c r="M137" s="2" t="s">
        <v>752</v>
      </c>
      <c r="N137" s="7">
        <v>35</v>
      </c>
      <c r="O137" s="4">
        <v>980</v>
      </c>
      <c r="P137" s="4">
        <v>980</v>
      </c>
      <c r="Q137" s="6">
        <v>0</v>
      </c>
    </row>
    <row r="138" spans="1:17" x14ac:dyDescent="0.25">
      <c r="A138" s="2" t="s">
        <v>706</v>
      </c>
      <c r="B138" s="2" t="s">
        <v>21</v>
      </c>
      <c r="C138" s="2" t="s">
        <v>22</v>
      </c>
      <c r="D138" s="2" t="s">
        <v>758</v>
      </c>
      <c r="E138" s="2" t="s">
        <v>835</v>
      </c>
      <c r="F138" s="2" t="s">
        <v>834</v>
      </c>
      <c r="G138" s="3">
        <v>46037</v>
      </c>
      <c r="H138" s="2" t="s">
        <v>753</v>
      </c>
      <c r="I138" s="2" t="s">
        <v>755</v>
      </c>
      <c r="J138" s="2" t="s">
        <v>754</v>
      </c>
      <c r="K138" s="2" t="s">
        <v>753</v>
      </c>
      <c r="L138" s="6">
        <v>16</v>
      </c>
      <c r="M138" s="2" t="s">
        <v>752</v>
      </c>
      <c r="N138" s="7">
        <v>64</v>
      </c>
      <c r="O138" s="4">
        <v>1024</v>
      </c>
      <c r="P138" s="4">
        <v>1024</v>
      </c>
      <c r="Q138" s="6">
        <v>0</v>
      </c>
    </row>
    <row r="139" spans="1:17" x14ac:dyDescent="0.25">
      <c r="A139" s="2" t="s">
        <v>706</v>
      </c>
      <c r="B139" s="2" t="s">
        <v>21</v>
      </c>
      <c r="C139" s="2" t="s">
        <v>22</v>
      </c>
      <c r="D139" s="2" t="s">
        <v>758</v>
      </c>
      <c r="E139" s="2" t="s">
        <v>837</v>
      </c>
      <c r="F139" s="2" t="s">
        <v>836</v>
      </c>
      <c r="G139" s="3">
        <v>46037</v>
      </c>
      <c r="H139" s="2" t="s">
        <v>753</v>
      </c>
      <c r="I139" s="2" t="s">
        <v>755</v>
      </c>
      <c r="J139" s="2" t="s">
        <v>754</v>
      </c>
      <c r="K139" s="2" t="s">
        <v>753</v>
      </c>
      <c r="L139" s="6">
        <v>0</v>
      </c>
      <c r="M139" s="2" t="s">
        <v>752</v>
      </c>
      <c r="N139" s="7">
        <v>60.7</v>
      </c>
      <c r="O139" s="4">
        <v>0</v>
      </c>
      <c r="P139" s="4">
        <v>0</v>
      </c>
      <c r="Q139" s="6">
        <v>0</v>
      </c>
    </row>
    <row r="140" spans="1:17" x14ac:dyDescent="0.25">
      <c r="A140" s="2" t="s">
        <v>716</v>
      </c>
      <c r="B140" s="2" t="s">
        <v>41</v>
      </c>
      <c r="C140" s="2" t="s">
        <v>42</v>
      </c>
      <c r="D140" s="2" t="s">
        <v>758</v>
      </c>
      <c r="E140" s="2" t="s">
        <v>847</v>
      </c>
      <c r="F140" s="2" t="s">
        <v>846</v>
      </c>
      <c r="G140" s="3">
        <v>46036</v>
      </c>
      <c r="H140" s="2" t="s">
        <v>753</v>
      </c>
      <c r="I140" s="2" t="s">
        <v>755</v>
      </c>
      <c r="J140" s="2" t="s">
        <v>754</v>
      </c>
      <c r="K140" s="2" t="s">
        <v>753</v>
      </c>
      <c r="L140" s="6">
        <v>96</v>
      </c>
      <c r="M140" s="2" t="s">
        <v>752</v>
      </c>
      <c r="N140" s="7">
        <v>35.479999999999997</v>
      </c>
      <c r="O140" s="4">
        <v>3406.08</v>
      </c>
      <c r="P140" s="4">
        <v>3406.08</v>
      </c>
      <c r="Q140" s="6">
        <v>0</v>
      </c>
    </row>
    <row r="141" spans="1:17" x14ac:dyDescent="0.25">
      <c r="A141" s="2" t="s">
        <v>716</v>
      </c>
      <c r="B141" s="2" t="s">
        <v>41</v>
      </c>
      <c r="C141" s="2" t="s">
        <v>42</v>
      </c>
      <c r="D141" s="2" t="s">
        <v>758</v>
      </c>
      <c r="E141" s="2" t="s">
        <v>920</v>
      </c>
      <c r="F141" s="2" t="s">
        <v>919</v>
      </c>
      <c r="G141" s="3">
        <v>46036</v>
      </c>
      <c r="H141" s="2" t="s">
        <v>753</v>
      </c>
      <c r="I141" s="2" t="s">
        <v>755</v>
      </c>
      <c r="J141" s="2" t="s">
        <v>754</v>
      </c>
      <c r="K141" s="2" t="s">
        <v>753</v>
      </c>
      <c r="L141" s="6">
        <v>12</v>
      </c>
      <c r="M141" s="2" t="s">
        <v>752</v>
      </c>
      <c r="N141" s="7">
        <v>28.88</v>
      </c>
      <c r="O141" s="4">
        <v>346.56</v>
      </c>
      <c r="P141" s="4">
        <v>346.56</v>
      </c>
      <c r="Q141" s="6">
        <v>0</v>
      </c>
    </row>
    <row r="142" spans="1:17" x14ac:dyDescent="0.25">
      <c r="A142" s="2" t="s">
        <v>716</v>
      </c>
      <c r="B142" s="2" t="s">
        <v>41</v>
      </c>
      <c r="C142" s="2" t="s">
        <v>42</v>
      </c>
      <c r="D142" s="2" t="s">
        <v>758</v>
      </c>
      <c r="E142" s="2" t="s">
        <v>875</v>
      </c>
      <c r="F142" s="2" t="s">
        <v>874</v>
      </c>
      <c r="G142" s="3">
        <v>46036</v>
      </c>
      <c r="H142" s="2" t="s">
        <v>753</v>
      </c>
      <c r="I142" s="2" t="s">
        <v>755</v>
      </c>
      <c r="J142" s="2" t="s">
        <v>754</v>
      </c>
      <c r="K142" s="2" t="s">
        <v>753</v>
      </c>
      <c r="L142" s="6">
        <v>96</v>
      </c>
      <c r="M142" s="2" t="s">
        <v>752</v>
      </c>
      <c r="N142" s="7">
        <v>32.89</v>
      </c>
      <c r="O142" s="4">
        <v>3157.44</v>
      </c>
      <c r="P142" s="4">
        <v>3157.44</v>
      </c>
      <c r="Q142" s="6">
        <v>0</v>
      </c>
    </row>
    <row r="143" spans="1:17" x14ac:dyDescent="0.25">
      <c r="A143" s="2" t="s">
        <v>716</v>
      </c>
      <c r="B143" s="2" t="s">
        <v>41</v>
      </c>
      <c r="C143" s="2" t="s">
        <v>42</v>
      </c>
      <c r="D143" s="2" t="s">
        <v>758</v>
      </c>
      <c r="E143" s="2" t="s">
        <v>894</v>
      </c>
      <c r="F143" s="2" t="s">
        <v>893</v>
      </c>
      <c r="G143" s="3">
        <v>46036</v>
      </c>
      <c r="H143" s="2" t="s">
        <v>753</v>
      </c>
      <c r="I143" s="2" t="s">
        <v>755</v>
      </c>
      <c r="J143" s="2" t="s">
        <v>754</v>
      </c>
      <c r="K143" s="2" t="s">
        <v>753</v>
      </c>
      <c r="L143" s="6">
        <v>224</v>
      </c>
      <c r="M143" s="2" t="s">
        <v>752</v>
      </c>
      <c r="N143" s="7">
        <v>28.33</v>
      </c>
      <c r="O143" s="4">
        <v>6345.92</v>
      </c>
      <c r="P143" s="4">
        <v>6345.92</v>
      </c>
      <c r="Q143" s="6">
        <v>0</v>
      </c>
    </row>
    <row r="144" spans="1:17" x14ac:dyDescent="0.25">
      <c r="A144" s="2" t="s">
        <v>716</v>
      </c>
      <c r="B144" s="2" t="s">
        <v>41</v>
      </c>
      <c r="C144" s="2" t="s">
        <v>42</v>
      </c>
      <c r="D144" s="2" t="s">
        <v>758</v>
      </c>
      <c r="E144" s="2" t="s">
        <v>794</v>
      </c>
      <c r="F144" s="2" t="s">
        <v>793</v>
      </c>
      <c r="G144" s="3">
        <v>46036</v>
      </c>
      <c r="H144" s="2" t="s">
        <v>753</v>
      </c>
      <c r="I144" s="2" t="s">
        <v>755</v>
      </c>
      <c r="J144" s="2" t="s">
        <v>754</v>
      </c>
      <c r="K144" s="2" t="s">
        <v>753</v>
      </c>
      <c r="L144" s="6">
        <v>192</v>
      </c>
      <c r="M144" s="2" t="s">
        <v>752</v>
      </c>
      <c r="N144" s="7">
        <v>28.49</v>
      </c>
      <c r="O144" s="4">
        <v>5470.08</v>
      </c>
      <c r="P144" s="4">
        <v>5470.08</v>
      </c>
      <c r="Q144" s="6">
        <v>0</v>
      </c>
    </row>
    <row r="145" spans="1:17" x14ac:dyDescent="0.25">
      <c r="A145" s="2" t="s">
        <v>716</v>
      </c>
      <c r="B145" s="2" t="s">
        <v>41</v>
      </c>
      <c r="C145" s="2" t="s">
        <v>42</v>
      </c>
      <c r="D145" s="2" t="s">
        <v>758</v>
      </c>
      <c r="E145" s="2" t="s">
        <v>849</v>
      </c>
      <c r="F145" s="2" t="s">
        <v>848</v>
      </c>
      <c r="G145" s="3">
        <v>46036</v>
      </c>
      <c r="H145" s="2" t="s">
        <v>753</v>
      </c>
      <c r="I145" s="2" t="s">
        <v>755</v>
      </c>
      <c r="J145" s="2" t="s">
        <v>754</v>
      </c>
      <c r="K145" s="2" t="s">
        <v>753</v>
      </c>
      <c r="L145" s="6">
        <v>32</v>
      </c>
      <c r="M145" s="2" t="s">
        <v>752</v>
      </c>
      <c r="N145" s="7">
        <v>29.1</v>
      </c>
      <c r="O145" s="4">
        <v>931.2</v>
      </c>
      <c r="P145" s="4">
        <v>931.2</v>
      </c>
      <c r="Q145" s="6">
        <v>0</v>
      </c>
    </row>
    <row r="146" spans="1:17" x14ac:dyDescent="0.25">
      <c r="A146" s="2" t="s">
        <v>716</v>
      </c>
      <c r="B146" s="2" t="s">
        <v>41</v>
      </c>
      <c r="C146" s="2" t="s">
        <v>42</v>
      </c>
      <c r="D146" s="2" t="s">
        <v>758</v>
      </c>
      <c r="E146" s="2" t="s">
        <v>843</v>
      </c>
      <c r="F146" s="2" t="s">
        <v>842</v>
      </c>
      <c r="G146" s="3">
        <v>46036</v>
      </c>
      <c r="H146" s="2" t="s">
        <v>753</v>
      </c>
      <c r="I146" s="2" t="s">
        <v>755</v>
      </c>
      <c r="J146" s="2" t="s">
        <v>754</v>
      </c>
      <c r="K146" s="2" t="s">
        <v>753</v>
      </c>
      <c r="L146" s="6">
        <v>32</v>
      </c>
      <c r="M146" s="2" t="s">
        <v>752</v>
      </c>
      <c r="N146" s="7">
        <v>28.49</v>
      </c>
      <c r="O146" s="4">
        <v>911.68</v>
      </c>
      <c r="P146" s="4">
        <v>911.68</v>
      </c>
      <c r="Q146" s="6">
        <v>0</v>
      </c>
    </row>
    <row r="147" spans="1:17" x14ac:dyDescent="0.25">
      <c r="A147" s="2" t="s">
        <v>716</v>
      </c>
      <c r="B147" s="2" t="s">
        <v>41</v>
      </c>
      <c r="C147" s="2" t="s">
        <v>42</v>
      </c>
      <c r="D147" s="2" t="s">
        <v>758</v>
      </c>
      <c r="E147" s="2" t="s">
        <v>841</v>
      </c>
      <c r="F147" s="2" t="s">
        <v>840</v>
      </c>
      <c r="G147" s="3">
        <v>46036</v>
      </c>
      <c r="H147" s="2" t="s">
        <v>753</v>
      </c>
      <c r="I147" s="2" t="s">
        <v>755</v>
      </c>
      <c r="J147" s="2" t="s">
        <v>754</v>
      </c>
      <c r="K147" s="2" t="s">
        <v>753</v>
      </c>
      <c r="L147" s="6">
        <v>32</v>
      </c>
      <c r="M147" s="2" t="s">
        <v>752</v>
      </c>
      <c r="N147" s="7">
        <v>28.49</v>
      </c>
      <c r="O147" s="4">
        <v>911.68</v>
      </c>
      <c r="P147" s="4">
        <v>911.68</v>
      </c>
      <c r="Q147" s="6">
        <v>0</v>
      </c>
    </row>
    <row r="148" spans="1:17" x14ac:dyDescent="0.25">
      <c r="A148" s="2" t="s">
        <v>716</v>
      </c>
      <c r="B148" s="2" t="s">
        <v>41</v>
      </c>
      <c r="C148" s="2" t="s">
        <v>42</v>
      </c>
      <c r="D148" s="2" t="s">
        <v>758</v>
      </c>
      <c r="E148" s="2" t="s">
        <v>817</v>
      </c>
      <c r="F148" s="2" t="s">
        <v>937</v>
      </c>
      <c r="G148" s="3">
        <v>46036</v>
      </c>
      <c r="H148" s="2" t="s">
        <v>753</v>
      </c>
      <c r="I148" s="2" t="s">
        <v>755</v>
      </c>
      <c r="J148" s="2" t="s">
        <v>754</v>
      </c>
      <c r="K148" s="2" t="s">
        <v>753</v>
      </c>
      <c r="L148" s="6">
        <v>48</v>
      </c>
      <c r="M148" s="2" t="s">
        <v>752</v>
      </c>
      <c r="N148" s="7">
        <v>28.88</v>
      </c>
      <c r="O148" s="4">
        <v>1386.24</v>
      </c>
      <c r="P148" s="4">
        <v>1386.24</v>
      </c>
      <c r="Q148" s="6">
        <v>0</v>
      </c>
    </row>
    <row r="149" spans="1:17" x14ac:dyDescent="0.25">
      <c r="A149" s="2" t="s">
        <v>716</v>
      </c>
      <c r="B149" s="2" t="s">
        <v>41</v>
      </c>
      <c r="C149" s="2" t="s">
        <v>42</v>
      </c>
      <c r="D149" s="2" t="s">
        <v>758</v>
      </c>
      <c r="E149" s="2" t="s">
        <v>961</v>
      </c>
      <c r="F149" s="2" t="s">
        <v>960</v>
      </c>
      <c r="G149" s="3">
        <v>46036</v>
      </c>
      <c r="H149" s="2" t="s">
        <v>753</v>
      </c>
      <c r="I149" s="2" t="s">
        <v>755</v>
      </c>
      <c r="J149" s="2" t="s">
        <v>754</v>
      </c>
      <c r="K149" s="2" t="s">
        <v>753</v>
      </c>
      <c r="L149" s="6">
        <v>16</v>
      </c>
      <c r="M149" s="2" t="s">
        <v>752</v>
      </c>
      <c r="N149" s="7">
        <v>43.34</v>
      </c>
      <c r="O149" s="4">
        <v>693.44</v>
      </c>
      <c r="P149" s="4">
        <v>693.44</v>
      </c>
      <c r="Q149" s="6">
        <v>0</v>
      </c>
    </row>
    <row r="150" spans="1:17" x14ac:dyDescent="0.25">
      <c r="A150" s="2" t="s">
        <v>716</v>
      </c>
      <c r="B150" s="2" t="s">
        <v>41</v>
      </c>
      <c r="C150" s="2" t="s">
        <v>42</v>
      </c>
      <c r="D150" s="2" t="s">
        <v>758</v>
      </c>
      <c r="E150" s="2" t="s">
        <v>763</v>
      </c>
      <c r="F150" s="2" t="s">
        <v>762</v>
      </c>
      <c r="G150" s="3">
        <v>46036</v>
      </c>
      <c r="H150" s="2" t="s">
        <v>753</v>
      </c>
      <c r="I150" s="2" t="s">
        <v>755</v>
      </c>
      <c r="J150" s="2" t="s">
        <v>754</v>
      </c>
      <c r="K150" s="2" t="s">
        <v>753</v>
      </c>
      <c r="L150" s="6">
        <v>56</v>
      </c>
      <c r="M150" s="2" t="s">
        <v>752</v>
      </c>
      <c r="N150" s="7">
        <v>40.43</v>
      </c>
      <c r="O150" s="4">
        <v>2264.08</v>
      </c>
      <c r="P150" s="4">
        <v>2264.08</v>
      </c>
      <c r="Q150" s="6">
        <v>0</v>
      </c>
    </row>
    <row r="151" spans="1:17" x14ac:dyDescent="0.25">
      <c r="A151" s="2" t="s">
        <v>1018</v>
      </c>
      <c r="B151" s="2" t="s">
        <v>1017</v>
      </c>
      <c r="C151" s="2" t="s">
        <v>1016</v>
      </c>
      <c r="D151" s="2" t="s">
        <v>758</v>
      </c>
      <c r="E151" s="2" t="s">
        <v>922</v>
      </c>
      <c r="F151" s="2" t="s">
        <v>921</v>
      </c>
      <c r="G151" s="3">
        <v>46029</v>
      </c>
      <c r="H151" s="2" t="s">
        <v>753</v>
      </c>
      <c r="I151" s="2" t="s">
        <v>755</v>
      </c>
      <c r="J151" s="2" t="s">
        <v>754</v>
      </c>
      <c r="K151" s="2" t="s">
        <v>753</v>
      </c>
      <c r="L151" s="6">
        <v>0</v>
      </c>
      <c r="M151" s="2" t="s">
        <v>752</v>
      </c>
      <c r="N151" s="7">
        <v>0</v>
      </c>
      <c r="O151" s="4">
        <v>0</v>
      </c>
      <c r="P151" s="4">
        <v>0</v>
      </c>
      <c r="Q151" s="6">
        <v>0</v>
      </c>
    </row>
    <row r="152" spans="1:17" x14ac:dyDescent="0.25">
      <c r="A152" s="2" t="s">
        <v>1015</v>
      </c>
      <c r="B152" s="2" t="s">
        <v>964</v>
      </c>
      <c r="C152" s="2" t="s">
        <v>963</v>
      </c>
      <c r="D152" s="2" t="s">
        <v>758</v>
      </c>
      <c r="E152" s="2" t="s">
        <v>922</v>
      </c>
      <c r="F152" s="2" t="s">
        <v>921</v>
      </c>
      <c r="G152" s="3">
        <v>46030</v>
      </c>
      <c r="H152" s="2" t="s">
        <v>753</v>
      </c>
      <c r="I152" s="2" t="s">
        <v>755</v>
      </c>
      <c r="J152" s="2" t="s">
        <v>754</v>
      </c>
      <c r="K152" s="2" t="s">
        <v>753</v>
      </c>
      <c r="L152" s="6">
        <v>0</v>
      </c>
      <c r="M152" s="2" t="s">
        <v>752</v>
      </c>
      <c r="N152" s="7">
        <v>0</v>
      </c>
      <c r="O152" s="4">
        <v>0</v>
      </c>
      <c r="P152" s="4">
        <v>0</v>
      </c>
      <c r="Q152" s="6">
        <v>0</v>
      </c>
    </row>
    <row r="153" spans="1:17" x14ac:dyDescent="0.25">
      <c r="A153" s="2" t="s">
        <v>690</v>
      </c>
      <c r="B153" s="2" t="s">
        <v>87</v>
      </c>
      <c r="C153" s="2" t="s">
        <v>88</v>
      </c>
      <c r="D153" s="2" t="s">
        <v>758</v>
      </c>
      <c r="E153" s="2" t="s">
        <v>859</v>
      </c>
      <c r="F153" s="2" t="s">
        <v>858</v>
      </c>
      <c r="G153" s="3">
        <v>46049</v>
      </c>
      <c r="H153" s="2" t="s">
        <v>753</v>
      </c>
      <c r="I153" s="2" t="s">
        <v>755</v>
      </c>
      <c r="J153" s="2" t="s">
        <v>754</v>
      </c>
      <c r="K153" s="2" t="s">
        <v>753</v>
      </c>
      <c r="L153" s="6">
        <v>0</v>
      </c>
      <c r="M153" s="2" t="s">
        <v>752</v>
      </c>
      <c r="N153" s="7">
        <v>36.5</v>
      </c>
      <c r="O153" s="4">
        <v>0</v>
      </c>
      <c r="P153" s="4">
        <v>0</v>
      </c>
      <c r="Q153" s="6">
        <v>0</v>
      </c>
    </row>
    <row r="154" spans="1:17" x14ac:dyDescent="0.25">
      <c r="A154" s="2" t="s">
        <v>690</v>
      </c>
      <c r="B154" s="2" t="s">
        <v>87</v>
      </c>
      <c r="C154" s="2" t="s">
        <v>88</v>
      </c>
      <c r="D154" s="2" t="s">
        <v>758</v>
      </c>
      <c r="E154" s="2" t="s">
        <v>845</v>
      </c>
      <c r="F154" s="2" t="s">
        <v>844</v>
      </c>
      <c r="G154" s="3">
        <v>46049</v>
      </c>
      <c r="H154" s="2" t="s">
        <v>753</v>
      </c>
      <c r="I154" s="2" t="s">
        <v>755</v>
      </c>
      <c r="J154" s="2" t="s">
        <v>754</v>
      </c>
      <c r="K154" s="2" t="s">
        <v>753</v>
      </c>
      <c r="L154" s="6">
        <v>56</v>
      </c>
      <c r="M154" s="2" t="s">
        <v>752</v>
      </c>
      <c r="N154" s="7">
        <v>40.119999999999997</v>
      </c>
      <c r="O154" s="4">
        <v>2246.7199999999998</v>
      </c>
      <c r="P154" s="4">
        <v>2246.7199999999998</v>
      </c>
      <c r="Q154" s="6">
        <v>0</v>
      </c>
    </row>
    <row r="155" spans="1:17" x14ac:dyDescent="0.25">
      <c r="A155" s="2" t="s">
        <v>690</v>
      </c>
      <c r="B155" s="2" t="s">
        <v>87</v>
      </c>
      <c r="C155" s="2" t="s">
        <v>88</v>
      </c>
      <c r="D155" s="2" t="s">
        <v>758</v>
      </c>
      <c r="E155" s="2" t="s">
        <v>910</v>
      </c>
      <c r="F155" s="2" t="s">
        <v>909</v>
      </c>
      <c r="G155" s="3">
        <v>46049</v>
      </c>
      <c r="H155" s="2" t="s">
        <v>753</v>
      </c>
      <c r="I155" s="2" t="s">
        <v>755</v>
      </c>
      <c r="J155" s="2" t="s">
        <v>754</v>
      </c>
      <c r="K155" s="2" t="s">
        <v>753</v>
      </c>
      <c r="L155" s="6">
        <v>4</v>
      </c>
      <c r="M155" s="2" t="s">
        <v>752</v>
      </c>
      <c r="N155" s="7">
        <v>42.03</v>
      </c>
      <c r="O155" s="4">
        <v>168.12</v>
      </c>
      <c r="P155" s="4">
        <v>168.12</v>
      </c>
      <c r="Q155" s="6">
        <v>0</v>
      </c>
    </row>
    <row r="156" spans="1:17" x14ac:dyDescent="0.25">
      <c r="A156" s="2" t="s">
        <v>690</v>
      </c>
      <c r="B156" s="2" t="s">
        <v>87</v>
      </c>
      <c r="C156" s="2" t="s">
        <v>88</v>
      </c>
      <c r="D156" s="2" t="s">
        <v>758</v>
      </c>
      <c r="E156" s="2" t="s">
        <v>908</v>
      </c>
      <c r="F156" s="2" t="s">
        <v>907</v>
      </c>
      <c r="G156" s="3">
        <v>46049</v>
      </c>
      <c r="H156" s="2" t="s">
        <v>753</v>
      </c>
      <c r="I156" s="2" t="s">
        <v>755</v>
      </c>
      <c r="J156" s="2" t="s">
        <v>754</v>
      </c>
      <c r="K156" s="2" t="s">
        <v>753</v>
      </c>
      <c r="L156" s="6">
        <v>56</v>
      </c>
      <c r="M156" s="2" t="s">
        <v>752</v>
      </c>
      <c r="N156" s="7">
        <v>39</v>
      </c>
      <c r="O156" s="4">
        <v>2184</v>
      </c>
      <c r="P156" s="4">
        <v>2184</v>
      </c>
      <c r="Q156" s="6">
        <v>0</v>
      </c>
    </row>
    <row r="157" spans="1:17" x14ac:dyDescent="0.25">
      <c r="A157" s="2" t="s">
        <v>690</v>
      </c>
      <c r="B157" s="2" t="s">
        <v>87</v>
      </c>
      <c r="C157" s="2" t="s">
        <v>88</v>
      </c>
      <c r="D157" s="2" t="s">
        <v>758</v>
      </c>
      <c r="E157" s="2" t="s">
        <v>815</v>
      </c>
      <c r="F157" s="2" t="s">
        <v>814</v>
      </c>
      <c r="G157" s="3">
        <v>46049</v>
      </c>
      <c r="H157" s="2" t="s">
        <v>753</v>
      </c>
      <c r="I157" s="2" t="s">
        <v>755</v>
      </c>
      <c r="J157" s="2" t="s">
        <v>754</v>
      </c>
      <c r="K157" s="2" t="s">
        <v>753</v>
      </c>
      <c r="L157" s="6">
        <v>72</v>
      </c>
      <c r="M157" s="2" t="s">
        <v>752</v>
      </c>
      <c r="N157" s="7">
        <v>36.24</v>
      </c>
      <c r="O157" s="4">
        <v>2609.2800000000002</v>
      </c>
      <c r="P157" s="4">
        <v>2609.2800000000002</v>
      </c>
      <c r="Q157" s="6">
        <v>0</v>
      </c>
    </row>
    <row r="158" spans="1:17" x14ac:dyDescent="0.25">
      <c r="A158" s="2" t="s">
        <v>690</v>
      </c>
      <c r="B158" s="2" t="s">
        <v>87</v>
      </c>
      <c r="C158" s="2" t="s">
        <v>88</v>
      </c>
      <c r="D158" s="2" t="s">
        <v>758</v>
      </c>
      <c r="E158" s="2" t="s">
        <v>906</v>
      </c>
      <c r="F158" s="2" t="s">
        <v>905</v>
      </c>
      <c r="G158" s="3">
        <v>46049</v>
      </c>
      <c r="H158" s="2" t="s">
        <v>753</v>
      </c>
      <c r="I158" s="2" t="s">
        <v>755</v>
      </c>
      <c r="J158" s="2" t="s">
        <v>754</v>
      </c>
      <c r="K158" s="2" t="s">
        <v>753</v>
      </c>
      <c r="L158" s="6">
        <v>8</v>
      </c>
      <c r="M158" s="2" t="s">
        <v>752</v>
      </c>
      <c r="N158" s="7">
        <v>35.21</v>
      </c>
      <c r="O158" s="4">
        <v>281.68</v>
      </c>
      <c r="P158" s="4">
        <v>281.68</v>
      </c>
      <c r="Q158" s="6">
        <v>0</v>
      </c>
    </row>
    <row r="159" spans="1:17" x14ac:dyDescent="0.25">
      <c r="A159" s="2" t="s">
        <v>690</v>
      </c>
      <c r="B159" s="2" t="s">
        <v>87</v>
      </c>
      <c r="C159" s="2" t="s">
        <v>88</v>
      </c>
      <c r="D159" s="2" t="s">
        <v>758</v>
      </c>
      <c r="E159" s="2" t="s">
        <v>763</v>
      </c>
      <c r="F159" s="2" t="s">
        <v>762</v>
      </c>
      <c r="G159" s="3">
        <v>46049</v>
      </c>
      <c r="H159" s="2" t="s">
        <v>753</v>
      </c>
      <c r="I159" s="2" t="s">
        <v>755</v>
      </c>
      <c r="J159" s="2" t="s">
        <v>754</v>
      </c>
      <c r="K159" s="2" t="s">
        <v>753</v>
      </c>
      <c r="L159" s="6">
        <v>252</v>
      </c>
      <c r="M159" s="2" t="s">
        <v>752</v>
      </c>
      <c r="N159" s="7">
        <v>45.49</v>
      </c>
      <c r="O159" s="4">
        <v>11463.48</v>
      </c>
      <c r="P159" s="4">
        <v>11463.48</v>
      </c>
      <c r="Q159" s="6">
        <v>0</v>
      </c>
    </row>
    <row r="160" spans="1:17" x14ac:dyDescent="0.25">
      <c r="A160" s="2" t="s">
        <v>690</v>
      </c>
      <c r="B160" s="2" t="s">
        <v>87</v>
      </c>
      <c r="C160" s="2" t="s">
        <v>88</v>
      </c>
      <c r="D160" s="2" t="s">
        <v>758</v>
      </c>
      <c r="E160" s="2" t="s">
        <v>863</v>
      </c>
      <c r="F160" s="2" t="s">
        <v>862</v>
      </c>
      <c r="G160" s="3">
        <v>46049</v>
      </c>
      <c r="H160" s="2" t="s">
        <v>753</v>
      </c>
      <c r="I160" s="2" t="s">
        <v>755</v>
      </c>
      <c r="J160" s="2" t="s">
        <v>754</v>
      </c>
      <c r="K160" s="2" t="s">
        <v>753</v>
      </c>
      <c r="L160" s="6">
        <v>8</v>
      </c>
      <c r="M160" s="2" t="s">
        <v>752</v>
      </c>
      <c r="N160" s="7">
        <v>52.47</v>
      </c>
      <c r="O160" s="4">
        <v>419.76</v>
      </c>
      <c r="P160" s="4">
        <v>419.76</v>
      </c>
      <c r="Q160" s="6">
        <v>0</v>
      </c>
    </row>
    <row r="161" spans="1:17" x14ac:dyDescent="0.25">
      <c r="A161" s="2" t="s">
        <v>690</v>
      </c>
      <c r="B161" s="2" t="s">
        <v>87</v>
      </c>
      <c r="C161" s="2" t="s">
        <v>88</v>
      </c>
      <c r="D161" s="2" t="s">
        <v>758</v>
      </c>
      <c r="E161" s="2" t="s">
        <v>813</v>
      </c>
      <c r="F161" s="2" t="s">
        <v>812</v>
      </c>
      <c r="G161" s="3">
        <v>46049</v>
      </c>
      <c r="H161" s="2" t="s">
        <v>753</v>
      </c>
      <c r="I161" s="2" t="s">
        <v>755</v>
      </c>
      <c r="J161" s="2" t="s">
        <v>754</v>
      </c>
      <c r="K161" s="2" t="s">
        <v>753</v>
      </c>
      <c r="L161" s="6">
        <v>28</v>
      </c>
      <c r="M161" s="2" t="s">
        <v>752</v>
      </c>
      <c r="N161" s="7">
        <v>54</v>
      </c>
      <c r="O161" s="4">
        <v>1512</v>
      </c>
      <c r="P161" s="4">
        <v>1512</v>
      </c>
      <c r="Q161" s="6">
        <v>0</v>
      </c>
    </row>
    <row r="162" spans="1:17" x14ac:dyDescent="0.25">
      <c r="A162" s="2" t="s">
        <v>690</v>
      </c>
      <c r="B162" s="2" t="s">
        <v>87</v>
      </c>
      <c r="C162" s="2" t="s">
        <v>88</v>
      </c>
      <c r="D162" s="2" t="s">
        <v>758</v>
      </c>
      <c r="E162" s="2" t="s">
        <v>776</v>
      </c>
      <c r="F162" s="2" t="s">
        <v>775</v>
      </c>
      <c r="G162" s="3">
        <v>46049</v>
      </c>
      <c r="H162" s="2" t="s">
        <v>753</v>
      </c>
      <c r="I162" s="2" t="s">
        <v>755</v>
      </c>
      <c r="J162" s="2" t="s">
        <v>754</v>
      </c>
      <c r="K162" s="2" t="s">
        <v>753</v>
      </c>
      <c r="L162" s="6">
        <v>28</v>
      </c>
      <c r="M162" s="2" t="s">
        <v>752</v>
      </c>
      <c r="N162" s="7">
        <v>43.2</v>
      </c>
      <c r="O162" s="4">
        <v>1209.5999999999999</v>
      </c>
      <c r="P162" s="4">
        <v>1209.5999999999999</v>
      </c>
      <c r="Q162" s="6">
        <v>0</v>
      </c>
    </row>
    <row r="163" spans="1:17" x14ac:dyDescent="0.25">
      <c r="A163" s="2" t="s">
        <v>690</v>
      </c>
      <c r="B163" s="2" t="s">
        <v>87</v>
      </c>
      <c r="C163" s="2" t="s">
        <v>88</v>
      </c>
      <c r="D163" s="2" t="s">
        <v>758</v>
      </c>
      <c r="E163" s="2" t="s">
        <v>807</v>
      </c>
      <c r="F163" s="2" t="s">
        <v>806</v>
      </c>
      <c r="G163" s="3">
        <v>46049</v>
      </c>
      <c r="H163" s="2" t="s">
        <v>753</v>
      </c>
      <c r="I163" s="2" t="s">
        <v>755</v>
      </c>
      <c r="J163" s="2" t="s">
        <v>754</v>
      </c>
      <c r="K163" s="2" t="s">
        <v>753</v>
      </c>
      <c r="L163" s="6">
        <v>56</v>
      </c>
      <c r="M163" s="2" t="s">
        <v>752</v>
      </c>
      <c r="N163" s="7">
        <v>44.15</v>
      </c>
      <c r="O163" s="4">
        <v>2472.4</v>
      </c>
      <c r="P163" s="4">
        <v>2472.4</v>
      </c>
      <c r="Q163" s="6">
        <v>0</v>
      </c>
    </row>
    <row r="164" spans="1:17" x14ac:dyDescent="0.25">
      <c r="A164" s="2" t="s">
        <v>690</v>
      </c>
      <c r="B164" s="2" t="s">
        <v>87</v>
      </c>
      <c r="C164" s="2" t="s">
        <v>88</v>
      </c>
      <c r="D164" s="2" t="s">
        <v>758</v>
      </c>
      <c r="E164" s="2" t="s">
        <v>956</v>
      </c>
      <c r="F164" s="2" t="s">
        <v>955</v>
      </c>
      <c r="G164" s="3">
        <v>46049</v>
      </c>
      <c r="H164" s="2" t="s">
        <v>753</v>
      </c>
      <c r="I164" s="2" t="s">
        <v>755</v>
      </c>
      <c r="J164" s="2" t="s">
        <v>754</v>
      </c>
      <c r="K164" s="2" t="s">
        <v>753</v>
      </c>
      <c r="L164" s="6">
        <v>8</v>
      </c>
      <c r="M164" s="2" t="s">
        <v>752</v>
      </c>
      <c r="N164" s="7">
        <v>47.4</v>
      </c>
      <c r="O164" s="4">
        <v>379.2</v>
      </c>
      <c r="P164" s="4">
        <v>379.2</v>
      </c>
      <c r="Q164" s="6">
        <v>0</v>
      </c>
    </row>
    <row r="165" spans="1:17" x14ac:dyDescent="0.25">
      <c r="A165" s="2" t="s">
        <v>690</v>
      </c>
      <c r="B165" s="2" t="s">
        <v>87</v>
      </c>
      <c r="C165" s="2" t="s">
        <v>88</v>
      </c>
      <c r="D165" s="2" t="s">
        <v>758</v>
      </c>
      <c r="E165" s="2" t="s">
        <v>904</v>
      </c>
      <c r="F165" s="2" t="s">
        <v>903</v>
      </c>
      <c r="G165" s="3">
        <v>46049</v>
      </c>
      <c r="H165" s="2" t="s">
        <v>753</v>
      </c>
      <c r="I165" s="2" t="s">
        <v>755</v>
      </c>
      <c r="J165" s="2" t="s">
        <v>754</v>
      </c>
      <c r="K165" s="2" t="s">
        <v>753</v>
      </c>
      <c r="L165" s="6">
        <v>4</v>
      </c>
      <c r="M165" s="2" t="s">
        <v>752</v>
      </c>
      <c r="N165" s="7">
        <v>40.22</v>
      </c>
      <c r="O165" s="4">
        <v>160.88</v>
      </c>
      <c r="P165" s="4">
        <v>160.88</v>
      </c>
      <c r="Q165" s="6">
        <v>0</v>
      </c>
    </row>
    <row r="166" spans="1:17" x14ac:dyDescent="0.25">
      <c r="A166" s="2" t="s">
        <v>690</v>
      </c>
      <c r="B166" s="2" t="s">
        <v>87</v>
      </c>
      <c r="C166" s="2" t="s">
        <v>88</v>
      </c>
      <c r="D166" s="2" t="s">
        <v>758</v>
      </c>
      <c r="E166" s="2" t="s">
        <v>855</v>
      </c>
      <c r="F166" s="2" t="s">
        <v>854</v>
      </c>
      <c r="G166" s="3">
        <v>46049</v>
      </c>
      <c r="H166" s="2" t="s">
        <v>753</v>
      </c>
      <c r="I166" s="2" t="s">
        <v>755</v>
      </c>
      <c r="J166" s="2" t="s">
        <v>754</v>
      </c>
      <c r="K166" s="2" t="s">
        <v>753</v>
      </c>
      <c r="L166" s="6">
        <v>96</v>
      </c>
      <c r="M166" s="2" t="s">
        <v>752</v>
      </c>
      <c r="N166" s="7">
        <v>42.37</v>
      </c>
      <c r="O166" s="4">
        <v>4067.52</v>
      </c>
      <c r="P166" s="4">
        <v>4067.52</v>
      </c>
      <c r="Q166" s="6">
        <v>0</v>
      </c>
    </row>
    <row r="167" spans="1:17" x14ac:dyDescent="0.25">
      <c r="A167" s="2" t="s">
        <v>690</v>
      </c>
      <c r="B167" s="2" t="s">
        <v>87</v>
      </c>
      <c r="C167" s="2" t="s">
        <v>88</v>
      </c>
      <c r="D167" s="2" t="s">
        <v>758</v>
      </c>
      <c r="E167" s="2" t="s">
        <v>902</v>
      </c>
      <c r="F167" s="2" t="s">
        <v>901</v>
      </c>
      <c r="G167" s="3">
        <v>46049</v>
      </c>
      <c r="H167" s="2" t="s">
        <v>753</v>
      </c>
      <c r="I167" s="2" t="s">
        <v>755</v>
      </c>
      <c r="J167" s="2" t="s">
        <v>754</v>
      </c>
      <c r="K167" s="2" t="s">
        <v>753</v>
      </c>
      <c r="L167" s="6">
        <v>28</v>
      </c>
      <c r="M167" s="2" t="s">
        <v>752</v>
      </c>
      <c r="N167" s="7">
        <v>42.22</v>
      </c>
      <c r="O167" s="4">
        <v>1182.1600000000001</v>
      </c>
      <c r="P167" s="4">
        <v>1182.1600000000001</v>
      </c>
      <c r="Q167" s="6">
        <v>0</v>
      </c>
    </row>
    <row r="168" spans="1:17" x14ac:dyDescent="0.25">
      <c r="A168" s="2" t="s">
        <v>690</v>
      </c>
      <c r="B168" s="2" t="s">
        <v>87</v>
      </c>
      <c r="C168" s="2" t="s">
        <v>88</v>
      </c>
      <c r="D168" s="2" t="s">
        <v>758</v>
      </c>
      <c r="E168" s="2" t="s">
        <v>900</v>
      </c>
      <c r="F168" s="2" t="s">
        <v>899</v>
      </c>
      <c r="G168" s="3">
        <v>46049</v>
      </c>
      <c r="H168" s="2" t="s">
        <v>753</v>
      </c>
      <c r="I168" s="2" t="s">
        <v>755</v>
      </c>
      <c r="J168" s="2" t="s">
        <v>754</v>
      </c>
      <c r="K168" s="2" t="s">
        <v>753</v>
      </c>
      <c r="L168" s="6">
        <v>56</v>
      </c>
      <c r="M168" s="2" t="s">
        <v>752</v>
      </c>
      <c r="N168" s="7">
        <v>32.549999999999997</v>
      </c>
      <c r="O168" s="4">
        <v>1822.8</v>
      </c>
      <c r="P168" s="4">
        <v>1822.8</v>
      </c>
      <c r="Q168" s="6">
        <v>0</v>
      </c>
    </row>
    <row r="169" spans="1:17" x14ac:dyDescent="0.25">
      <c r="A169" s="2" t="s">
        <v>690</v>
      </c>
      <c r="B169" s="2" t="s">
        <v>87</v>
      </c>
      <c r="C169" s="2" t="s">
        <v>88</v>
      </c>
      <c r="D169" s="2" t="s">
        <v>758</v>
      </c>
      <c r="E169" s="2" t="s">
        <v>819</v>
      </c>
      <c r="F169" s="2" t="s">
        <v>818</v>
      </c>
      <c r="G169" s="3">
        <v>46049</v>
      </c>
      <c r="H169" s="2" t="s">
        <v>753</v>
      </c>
      <c r="I169" s="2" t="s">
        <v>755</v>
      </c>
      <c r="J169" s="2" t="s">
        <v>754</v>
      </c>
      <c r="K169" s="2" t="s">
        <v>753</v>
      </c>
      <c r="L169" s="6">
        <v>28</v>
      </c>
      <c r="M169" s="2" t="s">
        <v>752</v>
      </c>
      <c r="N169" s="7">
        <v>40.22</v>
      </c>
      <c r="O169" s="4">
        <v>1126.1600000000001</v>
      </c>
      <c r="P169" s="4">
        <v>1126.1600000000001</v>
      </c>
      <c r="Q169" s="6">
        <v>0</v>
      </c>
    </row>
    <row r="170" spans="1:17" x14ac:dyDescent="0.25">
      <c r="A170" s="2" t="s">
        <v>688</v>
      </c>
      <c r="B170" s="2" t="s">
        <v>95</v>
      </c>
      <c r="C170" s="2" t="s">
        <v>96</v>
      </c>
      <c r="D170" s="2" t="s">
        <v>758</v>
      </c>
      <c r="E170" s="2" t="s">
        <v>871</v>
      </c>
      <c r="F170" s="2" t="s">
        <v>1010</v>
      </c>
      <c r="G170" s="3">
        <v>46050</v>
      </c>
      <c r="H170" s="2" t="s">
        <v>753</v>
      </c>
      <c r="I170" s="2" t="s">
        <v>755</v>
      </c>
      <c r="J170" s="2" t="s">
        <v>754</v>
      </c>
      <c r="K170" s="2" t="s">
        <v>753</v>
      </c>
      <c r="L170" s="6">
        <v>600</v>
      </c>
      <c r="M170" s="2" t="s">
        <v>752</v>
      </c>
      <c r="N170" s="7">
        <v>41.66</v>
      </c>
      <c r="O170" s="4">
        <v>24996</v>
      </c>
      <c r="P170" s="4">
        <v>24996</v>
      </c>
      <c r="Q170" s="6">
        <v>0</v>
      </c>
    </row>
    <row r="171" spans="1:17" x14ac:dyDescent="0.25">
      <c r="A171" s="2" t="s">
        <v>688</v>
      </c>
      <c r="B171" s="2" t="s">
        <v>95</v>
      </c>
      <c r="C171" s="2" t="s">
        <v>96</v>
      </c>
      <c r="D171" s="2" t="s">
        <v>758</v>
      </c>
      <c r="E171" s="2" t="s">
        <v>918</v>
      </c>
      <c r="F171" s="2" t="s">
        <v>917</v>
      </c>
      <c r="G171" s="3">
        <v>46050</v>
      </c>
      <c r="H171" s="2" t="s">
        <v>753</v>
      </c>
      <c r="I171" s="2" t="s">
        <v>755</v>
      </c>
      <c r="J171" s="2" t="s">
        <v>754</v>
      </c>
      <c r="K171" s="2" t="s">
        <v>753</v>
      </c>
      <c r="L171" s="6">
        <v>48</v>
      </c>
      <c r="M171" s="2" t="s">
        <v>752</v>
      </c>
      <c r="N171" s="7">
        <v>42.53</v>
      </c>
      <c r="O171" s="4">
        <v>2041.44</v>
      </c>
      <c r="P171" s="4">
        <v>2041.44</v>
      </c>
      <c r="Q171" s="6">
        <v>0</v>
      </c>
    </row>
    <row r="172" spans="1:17" x14ac:dyDescent="0.25">
      <c r="A172" s="2" t="s">
        <v>688</v>
      </c>
      <c r="B172" s="2" t="s">
        <v>95</v>
      </c>
      <c r="C172" s="2" t="s">
        <v>96</v>
      </c>
      <c r="D172" s="2" t="s">
        <v>758</v>
      </c>
      <c r="E172" s="2" t="s">
        <v>778</v>
      </c>
      <c r="F172" s="2" t="s">
        <v>997</v>
      </c>
      <c r="G172" s="3">
        <v>46050</v>
      </c>
      <c r="H172" s="2" t="s">
        <v>753</v>
      </c>
      <c r="I172" s="2" t="s">
        <v>755</v>
      </c>
      <c r="J172" s="2" t="s">
        <v>754</v>
      </c>
      <c r="K172" s="2" t="s">
        <v>753</v>
      </c>
      <c r="L172" s="6">
        <v>48</v>
      </c>
      <c r="M172" s="2" t="s">
        <v>752</v>
      </c>
      <c r="N172" s="7">
        <v>39.96</v>
      </c>
      <c r="O172" s="4">
        <v>1918.08</v>
      </c>
      <c r="P172" s="4">
        <v>1918.08</v>
      </c>
      <c r="Q172" s="6">
        <v>0</v>
      </c>
    </row>
    <row r="173" spans="1:17" x14ac:dyDescent="0.25">
      <c r="A173" s="2" t="s">
        <v>688</v>
      </c>
      <c r="B173" s="2" t="s">
        <v>95</v>
      </c>
      <c r="C173" s="2" t="s">
        <v>96</v>
      </c>
      <c r="D173" s="2" t="s">
        <v>758</v>
      </c>
      <c r="E173" s="2" t="s">
        <v>894</v>
      </c>
      <c r="F173" s="2" t="s">
        <v>893</v>
      </c>
      <c r="G173" s="3">
        <v>46050</v>
      </c>
      <c r="H173" s="2" t="s">
        <v>753</v>
      </c>
      <c r="I173" s="2" t="s">
        <v>755</v>
      </c>
      <c r="J173" s="2" t="s">
        <v>754</v>
      </c>
      <c r="K173" s="2" t="s">
        <v>753</v>
      </c>
      <c r="L173" s="6">
        <v>64</v>
      </c>
      <c r="M173" s="2" t="s">
        <v>752</v>
      </c>
      <c r="N173" s="7">
        <v>33.5</v>
      </c>
      <c r="O173" s="4">
        <v>2144</v>
      </c>
      <c r="P173" s="4">
        <v>2144</v>
      </c>
      <c r="Q173" s="6">
        <v>0</v>
      </c>
    </row>
    <row r="174" spans="1:17" x14ac:dyDescent="0.25">
      <c r="A174" s="2" t="s">
        <v>704</v>
      </c>
      <c r="B174" s="2" t="s">
        <v>55</v>
      </c>
      <c r="C174" s="2" t="s">
        <v>56</v>
      </c>
      <c r="D174" s="2" t="s">
        <v>758</v>
      </c>
      <c r="E174" s="2" t="s">
        <v>859</v>
      </c>
      <c r="F174" s="2" t="s">
        <v>858</v>
      </c>
      <c r="G174" s="3">
        <v>46038</v>
      </c>
      <c r="H174" s="2" t="s">
        <v>753</v>
      </c>
      <c r="I174" s="2" t="s">
        <v>755</v>
      </c>
      <c r="J174" s="2" t="s">
        <v>754</v>
      </c>
      <c r="K174" s="2" t="s">
        <v>753</v>
      </c>
      <c r="L174" s="6">
        <v>704</v>
      </c>
      <c r="M174" s="2" t="s">
        <v>752</v>
      </c>
      <c r="N174" s="7">
        <v>33.42</v>
      </c>
      <c r="O174" s="4">
        <v>23527.68</v>
      </c>
      <c r="P174" s="4">
        <v>23527.68</v>
      </c>
      <c r="Q174" s="6">
        <v>0</v>
      </c>
    </row>
    <row r="175" spans="1:17" x14ac:dyDescent="0.25">
      <c r="A175" s="2" t="s">
        <v>1014</v>
      </c>
      <c r="B175" s="2" t="s">
        <v>760</v>
      </c>
      <c r="C175" s="2" t="s">
        <v>759</v>
      </c>
      <c r="D175" s="2" t="s">
        <v>758</v>
      </c>
      <c r="E175" s="2" t="s">
        <v>883</v>
      </c>
      <c r="F175" s="2" t="s">
        <v>882</v>
      </c>
      <c r="G175" s="3">
        <v>46030</v>
      </c>
      <c r="H175" s="2" t="s">
        <v>753</v>
      </c>
      <c r="I175" s="2" t="s">
        <v>755</v>
      </c>
      <c r="J175" s="2" t="s">
        <v>754</v>
      </c>
      <c r="K175" s="2" t="s">
        <v>753</v>
      </c>
      <c r="L175" s="6">
        <v>1</v>
      </c>
      <c r="M175" s="2" t="s">
        <v>752</v>
      </c>
      <c r="N175" s="7">
        <v>0</v>
      </c>
      <c r="O175" s="4">
        <v>0</v>
      </c>
      <c r="P175" s="4">
        <v>0</v>
      </c>
      <c r="Q175" s="6">
        <v>0</v>
      </c>
    </row>
    <row r="176" spans="1:17" x14ac:dyDescent="0.25">
      <c r="A176" s="2" t="s">
        <v>692</v>
      </c>
      <c r="B176" s="2" t="s">
        <v>29</v>
      </c>
      <c r="C176" s="2" t="s">
        <v>30</v>
      </c>
      <c r="D176" s="2" t="s">
        <v>758</v>
      </c>
      <c r="E176" s="2" t="s">
        <v>817</v>
      </c>
      <c r="F176" s="2" t="s">
        <v>937</v>
      </c>
      <c r="G176" s="3">
        <v>46044</v>
      </c>
      <c r="H176" s="2" t="s">
        <v>753</v>
      </c>
      <c r="I176" s="2" t="s">
        <v>755</v>
      </c>
      <c r="J176" s="2" t="s">
        <v>754</v>
      </c>
      <c r="K176" s="2" t="s">
        <v>753</v>
      </c>
      <c r="L176" s="6">
        <v>56</v>
      </c>
      <c r="M176" s="2" t="s">
        <v>752</v>
      </c>
      <c r="N176" s="7">
        <v>31.42</v>
      </c>
      <c r="O176" s="4">
        <v>1759.52</v>
      </c>
      <c r="P176" s="4">
        <v>1759.52</v>
      </c>
      <c r="Q176" s="6">
        <v>0</v>
      </c>
    </row>
    <row r="177" spans="1:17" x14ac:dyDescent="0.25">
      <c r="A177" s="2" t="s">
        <v>692</v>
      </c>
      <c r="B177" s="2" t="s">
        <v>29</v>
      </c>
      <c r="C177" s="2" t="s">
        <v>30</v>
      </c>
      <c r="D177" s="2" t="s">
        <v>758</v>
      </c>
      <c r="E177" s="2" t="s">
        <v>815</v>
      </c>
      <c r="F177" s="2" t="s">
        <v>814</v>
      </c>
      <c r="G177" s="3">
        <v>46044</v>
      </c>
      <c r="H177" s="2" t="s">
        <v>753</v>
      </c>
      <c r="I177" s="2" t="s">
        <v>755</v>
      </c>
      <c r="J177" s="2" t="s">
        <v>754</v>
      </c>
      <c r="K177" s="2" t="s">
        <v>753</v>
      </c>
      <c r="L177" s="6">
        <v>112</v>
      </c>
      <c r="M177" s="2" t="s">
        <v>752</v>
      </c>
      <c r="N177" s="7">
        <v>34</v>
      </c>
      <c r="O177" s="4">
        <v>3808</v>
      </c>
      <c r="P177" s="4">
        <v>3808</v>
      </c>
      <c r="Q177" s="6">
        <v>0</v>
      </c>
    </row>
    <row r="178" spans="1:17" x14ac:dyDescent="0.25">
      <c r="A178" s="2" t="s">
        <v>692</v>
      </c>
      <c r="B178" s="2" t="s">
        <v>29</v>
      </c>
      <c r="C178" s="2" t="s">
        <v>30</v>
      </c>
      <c r="D178" s="2" t="s">
        <v>758</v>
      </c>
      <c r="E178" s="2" t="s">
        <v>813</v>
      </c>
      <c r="F178" s="2" t="s">
        <v>812</v>
      </c>
      <c r="G178" s="3">
        <v>46044</v>
      </c>
      <c r="H178" s="2" t="s">
        <v>753</v>
      </c>
      <c r="I178" s="2" t="s">
        <v>755</v>
      </c>
      <c r="J178" s="2" t="s">
        <v>754</v>
      </c>
      <c r="K178" s="2" t="s">
        <v>753</v>
      </c>
      <c r="L178" s="6">
        <v>12</v>
      </c>
      <c r="M178" s="2" t="s">
        <v>752</v>
      </c>
      <c r="N178" s="7">
        <v>43.26</v>
      </c>
      <c r="O178" s="4">
        <v>519.12</v>
      </c>
      <c r="P178" s="4">
        <v>519.12</v>
      </c>
      <c r="Q178" s="6">
        <v>0</v>
      </c>
    </row>
    <row r="179" spans="1:17" x14ac:dyDescent="0.25">
      <c r="A179" s="2" t="s">
        <v>692</v>
      </c>
      <c r="B179" s="2" t="s">
        <v>29</v>
      </c>
      <c r="C179" s="2" t="s">
        <v>30</v>
      </c>
      <c r="D179" s="2" t="s">
        <v>758</v>
      </c>
      <c r="E179" s="2" t="s">
        <v>811</v>
      </c>
      <c r="F179" s="2" t="s">
        <v>810</v>
      </c>
      <c r="G179" s="3">
        <v>46044</v>
      </c>
      <c r="H179" s="2" t="s">
        <v>753</v>
      </c>
      <c r="I179" s="2" t="s">
        <v>755</v>
      </c>
      <c r="J179" s="2" t="s">
        <v>754</v>
      </c>
      <c r="K179" s="2" t="s">
        <v>753</v>
      </c>
      <c r="L179" s="6">
        <v>20</v>
      </c>
      <c r="M179" s="2" t="s">
        <v>752</v>
      </c>
      <c r="N179" s="7">
        <v>43.26</v>
      </c>
      <c r="O179" s="4">
        <v>865.2</v>
      </c>
      <c r="P179" s="4">
        <v>865.2</v>
      </c>
      <c r="Q179" s="6">
        <v>0</v>
      </c>
    </row>
    <row r="180" spans="1:17" x14ac:dyDescent="0.25">
      <c r="A180" s="2" t="s">
        <v>692</v>
      </c>
      <c r="B180" s="2" t="s">
        <v>29</v>
      </c>
      <c r="C180" s="2" t="s">
        <v>30</v>
      </c>
      <c r="D180" s="2" t="s">
        <v>758</v>
      </c>
      <c r="E180" s="2" t="s">
        <v>763</v>
      </c>
      <c r="F180" s="2" t="s">
        <v>762</v>
      </c>
      <c r="G180" s="3">
        <v>46044</v>
      </c>
      <c r="H180" s="2" t="s">
        <v>753</v>
      </c>
      <c r="I180" s="2" t="s">
        <v>755</v>
      </c>
      <c r="J180" s="2" t="s">
        <v>754</v>
      </c>
      <c r="K180" s="2" t="s">
        <v>753</v>
      </c>
      <c r="L180" s="6">
        <v>112</v>
      </c>
      <c r="M180" s="2" t="s">
        <v>752</v>
      </c>
      <c r="N180" s="7">
        <v>43.36</v>
      </c>
      <c r="O180" s="4">
        <v>4856.32</v>
      </c>
      <c r="P180" s="4">
        <v>4856.32</v>
      </c>
      <c r="Q180" s="6">
        <v>0</v>
      </c>
    </row>
    <row r="181" spans="1:17" x14ac:dyDescent="0.25">
      <c r="A181" s="2" t="s">
        <v>692</v>
      </c>
      <c r="B181" s="2" t="s">
        <v>29</v>
      </c>
      <c r="C181" s="2" t="s">
        <v>30</v>
      </c>
      <c r="D181" s="2" t="s">
        <v>758</v>
      </c>
      <c r="E181" s="2" t="s">
        <v>776</v>
      </c>
      <c r="F181" s="2" t="s">
        <v>775</v>
      </c>
      <c r="G181" s="3">
        <v>46044</v>
      </c>
      <c r="H181" s="2" t="s">
        <v>753</v>
      </c>
      <c r="I181" s="2" t="s">
        <v>755</v>
      </c>
      <c r="J181" s="2" t="s">
        <v>754</v>
      </c>
      <c r="K181" s="2" t="s">
        <v>753</v>
      </c>
      <c r="L181" s="6">
        <v>20</v>
      </c>
      <c r="M181" s="2" t="s">
        <v>752</v>
      </c>
      <c r="N181" s="7">
        <v>41.2</v>
      </c>
      <c r="O181" s="4">
        <v>824</v>
      </c>
      <c r="P181" s="4">
        <v>824</v>
      </c>
      <c r="Q181" s="6">
        <v>0</v>
      </c>
    </row>
    <row r="182" spans="1:17" x14ac:dyDescent="0.25">
      <c r="A182" s="2" t="s">
        <v>692</v>
      </c>
      <c r="B182" s="2" t="s">
        <v>29</v>
      </c>
      <c r="C182" s="2" t="s">
        <v>30</v>
      </c>
      <c r="D182" s="2" t="s">
        <v>758</v>
      </c>
      <c r="E182" s="2" t="s">
        <v>847</v>
      </c>
      <c r="F182" s="2" t="s">
        <v>846</v>
      </c>
      <c r="G182" s="3">
        <v>46044</v>
      </c>
      <c r="H182" s="2" t="s">
        <v>753</v>
      </c>
      <c r="I182" s="2" t="s">
        <v>755</v>
      </c>
      <c r="J182" s="2" t="s">
        <v>754</v>
      </c>
      <c r="K182" s="2" t="s">
        <v>753</v>
      </c>
      <c r="L182" s="6">
        <v>28</v>
      </c>
      <c r="M182" s="2" t="s">
        <v>752</v>
      </c>
      <c r="N182" s="7">
        <v>38.19</v>
      </c>
      <c r="O182" s="4">
        <v>1069.32</v>
      </c>
      <c r="P182" s="4">
        <v>1069.32</v>
      </c>
      <c r="Q182" s="6">
        <v>0</v>
      </c>
    </row>
    <row r="183" spans="1:17" x14ac:dyDescent="0.25">
      <c r="A183" s="2" t="s">
        <v>692</v>
      </c>
      <c r="B183" s="2" t="s">
        <v>29</v>
      </c>
      <c r="C183" s="2" t="s">
        <v>30</v>
      </c>
      <c r="D183" s="2" t="s">
        <v>758</v>
      </c>
      <c r="E183" s="2" t="s">
        <v>927</v>
      </c>
      <c r="F183" s="2" t="s">
        <v>926</v>
      </c>
      <c r="G183" s="3">
        <v>46044</v>
      </c>
      <c r="H183" s="2" t="s">
        <v>753</v>
      </c>
      <c r="I183" s="2" t="s">
        <v>755</v>
      </c>
      <c r="J183" s="2" t="s">
        <v>754</v>
      </c>
      <c r="K183" s="2" t="s">
        <v>753</v>
      </c>
      <c r="L183" s="6">
        <v>8</v>
      </c>
      <c r="M183" s="2" t="s">
        <v>752</v>
      </c>
      <c r="N183" s="7">
        <v>45.84</v>
      </c>
      <c r="O183" s="4">
        <v>366.72</v>
      </c>
      <c r="P183" s="4">
        <v>366.72</v>
      </c>
      <c r="Q183" s="6">
        <v>0</v>
      </c>
    </row>
    <row r="184" spans="1:17" x14ac:dyDescent="0.25">
      <c r="A184" s="2" t="s">
        <v>692</v>
      </c>
      <c r="B184" s="2" t="s">
        <v>29</v>
      </c>
      <c r="C184" s="2" t="s">
        <v>30</v>
      </c>
      <c r="D184" s="2" t="s">
        <v>758</v>
      </c>
      <c r="E184" s="2" t="s">
        <v>805</v>
      </c>
      <c r="F184" s="2" t="s">
        <v>804</v>
      </c>
      <c r="G184" s="3">
        <v>46044</v>
      </c>
      <c r="H184" s="2" t="s">
        <v>753</v>
      </c>
      <c r="I184" s="2" t="s">
        <v>755</v>
      </c>
      <c r="J184" s="2" t="s">
        <v>754</v>
      </c>
      <c r="K184" s="2" t="s">
        <v>753</v>
      </c>
      <c r="L184" s="6">
        <v>40</v>
      </c>
      <c r="M184" s="2" t="s">
        <v>752</v>
      </c>
      <c r="N184" s="7">
        <v>41</v>
      </c>
      <c r="O184" s="4">
        <v>1640</v>
      </c>
      <c r="P184" s="4">
        <v>1640</v>
      </c>
      <c r="Q184" s="6">
        <v>0</v>
      </c>
    </row>
    <row r="185" spans="1:17" x14ac:dyDescent="0.25">
      <c r="A185" s="2" t="s">
        <v>692</v>
      </c>
      <c r="B185" s="2" t="s">
        <v>29</v>
      </c>
      <c r="C185" s="2" t="s">
        <v>30</v>
      </c>
      <c r="D185" s="2" t="s">
        <v>758</v>
      </c>
      <c r="E185" s="2" t="s">
        <v>809</v>
      </c>
      <c r="F185" s="2" t="s">
        <v>808</v>
      </c>
      <c r="G185" s="3">
        <v>46044</v>
      </c>
      <c r="H185" s="2" t="s">
        <v>753</v>
      </c>
      <c r="I185" s="2" t="s">
        <v>755</v>
      </c>
      <c r="J185" s="2" t="s">
        <v>754</v>
      </c>
      <c r="K185" s="2" t="s">
        <v>753</v>
      </c>
      <c r="L185" s="6">
        <v>56</v>
      </c>
      <c r="M185" s="2" t="s">
        <v>752</v>
      </c>
      <c r="N185" s="7">
        <v>39.53</v>
      </c>
      <c r="O185" s="4">
        <v>2213.6799999999998</v>
      </c>
      <c r="P185" s="4">
        <v>2213.6799999999998</v>
      </c>
      <c r="Q185" s="6">
        <v>0</v>
      </c>
    </row>
    <row r="186" spans="1:17" x14ac:dyDescent="0.25">
      <c r="A186" s="2" t="s">
        <v>698</v>
      </c>
      <c r="B186" s="2" t="s">
        <v>99</v>
      </c>
      <c r="C186" s="2" t="s">
        <v>100</v>
      </c>
      <c r="D186" s="2" t="s">
        <v>758</v>
      </c>
      <c r="E186" s="2" t="s">
        <v>863</v>
      </c>
      <c r="F186" s="2" t="s">
        <v>862</v>
      </c>
      <c r="G186" s="3">
        <v>46043</v>
      </c>
      <c r="H186" s="2" t="s">
        <v>770</v>
      </c>
      <c r="I186" s="2" t="s">
        <v>755</v>
      </c>
      <c r="J186" s="2" t="s">
        <v>754</v>
      </c>
      <c r="K186" s="2" t="s">
        <v>753</v>
      </c>
      <c r="L186" s="6">
        <v>80</v>
      </c>
      <c r="M186" s="2" t="s">
        <v>752</v>
      </c>
      <c r="N186" s="7">
        <v>33.299999999999997</v>
      </c>
      <c r="O186" s="4">
        <v>2664</v>
      </c>
      <c r="P186" s="4">
        <v>2664</v>
      </c>
      <c r="Q186" s="6">
        <v>0</v>
      </c>
    </row>
    <row r="187" spans="1:17" x14ac:dyDescent="0.25">
      <c r="A187" s="2" t="s">
        <v>698</v>
      </c>
      <c r="B187" s="2" t="s">
        <v>99</v>
      </c>
      <c r="C187" s="2" t="s">
        <v>100</v>
      </c>
      <c r="D187" s="2" t="s">
        <v>758</v>
      </c>
      <c r="E187" s="2" t="s">
        <v>763</v>
      </c>
      <c r="F187" s="2" t="s">
        <v>762</v>
      </c>
      <c r="G187" s="3">
        <v>46043</v>
      </c>
      <c r="H187" s="2" t="s">
        <v>770</v>
      </c>
      <c r="I187" s="2" t="s">
        <v>755</v>
      </c>
      <c r="J187" s="2" t="s">
        <v>754</v>
      </c>
      <c r="K187" s="2" t="s">
        <v>753</v>
      </c>
      <c r="L187" s="6">
        <v>336</v>
      </c>
      <c r="M187" s="2" t="s">
        <v>752</v>
      </c>
      <c r="N187" s="7">
        <v>36.82</v>
      </c>
      <c r="O187" s="4">
        <v>12371.52</v>
      </c>
      <c r="P187" s="4">
        <v>12371.52</v>
      </c>
      <c r="Q187" s="6">
        <v>0</v>
      </c>
    </row>
    <row r="188" spans="1:17" x14ac:dyDescent="0.25">
      <c r="A188" s="2" t="s">
        <v>698</v>
      </c>
      <c r="B188" s="2" t="s">
        <v>99</v>
      </c>
      <c r="C188" s="2" t="s">
        <v>100</v>
      </c>
      <c r="D188" s="2" t="s">
        <v>758</v>
      </c>
      <c r="E188" s="2" t="s">
        <v>861</v>
      </c>
      <c r="F188" s="2" t="s">
        <v>860</v>
      </c>
      <c r="G188" s="3">
        <v>46043</v>
      </c>
      <c r="H188" s="2" t="s">
        <v>770</v>
      </c>
      <c r="I188" s="2" t="s">
        <v>755</v>
      </c>
      <c r="J188" s="2" t="s">
        <v>754</v>
      </c>
      <c r="K188" s="2" t="s">
        <v>753</v>
      </c>
      <c r="L188" s="6">
        <v>112</v>
      </c>
      <c r="M188" s="2" t="s">
        <v>752</v>
      </c>
      <c r="N188" s="7">
        <v>39.700000000000003</v>
      </c>
      <c r="O188" s="4">
        <v>4446.3999999999996</v>
      </c>
      <c r="P188" s="4">
        <v>4446.3999999999996</v>
      </c>
      <c r="Q188" s="6">
        <v>0</v>
      </c>
    </row>
    <row r="189" spans="1:17" x14ac:dyDescent="0.25">
      <c r="A189" s="2" t="s">
        <v>698</v>
      </c>
      <c r="B189" s="2" t="s">
        <v>99</v>
      </c>
      <c r="C189" s="2" t="s">
        <v>100</v>
      </c>
      <c r="D189" s="2" t="s">
        <v>758</v>
      </c>
      <c r="E189" s="2" t="s">
        <v>757</v>
      </c>
      <c r="F189" s="2" t="s">
        <v>756</v>
      </c>
      <c r="G189" s="3">
        <v>46043</v>
      </c>
      <c r="H189" s="2" t="s">
        <v>770</v>
      </c>
      <c r="I189" s="2" t="s">
        <v>755</v>
      </c>
      <c r="J189" s="2" t="s">
        <v>754</v>
      </c>
      <c r="K189" s="2" t="s">
        <v>753</v>
      </c>
      <c r="L189" s="6">
        <v>320</v>
      </c>
      <c r="M189" s="2" t="s">
        <v>752</v>
      </c>
      <c r="N189" s="7">
        <v>39.700000000000003</v>
      </c>
      <c r="O189" s="4">
        <v>12704</v>
      </c>
      <c r="P189" s="4">
        <v>12704</v>
      </c>
      <c r="Q189" s="6">
        <v>0</v>
      </c>
    </row>
    <row r="190" spans="1:17" x14ac:dyDescent="0.25">
      <c r="A190" s="2" t="s">
        <v>686</v>
      </c>
      <c r="B190" s="2" t="s">
        <v>37</v>
      </c>
      <c r="C190" s="2" t="s">
        <v>38</v>
      </c>
      <c r="D190" s="2" t="s">
        <v>758</v>
      </c>
      <c r="E190" s="2" t="s">
        <v>865</v>
      </c>
      <c r="F190" s="2" t="s">
        <v>864</v>
      </c>
      <c r="G190" s="3">
        <v>46050</v>
      </c>
      <c r="H190" s="2" t="s">
        <v>753</v>
      </c>
      <c r="I190" s="2" t="s">
        <v>755</v>
      </c>
      <c r="J190" s="2" t="s">
        <v>754</v>
      </c>
      <c r="K190" s="2" t="s">
        <v>753</v>
      </c>
      <c r="L190" s="6">
        <v>224</v>
      </c>
      <c r="M190" s="2" t="s">
        <v>752</v>
      </c>
      <c r="N190" s="7">
        <v>37</v>
      </c>
      <c r="O190" s="4">
        <v>8288</v>
      </c>
      <c r="P190" s="4">
        <v>8288</v>
      </c>
      <c r="Q190" s="6">
        <v>0</v>
      </c>
    </row>
    <row r="191" spans="1:17" x14ac:dyDescent="0.25">
      <c r="A191" s="2" t="s">
        <v>686</v>
      </c>
      <c r="B191" s="2" t="s">
        <v>37</v>
      </c>
      <c r="C191" s="2" t="s">
        <v>38</v>
      </c>
      <c r="D191" s="2" t="s">
        <v>758</v>
      </c>
      <c r="E191" s="2" t="s">
        <v>827</v>
      </c>
      <c r="F191" s="2" t="s">
        <v>826</v>
      </c>
      <c r="G191" s="3">
        <v>46050</v>
      </c>
      <c r="H191" s="2" t="s">
        <v>753</v>
      </c>
      <c r="I191" s="2" t="s">
        <v>755</v>
      </c>
      <c r="J191" s="2" t="s">
        <v>754</v>
      </c>
      <c r="K191" s="2" t="s">
        <v>753</v>
      </c>
      <c r="L191" s="6">
        <v>28</v>
      </c>
      <c r="M191" s="2" t="s">
        <v>752</v>
      </c>
      <c r="N191" s="7">
        <v>42</v>
      </c>
      <c r="O191" s="4">
        <v>1176</v>
      </c>
      <c r="P191" s="4">
        <v>1176</v>
      </c>
      <c r="Q191" s="6">
        <v>0</v>
      </c>
    </row>
    <row r="192" spans="1:17" x14ac:dyDescent="0.25">
      <c r="A192" s="2" t="s">
        <v>686</v>
      </c>
      <c r="B192" s="2" t="s">
        <v>37</v>
      </c>
      <c r="C192" s="2" t="s">
        <v>38</v>
      </c>
      <c r="D192" s="2" t="s">
        <v>758</v>
      </c>
      <c r="E192" s="2" t="s">
        <v>763</v>
      </c>
      <c r="F192" s="2" t="s">
        <v>762</v>
      </c>
      <c r="G192" s="3">
        <v>46050</v>
      </c>
      <c r="H192" s="2" t="s">
        <v>753</v>
      </c>
      <c r="I192" s="2" t="s">
        <v>755</v>
      </c>
      <c r="J192" s="2" t="s">
        <v>754</v>
      </c>
      <c r="K192" s="2" t="s">
        <v>753</v>
      </c>
      <c r="L192" s="6">
        <v>112</v>
      </c>
      <c r="M192" s="2" t="s">
        <v>752</v>
      </c>
      <c r="N192" s="7">
        <v>42</v>
      </c>
      <c r="O192" s="4">
        <v>4704</v>
      </c>
      <c r="P192" s="4">
        <v>4704</v>
      </c>
      <c r="Q192" s="6">
        <v>0</v>
      </c>
    </row>
    <row r="193" spans="1:17" x14ac:dyDescent="0.25">
      <c r="A193" s="2" t="s">
        <v>686</v>
      </c>
      <c r="B193" s="2" t="s">
        <v>37</v>
      </c>
      <c r="C193" s="2" t="s">
        <v>38</v>
      </c>
      <c r="D193" s="2" t="s">
        <v>758</v>
      </c>
      <c r="E193" s="2" t="s">
        <v>847</v>
      </c>
      <c r="F193" s="2" t="s">
        <v>846</v>
      </c>
      <c r="G193" s="3">
        <v>46050</v>
      </c>
      <c r="H193" s="2" t="s">
        <v>753</v>
      </c>
      <c r="I193" s="2" t="s">
        <v>755</v>
      </c>
      <c r="J193" s="2" t="s">
        <v>754</v>
      </c>
      <c r="K193" s="2" t="s">
        <v>753</v>
      </c>
      <c r="L193" s="6">
        <v>196</v>
      </c>
      <c r="M193" s="2" t="s">
        <v>752</v>
      </c>
      <c r="N193" s="7">
        <v>38.08</v>
      </c>
      <c r="O193" s="4">
        <v>7463.68</v>
      </c>
      <c r="P193" s="4">
        <v>7463.68</v>
      </c>
      <c r="Q193" s="6">
        <v>0</v>
      </c>
    </row>
    <row r="194" spans="1:17" x14ac:dyDescent="0.25">
      <c r="A194" s="2" t="s">
        <v>1013</v>
      </c>
      <c r="B194" s="2" t="s">
        <v>1000</v>
      </c>
      <c r="C194" s="2" t="s">
        <v>999</v>
      </c>
      <c r="D194" s="2" t="s">
        <v>758</v>
      </c>
      <c r="E194" s="2" t="s">
        <v>757</v>
      </c>
      <c r="F194" s="2" t="s">
        <v>756</v>
      </c>
      <c r="G194" s="3">
        <v>46031</v>
      </c>
      <c r="H194" s="2" t="s">
        <v>770</v>
      </c>
      <c r="I194" s="2" t="s">
        <v>755</v>
      </c>
      <c r="J194" s="2" t="s">
        <v>754</v>
      </c>
      <c r="K194" s="2" t="s">
        <v>753</v>
      </c>
      <c r="L194" s="6">
        <v>0</v>
      </c>
      <c r="M194" s="2" t="s">
        <v>752</v>
      </c>
      <c r="N194" s="7">
        <v>0</v>
      </c>
      <c r="O194" s="4">
        <v>0</v>
      </c>
      <c r="P194" s="4">
        <v>0</v>
      </c>
      <c r="Q194" s="6">
        <v>0</v>
      </c>
    </row>
    <row r="195" spans="1:17" x14ac:dyDescent="0.25">
      <c r="A195" s="2" t="s">
        <v>1013</v>
      </c>
      <c r="B195" s="2" t="s">
        <v>1000</v>
      </c>
      <c r="C195" s="2" t="s">
        <v>999</v>
      </c>
      <c r="D195" s="2" t="s">
        <v>758</v>
      </c>
      <c r="E195" s="2" t="s">
        <v>922</v>
      </c>
      <c r="F195" s="2" t="s">
        <v>921</v>
      </c>
      <c r="G195" s="3">
        <v>46031</v>
      </c>
      <c r="H195" s="2" t="s">
        <v>770</v>
      </c>
      <c r="I195" s="2" t="s">
        <v>755</v>
      </c>
      <c r="J195" s="2" t="s">
        <v>754</v>
      </c>
      <c r="K195" s="2" t="s">
        <v>753</v>
      </c>
      <c r="L195" s="6">
        <v>0</v>
      </c>
      <c r="M195" s="2" t="s">
        <v>752</v>
      </c>
      <c r="N195" s="7">
        <v>0</v>
      </c>
      <c r="O195" s="4">
        <v>0</v>
      </c>
      <c r="P195" s="4">
        <v>0</v>
      </c>
      <c r="Q195" s="6">
        <v>0</v>
      </c>
    </row>
    <row r="196" spans="1:17" x14ac:dyDescent="0.25">
      <c r="A196" s="2" t="s">
        <v>1013</v>
      </c>
      <c r="B196" s="2" t="s">
        <v>1000</v>
      </c>
      <c r="C196" s="2" t="s">
        <v>999</v>
      </c>
      <c r="D196" s="2" t="s">
        <v>758</v>
      </c>
      <c r="E196" s="2" t="s">
        <v>867</v>
      </c>
      <c r="F196" s="2" t="s">
        <v>866</v>
      </c>
      <c r="G196" s="3">
        <v>46031</v>
      </c>
      <c r="H196" s="2" t="s">
        <v>770</v>
      </c>
      <c r="I196" s="2" t="s">
        <v>755</v>
      </c>
      <c r="J196" s="2" t="s">
        <v>754</v>
      </c>
      <c r="K196" s="2" t="s">
        <v>753</v>
      </c>
      <c r="L196" s="6">
        <v>0</v>
      </c>
      <c r="M196" s="2" t="s">
        <v>752</v>
      </c>
      <c r="N196" s="7">
        <v>0</v>
      </c>
      <c r="O196" s="4">
        <v>0</v>
      </c>
      <c r="P196" s="4">
        <v>0</v>
      </c>
      <c r="Q196" s="6">
        <v>0</v>
      </c>
    </row>
    <row r="197" spans="1:17" x14ac:dyDescent="0.25">
      <c r="A197" s="2" t="s">
        <v>672</v>
      </c>
      <c r="B197" s="2" t="s">
        <v>55</v>
      </c>
      <c r="C197" s="2" t="s">
        <v>56</v>
      </c>
      <c r="D197" s="2" t="s">
        <v>758</v>
      </c>
      <c r="E197" s="2" t="s">
        <v>859</v>
      </c>
      <c r="F197" s="2" t="s">
        <v>858</v>
      </c>
      <c r="G197" s="3">
        <v>46052</v>
      </c>
      <c r="H197" s="2" t="s">
        <v>753</v>
      </c>
      <c r="I197" s="2" t="s">
        <v>755</v>
      </c>
      <c r="J197" s="2" t="s">
        <v>754</v>
      </c>
      <c r="K197" s="2" t="s">
        <v>753</v>
      </c>
      <c r="L197" s="6">
        <v>320</v>
      </c>
      <c r="M197" s="2" t="s">
        <v>752</v>
      </c>
      <c r="N197" s="7">
        <v>33.42</v>
      </c>
      <c r="O197" s="4">
        <v>10694.4</v>
      </c>
      <c r="P197" s="4">
        <v>10694.4</v>
      </c>
      <c r="Q197" s="6">
        <v>0</v>
      </c>
    </row>
    <row r="198" spans="1:17" x14ac:dyDescent="0.25">
      <c r="A198" s="2" t="s">
        <v>684</v>
      </c>
      <c r="B198" s="2" t="s">
        <v>33</v>
      </c>
      <c r="C198" s="2" t="s">
        <v>34</v>
      </c>
      <c r="D198" s="2" t="s">
        <v>758</v>
      </c>
      <c r="E198" s="2" t="s">
        <v>784</v>
      </c>
      <c r="F198" s="2" t="s">
        <v>783</v>
      </c>
      <c r="G198" s="3">
        <v>46050</v>
      </c>
      <c r="H198" s="2" t="s">
        <v>753</v>
      </c>
      <c r="I198" s="2" t="s">
        <v>755</v>
      </c>
      <c r="J198" s="2" t="s">
        <v>754</v>
      </c>
      <c r="K198" s="2" t="s">
        <v>753</v>
      </c>
      <c r="L198" s="6">
        <v>16</v>
      </c>
      <c r="M198" s="2" t="s">
        <v>752</v>
      </c>
      <c r="N198" s="7">
        <v>37.049999999999997</v>
      </c>
      <c r="O198" s="4">
        <v>592.79999999999995</v>
      </c>
      <c r="P198" s="4">
        <v>592.79999999999995</v>
      </c>
      <c r="Q198" s="6">
        <v>0</v>
      </c>
    </row>
    <row r="199" spans="1:17" x14ac:dyDescent="0.25">
      <c r="A199" s="2" t="s">
        <v>684</v>
      </c>
      <c r="B199" s="2" t="s">
        <v>33</v>
      </c>
      <c r="C199" s="2" t="s">
        <v>34</v>
      </c>
      <c r="D199" s="2" t="s">
        <v>758</v>
      </c>
      <c r="E199" s="2" t="s">
        <v>837</v>
      </c>
      <c r="F199" s="2" t="s">
        <v>836</v>
      </c>
      <c r="G199" s="3">
        <v>46050</v>
      </c>
      <c r="H199" s="2" t="s">
        <v>753</v>
      </c>
      <c r="I199" s="2" t="s">
        <v>755</v>
      </c>
      <c r="J199" s="2" t="s">
        <v>754</v>
      </c>
      <c r="K199" s="2" t="s">
        <v>753</v>
      </c>
      <c r="L199" s="6">
        <v>16</v>
      </c>
      <c r="M199" s="2" t="s">
        <v>752</v>
      </c>
      <c r="N199" s="7">
        <v>60.07</v>
      </c>
      <c r="O199" s="4">
        <v>961.12</v>
      </c>
      <c r="P199" s="4">
        <v>961.12</v>
      </c>
      <c r="Q199" s="6">
        <v>0</v>
      </c>
    </row>
    <row r="200" spans="1:17" x14ac:dyDescent="0.25">
      <c r="A200" s="2" t="s">
        <v>684</v>
      </c>
      <c r="B200" s="2" t="s">
        <v>33</v>
      </c>
      <c r="C200" s="2" t="s">
        <v>34</v>
      </c>
      <c r="D200" s="2" t="s">
        <v>758</v>
      </c>
      <c r="E200" s="2" t="s">
        <v>763</v>
      </c>
      <c r="F200" s="2" t="s">
        <v>762</v>
      </c>
      <c r="G200" s="3">
        <v>46050</v>
      </c>
      <c r="H200" s="2" t="s">
        <v>753</v>
      </c>
      <c r="I200" s="2" t="s">
        <v>755</v>
      </c>
      <c r="J200" s="2" t="s">
        <v>754</v>
      </c>
      <c r="K200" s="2" t="s">
        <v>753</v>
      </c>
      <c r="L200" s="6">
        <v>252</v>
      </c>
      <c r="M200" s="2" t="s">
        <v>752</v>
      </c>
      <c r="N200" s="7">
        <v>46.1</v>
      </c>
      <c r="O200" s="4">
        <v>11617.2</v>
      </c>
      <c r="P200" s="4">
        <v>11617.2</v>
      </c>
      <c r="Q200" s="6">
        <v>0</v>
      </c>
    </row>
    <row r="201" spans="1:17" x14ac:dyDescent="0.25">
      <c r="A201" s="2" t="s">
        <v>684</v>
      </c>
      <c r="B201" s="2" t="s">
        <v>33</v>
      </c>
      <c r="C201" s="2" t="s">
        <v>34</v>
      </c>
      <c r="D201" s="2" t="s">
        <v>758</v>
      </c>
      <c r="E201" s="2" t="s">
        <v>817</v>
      </c>
      <c r="F201" s="2" t="s">
        <v>937</v>
      </c>
      <c r="G201" s="3">
        <v>46050</v>
      </c>
      <c r="H201" s="2" t="s">
        <v>753</v>
      </c>
      <c r="I201" s="2" t="s">
        <v>755</v>
      </c>
      <c r="J201" s="2" t="s">
        <v>754</v>
      </c>
      <c r="K201" s="2" t="s">
        <v>753</v>
      </c>
      <c r="L201" s="6">
        <v>48</v>
      </c>
      <c r="M201" s="2" t="s">
        <v>752</v>
      </c>
      <c r="N201" s="7">
        <v>38</v>
      </c>
      <c r="O201" s="4">
        <v>1824</v>
      </c>
      <c r="P201" s="4">
        <v>1824</v>
      </c>
      <c r="Q201" s="6">
        <v>0</v>
      </c>
    </row>
    <row r="202" spans="1:17" x14ac:dyDescent="0.25">
      <c r="A202" s="2" t="s">
        <v>684</v>
      </c>
      <c r="B202" s="2" t="s">
        <v>33</v>
      </c>
      <c r="C202" s="2" t="s">
        <v>34</v>
      </c>
      <c r="D202" s="2" t="s">
        <v>758</v>
      </c>
      <c r="E202" s="2" t="s">
        <v>833</v>
      </c>
      <c r="F202" s="2" t="s">
        <v>832</v>
      </c>
      <c r="G202" s="3">
        <v>46050</v>
      </c>
      <c r="H202" s="2" t="s">
        <v>753</v>
      </c>
      <c r="I202" s="2" t="s">
        <v>755</v>
      </c>
      <c r="J202" s="2" t="s">
        <v>754</v>
      </c>
      <c r="K202" s="2" t="s">
        <v>753</v>
      </c>
      <c r="L202" s="6">
        <v>112</v>
      </c>
      <c r="M202" s="2" t="s">
        <v>752</v>
      </c>
      <c r="N202" s="7">
        <v>45</v>
      </c>
      <c r="O202" s="4">
        <v>5040</v>
      </c>
      <c r="P202" s="4">
        <v>5040</v>
      </c>
      <c r="Q202" s="6">
        <v>0</v>
      </c>
    </row>
    <row r="203" spans="1:17" x14ac:dyDescent="0.25">
      <c r="A203" s="2" t="s">
        <v>722</v>
      </c>
      <c r="B203" s="2" t="s">
        <v>195</v>
      </c>
      <c r="C203" s="2" t="s">
        <v>196</v>
      </c>
      <c r="D203" s="2" t="s">
        <v>758</v>
      </c>
      <c r="E203" s="2" t="s">
        <v>942</v>
      </c>
      <c r="F203" s="2" t="s">
        <v>941</v>
      </c>
      <c r="G203" s="3">
        <v>46035</v>
      </c>
      <c r="H203" s="2" t="s">
        <v>753</v>
      </c>
      <c r="I203" s="2" t="s">
        <v>755</v>
      </c>
      <c r="J203" s="2" t="s">
        <v>754</v>
      </c>
      <c r="K203" s="2" t="s">
        <v>753</v>
      </c>
      <c r="L203" s="6">
        <v>32</v>
      </c>
      <c r="M203" s="2" t="s">
        <v>752</v>
      </c>
      <c r="N203" s="7">
        <v>46.38</v>
      </c>
      <c r="O203" s="4">
        <v>1484.16</v>
      </c>
      <c r="P203" s="4">
        <v>1484.16</v>
      </c>
      <c r="Q203" s="6">
        <v>0</v>
      </c>
    </row>
    <row r="204" spans="1:17" x14ac:dyDescent="0.25">
      <c r="A204" s="2" t="s">
        <v>1012</v>
      </c>
      <c r="B204" s="2" t="s">
        <v>1000</v>
      </c>
      <c r="C204" s="2" t="s">
        <v>999</v>
      </c>
      <c r="D204" s="2" t="s">
        <v>758</v>
      </c>
      <c r="E204" s="2" t="s">
        <v>757</v>
      </c>
      <c r="F204" s="2" t="s">
        <v>756</v>
      </c>
      <c r="G204" s="3">
        <v>46035</v>
      </c>
      <c r="H204" s="2" t="s">
        <v>770</v>
      </c>
      <c r="I204" s="2" t="s">
        <v>755</v>
      </c>
      <c r="J204" s="2" t="s">
        <v>754</v>
      </c>
      <c r="K204" s="2" t="s">
        <v>753</v>
      </c>
      <c r="L204" s="6">
        <v>0</v>
      </c>
      <c r="M204" s="2" t="s">
        <v>752</v>
      </c>
      <c r="N204" s="7">
        <v>0</v>
      </c>
      <c r="O204" s="4">
        <v>0</v>
      </c>
      <c r="P204" s="4">
        <v>0</v>
      </c>
      <c r="Q204" s="6">
        <v>0</v>
      </c>
    </row>
    <row r="205" spans="1:17" x14ac:dyDescent="0.25">
      <c r="A205" s="2" t="s">
        <v>1012</v>
      </c>
      <c r="B205" s="2" t="s">
        <v>1000</v>
      </c>
      <c r="C205" s="2" t="s">
        <v>999</v>
      </c>
      <c r="D205" s="2" t="s">
        <v>758</v>
      </c>
      <c r="E205" s="2" t="s">
        <v>922</v>
      </c>
      <c r="F205" s="2" t="s">
        <v>921</v>
      </c>
      <c r="G205" s="3">
        <v>46035</v>
      </c>
      <c r="H205" s="2" t="s">
        <v>770</v>
      </c>
      <c r="I205" s="2" t="s">
        <v>755</v>
      </c>
      <c r="J205" s="2" t="s">
        <v>754</v>
      </c>
      <c r="K205" s="2" t="s">
        <v>753</v>
      </c>
      <c r="L205" s="6">
        <v>0</v>
      </c>
      <c r="M205" s="2" t="s">
        <v>752</v>
      </c>
      <c r="N205" s="7">
        <v>0</v>
      </c>
      <c r="O205" s="4">
        <v>0</v>
      </c>
      <c r="P205" s="4">
        <v>0</v>
      </c>
      <c r="Q205" s="6">
        <v>0</v>
      </c>
    </row>
    <row r="206" spans="1:17" x14ac:dyDescent="0.25">
      <c r="A206" s="2" t="s">
        <v>1012</v>
      </c>
      <c r="B206" s="2" t="s">
        <v>1000</v>
      </c>
      <c r="C206" s="2" t="s">
        <v>999</v>
      </c>
      <c r="D206" s="2" t="s">
        <v>758</v>
      </c>
      <c r="E206" s="2" t="s">
        <v>867</v>
      </c>
      <c r="F206" s="2" t="s">
        <v>866</v>
      </c>
      <c r="G206" s="3">
        <v>46035</v>
      </c>
      <c r="H206" s="2" t="s">
        <v>770</v>
      </c>
      <c r="I206" s="2" t="s">
        <v>755</v>
      </c>
      <c r="J206" s="2" t="s">
        <v>754</v>
      </c>
      <c r="K206" s="2" t="s">
        <v>753</v>
      </c>
      <c r="L206" s="6">
        <v>0</v>
      </c>
      <c r="M206" s="2" t="s">
        <v>752</v>
      </c>
      <c r="N206" s="7">
        <v>0</v>
      </c>
      <c r="O206" s="4">
        <v>0</v>
      </c>
      <c r="P206" s="4">
        <v>0</v>
      </c>
      <c r="Q206" s="6">
        <v>0</v>
      </c>
    </row>
    <row r="207" spans="1:17" x14ac:dyDescent="0.25">
      <c r="A207" s="2" t="s">
        <v>670</v>
      </c>
      <c r="B207" s="2" t="s">
        <v>29</v>
      </c>
      <c r="C207" s="2" t="s">
        <v>30</v>
      </c>
      <c r="D207" s="2" t="s">
        <v>758</v>
      </c>
      <c r="E207" s="2" t="s">
        <v>780</v>
      </c>
      <c r="F207" s="2" t="s">
        <v>779</v>
      </c>
      <c r="G207" s="3">
        <v>46052</v>
      </c>
      <c r="H207" s="2" t="s">
        <v>753</v>
      </c>
      <c r="I207" s="2" t="s">
        <v>755</v>
      </c>
      <c r="J207" s="2" t="s">
        <v>754</v>
      </c>
      <c r="K207" s="2" t="s">
        <v>753</v>
      </c>
      <c r="L207" s="6">
        <v>16</v>
      </c>
      <c r="M207" s="2" t="s">
        <v>752</v>
      </c>
      <c r="N207" s="7">
        <v>36.5</v>
      </c>
      <c r="O207" s="4">
        <v>584</v>
      </c>
      <c r="P207" s="4">
        <v>584</v>
      </c>
      <c r="Q207" s="6">
        <v>0</v>
      </c>
    </row>
    <row r="208" spans="1:17" x14ac:dyDescent="0.25">
      <c r="A208" s="2" t="s">
        <v>670</v>
      </c>
      <c r="B208" s="2" t="s">
        <v>29</v>
      </c>
      <c r="C208" s="2" t="s">
        <v>30</v>
      </c>
      <c r="D208" s="2" t="s">
        <v>758</v>
      </c>
      <c r="E208" s="2" t="s">
        <v>817</v>
      </c>
      <c r="F208" s="2" t="s">
        <v>937</v>
      </c>
      <c r="G208" s="3">
        <v>46052</v>
      </c>
      <c r="H208" s="2" t="s">
        <v>753</v>
      </c>
      <c r="I208" s="2" t="s">
        <v>755</v>
      </c>
      <c r="J208" s="2" t="s">
        <v>754</v>
      </c>
      <c r="K208" s="2" t="s">
        <v>753</v>
      </c>
      <c r="L208" s="6">
        <v>56</v>
      </c>
      <c r="M208" s="2" t="s">
        <v>752</v>
      </c>
      <c r="N208" s="7">
        <v>31.42</v>
      </c>
      <c r="O208" s="4">
        <v>1759.52</v>
      </c>
      <c r="P208" s="4">
        <v>1759.52</v>
      </c>
      <c r="Q208" s="6">
        <v>0</v>
      </c>
    </row>
    <row r="209" spans="1:17" x14ac:dyDescent="0.25">
      <c r="A209" s="2" t="s">
        <v>670</v>
      </c>
      <c r="B209" s="2" t="s">
        <v>29</v>
      </c>
      <c r="C209" s="2" t="s">
        <v>30</v>
      </c>
      <c r="D209" s="2" t="s">
        <v>758</v>
      </c>
      <c r="E209" s="2" t="s">
        <v>815</v>
      </c>
      <c r="F209" s="2" t="s">
        <v>814</v>
      </c>
      <c r="G209" s="3">
        <v>46052</v>
      </c>
      <c r="H209" s="2" t="s">
        <v>753</v>
      </c>
      <c r="I209" s="2" t="s">
        <v>755</v>
      </c>
      <c r="J209" s="2" t="s">
        <v>754</v>
      </c>
      <c r="K209" s="2" t="s">
        <v>753</v>
      </c>
      <c r="L209" s="6">
        <v>84</v>
      </c>
      <c r="M209" s="2" t="s">
        <v>752</v>
      </c>
      <c r="N209" s="7">
        <v>34</v>
      </c>
      <c r="O209" s="4">
        <v>2856</v>
      </c>
      <c r="P209" s="4">
        <v>2856</v>
      </c>
      <c r="Q209" s="6">
        <v>0</v>
      </c>
    </row>
    <row r="210" spans="1:17" x14ac:dyDescent="0.25">
      <c r="A210" s="2" t="s">
        <v>670</v>
      </c>
      <c r="B210" s="2" t="s">
        <v>29</v>
      </c>
      <c r="C210" s="2" t="s">
        <v>30</v>
      </c>
      <c r="D210" s="2" t="s">
        <v>758</v>
      </c>
      <c r="E210" s="2" t="s">
        <v>813</v>
      </c>
      <c r="F210" s="2" t="s">
        <v>812</v>
      </c>
      <c r="G210" s="3">
        <v>46052</v>
      </c>
      <c r="H210" s="2" t="s">
        <v>753</v>
      </c>
      <c r="I210" s="2" t="s">
        <v>755</v>
      </c>
      <c r="J210" s="2" t="s">
        <v>754</v>
      </c>
      <c r="K210" s="2" t="s">
        <v>753</v>
      </c>
      <c r="L210" s="6">
        <v>12</v>
      </c>
      <c r="M210" s="2" t="s">
        <v>752</v>
      </c>
      <c r="N210" s="7">
        <v>43.26</v>
      </c>
      <c r="O210" s="4">
        <v>519.12</v>
      </c>
      <c r="P210" s="4">
        <v>519.12</v>
      </c>
      <c r="Q210" s="6">
        <v>0</v>
      </c>
    </row>
    <row r="211" spans="1:17" x14ac:dyDescent="0.25">
      <c r="A211" s="2" t="s">
        <v>670</v>
      </c>
      <c r="B211" s="2" t="s">
        <v>29</v>
      </c>
      <c r="C211" s="2" t="s">
        <v>30</v>
      </c>
      <c r="D211" s="2" t="s">
        <v>758</v>
      </c>
      <c r="E211" s="2" t="s">
        <v>811</v>
      </c>
      <c r="F211" s="2" t="s">
        <v>810</v>
      </c>
      <c r="G211" s="3">
        <v>46052</v>
      </c>
      <c r="H211" s="2" t="s">
        <v>753</v>
      </c>
      <c r="I211" s="2" t="s">
        <v>755</v>
      </c>
      <c r="J211" s="2" t="s">
        <v>754</v>
      </c>
      <c r="K211" s="2" t="s">
        <v>753</v>
      </c>
      <c r="L211" s="6">
        <v>20</v>
      </c>
      <c r="M211" s="2" t="s">
        <v>752</v>
      </c>
      <c r="N211" s="7">
        <v>43.26</v>
      </c>
      <c r="O211" s="4">
        <v>865.2</v>
      </c>
      <c r="P211" s="4">
        <v>865.2</v>
      </c>
      <c r="Q211" s="6">
        <v>0</v>
      </c>
    </row>
    <row r="212" spans="1:17" x14ac:dyDescent="0.25">
      <c r="A212" s="2" t="s">
        <v>670</v>
      </c>
      <c r="B212" s="2" t="s">
        <v>29</v>
      </c>
      <c r="C212" s="2" t="s">
        <v>30</v>
      </c>
      <c r="D212" s="2" t="s">
        <v>758</v>
      </c>
      <c r="E212" s="2" t="s">
        <v>763</v>
      </c>
      <c r="F212" s="2" t="s">
        <v>762</v>
      </c>
      <c r="G212" s="3">
        <v>46052</v>
      </c>
      <c r="H212" s="2" t="s">
        <v>753</v>
      </c>
      <c r="I212" s="2" t="s">
        <v>755</v>
      </c>
      <c r="J212" s="2" t="s">
        <v>754</v>
      </c>
      <c r="K212" s="2" t="s">
        <v>753</v>
      </c>
      <c r="L212" s="6">
        <v>84</v>
      </c>
      <c r="M212" s="2" t="s">
        <v>752</v>
      </c>
      <c r="N212" s="7">
        <v>43.36</v>
      </c>
      <c r="O212" s="4">
        <v>3642.24</v>
      </c>
      <c r="P212" s="4">
        <v>3642.24</v>
      </c>
      <c r="Q212" s="6">
        <v>0</v>
      </c>
    </row>
    <row r="213" spans="1:17" x14ac:dyDescent="0.25">
      <c r="A213" s="2" t="s">
        <v>670</v>
      </c>
      <c r="B213" s="2" t="s">
        <v>29</v>
      </c>
      <c r="C213" s="2" t="s">
        <v>30</v>
      </c>
      <c r="D213" s="2" t="s">
        <v>758</v>
      </c>
      <c r="E213" s="2" t="s">
        <v>776</v>
      </c>
      <c r="F213" s="2" t="s">
        <v>775</v>
      </c>
      <c r="G213" s="3">
        <v>46052</v>
      </c>
      <c r="H213" s="2" t="s">
        <v>753</v>
      </c>
      <c r="I213" s="2" t="s">
        <v>755</v>
      </c>
      <c r="J213" s="2" t="s">
        <v>754</v>
      </c>
      <c r="K213" s="2" t="s">
        <v>753</v>
      </c>
      <c r="L213" s="6">
        <v>20</v>
      </c>
      <c r="M213" s="2" t="s">
        <v>752</v>
      </c>
      <c r="N213" s="7">
        <v>41.2</v>
      </c>
      <c r="O213" s="4">
        <v>824</v>
      </c>
      <c r="P213" s="4">
        <v>824</v>
      </c>
      <c r="Q213" s="6">
        <v>0</v>
      </c>
    </row>
    <row r="214" spans="1:17" x14ac:dyDescent="0.25">
      <c r="A214" s="2" t="s">
        <v>670</v>
      </c>
      <c r="B214" s="2" t="s">
        <v>29</v>
      </c>
      <c r="C214" s="2" t="s">
        <v>30</v>
      </c>
      <c r="D214" s="2" t="s">
        <v>758</v>
      </c>
      <c r="E214" s="2" t="s">
        <v>807</v>
      </c>
      <c r="F214" s="2" t="s">
        <v>806</v>
      </c>
      <c r="G214" s="3">
        <v>46052</v>
      </c>
      <c r="H214" s="2" t="s">
        <v>753</v>
      </c>
      <c r="I214" s="2" t="s">
        <v>755</v>
      </c>
      <c r="J214" s="2" t="s">
        <v>754</v>
      </c>
      <c r="K214" s="2" t="s">
        <v>753</v>
      </c>
      <c r="L214" s="6">
        <v>12</v>
      </c>
      <c r="M214" s="2" t="s">
        <v>752</v>
      </c>
      <c r="N214" s="7">
        <v>42.02</v>
      </c>
      <c r="O214" s="4">
        <v>504.24</v>
      </c>
      <c r="P214" s="4">
        <v>504.24</v>
      </c>
      <c r="Q214" s="6">
        <v>0</v>
      </c>
    </row>
    <row r="215" spans="1:17" x14ac:dyDescent="0.25">
      <c r="A215" s="2" t="s">
        <v>670</v>
      </c>
      <c r="B215" s="2" t="s">
        <v>29</v>
      </c>
      <c r="C215" s="2" t="s">
        <v>30</v>
      </c>
      <c r="D215" s="2" t="s">
        <v>758</v>
      </c>
      <c r="E215" s="2" t="s">
        <v>805</v>
      </c>
      <c r="F215" s="2" t="s">
        <v>804</v>
      </c>
      <c r="G215" s="3">
        <v>46052</v>
      </c>
      <c r="H215" s="2" t="s">
        <v>753</v>
      </c>
      <c r="I215" s="2" t="s">
        <v>755</v>
      </c>
      <c r="J215" s="2" t="s">
        <v>754</v>
      </c>
      <c r="K215" s="2" t="s">
        <v>753</v>
      </c>
      <c r="L215" s="6">
        <v>20</v>
      </c>
      <c r="M215" s="2" t="s">
        <v>752</v>
      </c>
      <c r="N215" s="7">
        <v>41</v>
      </c>
      <c r="O215" s="4">
        <v>820</v>
      </c>
      <c r="P215" s="4">
        <v>820</v>
      </c>
      <c r="Q215" s="6">
        <v>0</v>
      </c>
    </row>
    <row r="216" spans="1:17" x14ac:dyDescent="0.25">
      <c r="A216" s="2" t="s">
        <v>682</v>
      </c>
      <c r="B216" s="2" t="s">
        <v>59</v>
      </c>
      <c r="C216" s="2" t="s">
        <v>60</v>
      </c>
      <c r="D216" s="2" t="s">
        <v>758</v>
      </c>
      <c r="E216" s="2" t="s">
        <v>871</v>
      </c>
      <c r="F216" s="2" t="s">
        <v>1010</v>
      </c>
      <c r="G216" s="3">
        <v>46050</v>
      </c>
      <c r="H216" s="2" t="s">
        <v>753</v>
      </c>
      <c r="I216" s="2" t="s">
        <v>755</v>
      </c>
      <c r="J216" s="2" t="s">
        <v>754</v>
      </c>
      <c r="K216" s="2" t="s">
        <v>753</v>
      </c>
      <c r="L216" s="6">
        <v>36</v>
      </c>
      <c r="M216" s="2" t="s">
        <v>752</v>
      </c>
      <c r="N216" s="7">
        <v>41.7</v>
      </c>
      <c r="O216" s="4">
        <v>1501.2</v>
      </c>
      <c r="P216" s="4">
        <v>1501.2</v>
      </c>
      <c r="Q216" s="6">
        <v>0</v>
      </c>
    </row>
    <row r="217" spans="1:17" x14ac:dyDescent="0.25">
      <c r="A217" s="2" t="s">
        <v>682</v>
      </c>
      <c r="B217" s="2" t="s">
        <v>59</v>
      </c>
      <c r="C217" s="2" t="s">
        <v>60</v>
      </c>
      <c r="D217" s="2" t="s">
        <v>758</v>
      </c>
      <c r="E217" s="2" t="s">
        <v>896</v>
      </c>
      <c r="F217" s="2" t="s">
        <v>895</v>
      </c>
      <c r="G217" s="3">
        <v>46050</v>
      </c>
      <c r="H217" s="2" t="s">
        <v>753</v>
      </c>
      <c r="I217" s="2" t="s">
        <v>755</v>
      </c>
      <c r="J217" s="2" t="s">
        <v>754</v>
      </c>
      <c r="K217" s="2" t="s">
        <v>753</v>
      </c>
      <c r="L217" s="6">
        <v>36</v>
      </c>
      <c r="M217" s="2" t="s">
        <v>752</v>
      </c>
      <c r="N217" s="7">
        <v>41.49</v>
      </c>
      <c r="O217" s="4">
        <v>1493.64</v>
      </c>
      <c r="P217" s="4">
        <v>1493.64</v>
      </c>
      <c r="Q217" s="6">
        <v>0</v>
      </c>
    </row>
    <row r="218" spans="1:17" x14ac:dyDescent="0.25">
      <c r="A218" s="2" t="s">
        <v>682</v>
      </c>
      <c r="B218" s="2" t="s">
        <v>59</v>
      </c>
      <c r="C218" s="2" t="s">
        <v>60</v>
      </c>
      <c r="D218" s="2" t="s">
        <v>758</v>
      </c>
      <c r="E218" s="2" t="s">
        <v>869</v>
      </c>
      <c r="F218" s="2" t="s">
        <v>868</v>
      </c>
      <c r="G218" s="3">
        <v>46050</v>
      </c>
      <c r="H218" s="2" t="s">
        <v>753</v>
      </c>
      <c r="I218" s="2" t="s">
        <v>755</v>
      </c>
      <c r="J218" s="2" t="s">
        <v>754</v>
      </c>
      <c r="K218" s="2" t="s">
        <v>753</v>
      </c>
      <c r="L218" s="6">
        <v>156</v>
      </c>
      <c r="M218" s="2" t="s">
        <v>752</v>
      </c>
      <c r="N218" s="7">
        <v>48.49</v>
      </c>
      <c r="O218" s="4">
        <v>7564.44</v>
      </c>
      <c r="P218" s="4">
        <v>7564.44</v>
      </c>
      <c r="Q218" s="6">
        <v>0</v>
      </c>
    </row>
    <row r="219" spans="1:17" x14ac:dyDescent="0.25">
      <c r="A219" s="2" t="s">
        <v>682</v>
      </c>
      <c r="B219" s="2" t="s">
        <v>59</v>
      </c>
      <c r="C219" s="2" t="s">
        <v>60</v>
      </c>
      <c r="D219" s="2" t="s">
        <v>758</v>
      </c>
      <c r="E219" s="2" t="s">
        <v>867</v>
      </c>
      <c r="F219" s="2" t="s">
        <v>866</v>
      </c>
      <c r="G219" s="3">
        <v>46050</v>
      </c>
      <c r="H219" s="2" t="s">
        <v>753</v>
      </c>
      <c r="I219" s="2" t="s">
        <v>755</v>
      </c>
      <c r="J219" s="2" t="s">
        <v>754</v>
      </c>
      <c r="K219" s="2" t="s">
        <v>753</v>
      </c>
      <c r="L219" s="6">
        <v>24</v>
      </c>
      <c r="M219" s="2" t="s">
        <v>752</v>
      </c>
      <c r="N219" s="7">
        <v>36.299999999999997</v>
      </c>
      <c r="O219" s="4">
        <v>871.2</v>
      </c>
      <c r="P219" s="4">
        <v>871.2</v>
      </c>
      <c r="Q219" s="6">
        <v>0</v>
      </c>
    </row>
    <row r="220" spans="1:17" x14ac:dyDescent="0.25">
      <c r="A220" s="2" t="s">
        <v>682</v>
      </c>
      <c r="B220" s="2" t="s">
        <v>59</v>
      </c>
      <c r="C220" s="2" t="s">
        <v>60</v>
      </c>
      <c r="D220" s="2" t="s">
        <v>758</v>
      </c>
      <c r="E220" s="2" t="s">
        <v>863</v>
      </c>
      <c r="F220" s="2" t="s">
        <v>862</v>
      </c>
      <c r="G220" s="3">
        <v>46050</v>
      </c>
      <c r="H220" s="2" t="s">
        <v>753</v>
      </c>
      <c r="I220" s="2" t="s">
        <v>755</v>
      </c>
      <c r="J220" s="2" t="s">
        <v>754</v>
      </c>
      <c r="K220" s="2" t="s">
        <v>753</v>
      </c>
      <c r="L220" s="6">
        <v>28</v>
      </c>
      <c r="M220" s="2" t="s">
        <v>752</v>
      </c>
      <c r="N220" s="7">
        <v>33.299999999999997</v>
      </c>
      <c r="O220" s="4">
        <v>932.4</v>
      </c>
      <c r="P220" s="4">
        <v>932.4</v>
      </c>
      <c r="Q220" s="6">
        <v>0</v>
      </c>
    </row>
    <row r="221" spans="1:17" x14ac:dyDescent="0.25">
      <c r="A221" s="2" t="s">
        <v>682</v>
      </c>
      <c r="B221" s="2" t="s">
        <v>59</v>
      </c>
      <c r="C221" s="2" t="s">
        <v>60</v>
      </c>
      <c r="D221" s="2" t="s">
        <v>758</v>
      </c>
      <c r="E221" s="2" t="s">
        <v>763</v>
      </c>
      <c r="F221" s="2" t="s">
        <v>762</v>
      </c>
      <c r="G221" s="3">
        <v>46050</v>
      </c>
      <c r="H221" s="2" t="s">
        <v>753</v>
      </c>
      <c r="I221" s="2" t="s">
        <v>755</v>
      </c>
      <c r="J221" s="2" t="s">
        <v>754</v>
      </c>
      <c r="K221" s="2" t="s">
        <v>753</v>
      </c>
      <c r="L221" s="6">
        <v>168</v>
      </c>
      <c r="M221" s="2" t="s">
        <v>752</v>
      </c>
      <c r="N221" s="7">
        <v>36.82</v>
      </c>
      <c r="O221" s="4">
        <v>6185.76</v>
      </c>
      <c r="P221" s="4">
        <v>6185.76</v>
      </c>
      <c r="Q221" s="6">
        <v>0</v>
      </c>
    </row>
    <row r="222" spans="1:17" x14ac:dyDescent="0.25">
      <c r="A222" s="2" t="s">
        <v>682</v>
      </c>
      <c r="B222" s="2" t="s">
        <v>59</v>
      </c>
      <c r="C222" s="2" t="s">
        <v>60</v>
      </c>
      <c r="D222" s="2" t="s">
        <v>758</v>
      </c>
      <c r="E222" s="2" t="s">
        <v>861</v>
      </c>
      <c r="F222" s="2" t="s">
        <v>860</v>
      </c>
      <c r="G222" s="3">
        <v>46050</v>
      </c>
      <c r="H222" s="2" t="s">
        <v>753</v>
      </c>
      <c r="I222" s="2" t="s">
        <v>755</v>
      </c>
      <c r="J222" s="2" t="s">
        <v>754</v>
      </c>
      <c r="K222" s="2" t="s">
        <v>753</v>
      </c>
      <c r="L222" s="6">
        <v>56</v>
      </c>
      <c r="M222" s="2" t="s">
        <v>752</v>
      </c>
      <c r="N222" s="7">
        <v>39.700000000000003</v>
      </c>
      <c r="O222" s="4">
        <v>2223.1999999999998</v>
      </c>
      <c r="P222" s="4">
        <v>2223.1999999999998</v>
      </c>
      <c r="Q222" s="6">
        <v>0</v>
      </c>
    </row>
    <row r="223" spans="1:17" x14ac:dyDescent="0.25">
      <c r="A223" s="2" t="s">
        <v>682</v>
      </c>
      <c r="B223" s="2" t="s">
        <v>59</v>
      </c>
      <c r="C223" s="2" t="s">
        <v>60</v>
      </c>
      <c r="D223" s="2" t="s">
        <v>758</v>
      </c>
      <c r="E223" s="2" t="s">
        <v>757</v>
      </c>
      <c r="F223" s="2" t="s">
        <v>756</v>
      </c>
      <c r="G223" s="3">
        <v>46050</v>
      </c>
      <c r="H223" s="2" t="s">
        <v>753</v>
      </c>
      <c r="I223" s="2" t="s">
        <v>755</v>
      </c>
      <c r="J223" s="2" t="s">
        <v>754</v>
      </c>
      <c r="K223" s="2" t="s">
        <v>753</v>
      </c>
      <c r="L223" s="6">
        <v>168</v>
      </c>
      <c r="M223" s="2" t="s">
        <v>752</v>
      </c>
      <c r="N223" s="7">
        <v>39.700000000000003</v>
      </c>
      <c r="O223" s="4">
        <v>6669.6</v>
      </c>
      <c r="P223" s="4">
        <v>6669.6</v>
      </c>
      <c r="Q223" s="6">
        <v>0</v>
      </c>
    </row>
    <row r="224" spans="1:17" x14ac:dyDescent="0.25">
      <c r="A224" s="2" t="s">
        <v>682</v>
      </c>
      <c r="B224" s="2" t="s">
        <v>59</v>
      </c>
      <c r="C224" s="2" t="s">
        <v>60</v>
      </c>
      <c r="D224" s="2" t="s">
        <v>758</v>
      </c>
      <c r="E224" s="2" t="s">
        <v>865</v>
      </c>
      <c r="F224" s="2" t="s">
        <v>864</v>
      </c>
      <c r="G224" s="3">
        <v>46050</v>
      </c>
      <c r="H224" s="2" t="s">
        <v>753</v>
      </c>
      <c r="I224" s="2" t="s">
        <v>755</v>
      </c>
      <c r="J224" s="2" t="s">
        <v>754</v>
      </c>
      <c r="K224" s="2" t="s">
        <v>753</v>
      </c>
      <c r="L224" s="6">
        <v>48</v>
      </c>
      <c r="M224" s="2" t="s">
        <v>752</v>
      </c>
      <c r="N224" s="7">
        <v>36</v>
      </c>
      <c r="O224" s="4">
        <v>1728</v>
      </c>
      <c r="P224" s="4">
        <v>1728</v>
      </c>
      <c r="Q224" s="6">
        <v>0</v>
      </c>
    </row>
    <row r="225" spans="1:17" x14ac:dyDescent="0.25">
      <c r="A225" s="2" t="s">
        <v>666</v>
      </c>
      <c r="B225" s="2" t="s">
        <v>181</v>
      </c>
      <c r="C225" s="2" t="s">
        <v>182</v>
      </c>
      <c r="D225" s="2" t="s">
        <v>758</v>
      </c>
      <c r="E225" s="2" t="s">
        <v>794</v>
      </c>
      <c r="F225" s="2" t="s">
        <v>793</v>
      </c>
      <c r="G225" s="3">
        <v>46055</v>
      </c>
      <c r="H225" s="2" t="s">
        <v>753</v>
      </c>
      <c r="I225" s="2" t="s">
        <v>755</v>
      </c>
      <c r="J225" s="2" t="s">
        <v>754</v>
      </c>
      <c r="K225" s="2" t="s">
        <v>753</v>
      </c>
      <c r="L225" s="6">
        <v>176</v>
      </c>
      <c r="M225" s="2" t="s">
        <v>752</v>
      </c>
      <c r="N225" s="7">
        <v>40</v>
      </c>
      <c r="O225" s="4">
        <v>7040</v>
      </c>
      <c r="P225" s="4">
        <v>7040</v>
      </c>
      <c r="Q225" s="6">
        <v>0</v>
      </c>
    </row>
    <row r="226" spans="1:17" x14ac:dyDescent="0.25">
      <c r="A226" s="2" t="s">
        <v>666</v>
      </c>
      <c r="B226" s="2" t="s">
        <v>181</v>
      </c>
      <c r="C226" s="2" t="s">
        <v>182</v>
      </c>
      <c r="D226" s="2" t="s">
        <v>758</v>
      </c>
      <c r="E226" s="2" t="s">
        <v>879</v>
      </c>
      <c r="F226" s="2" t="s">
        <v>878</v>
      </c>
      <c r="G226" s="3">
        <v>46055</v>
      </c>
      <c r="H226" s="2" t="s">
        <v>753</v>
      </c>
      <c r="I226" s="2" t="s">
        <v>755</v>
      </c>
      <c r="J226" s="2" t="s">
        <v>754</v>
      </c>
      <c r="K226" s="2" t="s">
        <v>753</v>
      </c>
      <c r="L226" s="6">
        <v>40</v>
      </c>
      <c r="M226" s="2" t="s">
        <v>752</v>
      </c>
      <c r="N226" s="7">
        <v>39</v>
      </c>
      <c r="O226" s="4">
        <v>1560</v>
      </c>
      <c r="P226" s="4">
        <v>1560</v>
      </c>
      <c r="Q226" s="6">
        <v>0</v>
      </c>
    </row>
    <row r="227" spans="1:17" x14ac:dyDescent="0.25">
      <c r="A227" s="2" t="s">
        <v>666</v>
      </c>
      <c r="B227" s="2" t="s">
        <v>181</v>
      </c>
      <c r="C227" s="2" t="s">
        <v>182</v>
      </c>
      <c r="D227" s="2" t="s">
        <v>758</v>
      </c>
      <c r="E227" s="2" t="s">
        <v>763</v>
      </c>
      <c r="F227" s="2" t="s">
        <v>762</v>
      </c>
      <c r="G227" s="3">
        <v>46055</v>
      </c>
      <c r="H227" s="2" t="s">
        <v>753</v>
      </c>
      <c r="I227" s="2" t="s">
        <v>755</v>
      </c>
      <c r="J227" s="2" t="s">
        <v>754</v>
      </c>
      <c r="K227" s="2" t="s">
        <v>753</v>
      </c>
      <c r="L227" s="6">
        <v>200</v>
      </c>
      <c r="M227" s="2" t="s">
        <v>752</v>
      </c>
      <c r="N227" s="7">
        <v>44</v>
      </c>
      <c r="O227" s="4">
        <v>8800</v>
      </c>
      <c r="P227" s="4">
        <v>8800</v>
      </c>
      <c r="Q227" s="6">
        <v>0</v>
      </c>
    </row>
    <row r="228" spans="1:17" x14ac:dyDescent="0.25">
      <c r="A228" s="2" t="s">
        <v>666</v>
      </c>
      <c r="B228" s="2" t="s">
        <v>181</v>
      </c>
      <c r="C228" s="2" t="s">
        <v>182</v>
      </c>
      <c r="D228" s="2" t="s">
        <v>758</v>
      </c>
      <c r="E228" s="2" t="s">
        <v>847</v>
      </c>
      <c r="F228" s="2" t="s">
        <v>846</v>
      </c>
      <c r="G228" s="3">
        <v>46055</v>
      </c>
      <c r="H228" s="2" t="s">
        <v>753</v>
      </c>
      <c r="I228" s="2" t="s">
        <v>755</v>
      </c>
      <c r="J228" s="2" t="s">
        <v>754</v>
      </c>
      <c r="K228" s="2" t="s">
        <v>753</v>
      </c>
      <c r="L228" s="6">
        <v>144</v>
      </c>
      <c r="M228" s="2" t="s">
        <v>752</v>
      </c>
      <c r="N228" s="7">
        <v>39</v>
      </c>
      <c r="O228" s="4">
        <v>5616</v>
      </c>
      <c r="P228" s="4">
        <v>5616</v>
      </c>
      <c r="Q228" s="6">
        <v>0</v>
      </c>
    </row>
    <row r="229" spans="1:17" x14ac:dyDescent="0.25">
      <c r="A229" s="2" t="s">
        <v>1011</v>
      </c>
      <c r="B229" s="2" t="s">
        <v>1000</v>
      </c>
      <c r="C229" s="2" t="s">
        <v>999</v>
      </c>
      <c r="D229" s="2" t="s">
        <v>758</v>
      </c>
      <c r="E229" s="2" t="s">
        <v>757</v>
      </c>
      <c r="F229" s="2" t="s">
        <v>756</v>
      </c>
      <c r="G229" s="3">
        <v>46036</v>
      </c>
      <c r="H229" s="2" t="s">
        <v>770</v>
      </c>
      <c r="I229" s="2" t="s">
        <v>755</v>
      </c>
      <c r="J229" s="2" t="s">
        <v>754</v>
      </c>
      <c r="K229" s="2" t="s">
        <v>753</v>
      </c>
      <c r="L229" s="6">
        <v>0</v>
      </c>
      <c r="M229" s="2" t="s">
        <v>752</v>
      </c>
      <c r="N229" s="7">
        <v>0</v>
      </c>
      <c r="O229" s="4">
        <v>0</v>
      </c>
      <c r="P229" s="4">
        <v>0</v>
      </c>
      <c r="Q229" s="6">
        <v>0</v>
      </c>
    </row>
    <row r="230" spans="1:17" x14ac:dyDescent="0.25">
      <c r="A230" s="2" t="s">
        <v>1011</v>
      </c>
      <c r="B230" s="2" t="s">
        <v>1000</v>
      </c>
      <c r="C230" s="2" t="s">
        <v>999</v>
      </c>
      <c r="D230" s="2" t="s">
        <v>758</v>
      </c>
      <c r="E230" s="2" t="s">
        <v>922</v>
      </c>
      <c r="F230" s="2" t="s">
        <v>921</v>
      </c>
      <c r="G230" s="3">
        <v>46036</v>
      </c>
      <c r="H230" s="2" t="s">
        <v>770</v>
      </c>
      <c r="I230" s="2" t="s">
        <v>755</v>
      </c>
      <c r="J230" s="2" t="s">
        <v>754</v>
      </c>
      <c r="K230" s="2" t="s">
        <v>753</v>
      </c>
      <c r="L230" s="6">
        <v>0</v>
      </c>
      <c r="M230" s="2" t="s">
        <v>752</v>
      </c>
      <c r="N230" s="7">
        <v>0</v>
      </c>
      <c r="O230" s="4">
        <v>0</v>
      </c>
      <c r="P230" s="4">
        <v>0</v>
      </c>
      <c r="Q230" s="6">
        <v>0</v>
      </c>
    </row>
    <row r="231" spans="1:17" x14ac:dyDescent="0.25">
      <c r="A231" s="2" t="s">
        <v>1011</v>
      </c>
      <c r="B231" s="2" t="s">
        <v>1000</v>
      </c>
      <c r="C231" s="2" t="s">
        <v>999</v>
      </c>
      <c r="D231" s="2" t="s">
        <v>758</v>
      </c>
      <c r="E231" s="2" t="s">
        <v>867</v>
      </c>
      <c r="F231" s="2" t="s">
        <v>866</v>
      </c>
      <c r="G231" s="3">
        <v>46036</v>
      </c>
      <c r="H231" s="2" t="s">
        <v>770</v>
      </c>
      <c r="I231" s="2" t="s">
        <v>755</v>
      </c>
      <c r="J231" s="2" t="s">
        <v>754</v>
      </c>
      <c r="K231" s="2" t="s">
        <v>753</v>
      </c>
      <c r="L231" s="6">
        <v>0</v>
      </c>
      <c r="M231" s="2" t="s">
        <v>752</v>
      </c>
      <c r="N231" s="7">
        <v>0</v>
      </c>
      <c r="O231" s="4">
        <v>0</v>
      </c>
      <c r="P231" s="4">
        <v>0</v>
      </c>
      <c r="Q231" s="6">
        <v>0</v>
      </c>
    </row>
    <row r="232" spans="1:17" x14ac:dyDescent="0.25">
      <c r="A232" s="2" t="s">
        <v>696</v>
      </c>
      <c r="B232" s="2" t="s">
        <v>69</v>
      </c>
      <c r="C232" s="2" t="s">
        <v>70</v>
      </c>
      <c r="D232" s="2" t="s">
        <v>758</v>
      </c>
      <c r="E232" s="2" t="s">
        <v>855</v>
      </c>
      <c r="F232" s="2" t="s">
        <v>854</v>
      </c>
      <c r="G232" s="3">
        <v>46043</v>
      </c>
      <c r="H232" s="2" t="s">
        <v>753</v>
      </c>
      <c r="I232" s="2" t="s">
        <v>755</v>
      </c>
      <c r="J232" s="2" t="s">
        <v>754</v>
      </c>
      <c r="K232" s="2" t="s">
        <v>753</v>
      </c>
      <c r="L232" s="6">
        <v>12</v>
      </c>
      <c r="M232" s="2" t="s">
        <v>752</v>
      </c>
      <c r="N232" s="7">
        <v>53.2</v>
      </c>
      <c r="O232" s="4">
        <v>638.4</v>
      </c>
      <c r="P232" s="4">
        <v>638.4</v>
      </c>
      <c r="Q232" s="6">
        <v>0</v>
      </c>
    </row>
    <row r="233" spans="1:17" x14ac:dyDescent="0.25">
      <c r="A233" s="2" t="s">
        <v>696</v>
      </c>
      <c r="B233" s="2" t="s">
        <v>69</v>
      </c>
      <c r="C233" s="2" t="s">
        <v>70</v>
      </c>
      <c r="D233" s="2" t="s">
        <v>758</v>
      </c>
      <c r="E233" s="2" t="s">
        <v>857</v>
      </c>
      <c r="F233" s="2" t="s">
        <v>856</v>
      </c>
      <c r="G233" s="3">
        <v>46043</v>
      </c>
      <c r="H233" s="2" t="s">
        <v>753</v>
      </c>
      <c r="I233" s="2" t="s">
        <v>755</v>
      </c>
      <c r="J233" s="2" t="s">
        <v>754</v>
      </c>
      <c r="K233" s="2" t="s">
        <v>753</v>
      </c>
      <c r="L233" s="6">
        <v>0</v>
      </c>
      <c r="M233" s="2" t="s">
        <v>752</v>
      </c>
      <c r="N233" s="7">
        <v>34.18</v>
      </c>
      <c r="O233" s="4">
        <v>0</v>
      </c>
      <c r="P233" s="4">
        <v>0</v>
      </c>
      <c r="Q233" s="6">
        <v>0</v>
      </c>
    </row>
    <row r="234" spans="1:17" x14ac:dyDescent="0.25">
      <c r="A234" s="2" t="s">
        <v>652</v>
      </c>
      <c r="B234" s="2" t="s">
        <v>49</v>
      </c>
      <c r="C234" s="2" t="s">
        <v>50</v>
      </c>
      <c r="D234" s="2" t="s">
        <v>758</v>
      </c>
      <c r="E234" s="2" t="s">
        <v>871</v>
      </c>
      <c r="F234" s="2" t="s">
        <v>1010</v>
      </c>
      <c r="G234" s="3">
        <v>46056</v>
      </c>
      <c r="H234" s="2" t="s">
        <v>753</v>
      </c>
      <c r="I234" s="2" t="s">
        <v>755</v>
      </c>
      <c r="J234" s="2" t="s">
        <v>754</v>
      </c>
      <c r="K234" s="2" t="s">
        <v>753</v>
      </c>
      <c r="L234" s="6">
        <v>40</v>
      </c>
      <c r="M234" s="2" t="s">
        <v>752</v>
      </c>
      <c r="N234" s="7">
        <v>37.5</v>
      </c>
      <c r="O234" s="4">
        <v>1500</v>
      </c>
      <c r="P234" s="4">
        <v>1500</v>
      </c>
      <c r="Q234" s="6">
        <v>0</v>
      </c>
    </row>
    <row r="235" spans="1:17" x14ac:dyDescent="0.25">
      <c r="A235" s="2" t="s">
        <v>652</v>
      </c>
      <c r="B235" s="2" t="s">
        <v>49</v>
      </c>
      <c r="C235" s="2" t="s">
        <v>50</v>
      </c>
      <c r="D235" s="2" t="s">
        <v>758</v>
      </c>
      <c r="E235" s="2" t="s">
        <v>847</v>
      </c>
      <c r="F235" s="2" t="s">
        <v>846</v>
      </c>
      <c r="G235" s="3">
        <v>46056</v>
      </c>
      <c r="H235" s="2" t="s">
        <v>753</v>
      </c>
      <c r="I235" s="2" t="s">
        <v>755</v>
      </c>
      <c r="J235" s="2" t="s">
        <v>754</v>
      </c>
      <c r="K235" s="2" t="s">
        <v>753</v>
      </c>
      <c r="L235" s="6">
        <v>56</v>
      </c>
      <c r="M235" s="2" t="s">
        <v>752</v>
      </c>
      <c r="N235" s="7">
        <v>34.5</v>
      </c>
      <c r="O235" s="4">
        <v>1932</v>
      </c>
      <c r="P235" s="4">
        <v>1932</v>
      </c>
      <c r="Q235" s="6">
        <v>0</v>
      </c>
    </row>
    <row r="236" spans="1:17" x14ac:dyDescent="0.25">
      <c r="A236" s="2" t="s">
        <v>652</v>
      </c>
      <c r="B236" s="2" t="s">
        <v>49</v>
      </c>
      <c r="C236" s="2" t="s">
        <v>50</v>
      </c>
      <c r="D236" s="2" t="s">
        <v>758</v>
      </c>
      <c r="E236" s="2" t="s">
        <v>875</v>
      </c>
      <c r="F236" s="2" t="s">
        <v>874</v>
      </c>
      <c r="G236" s="3">
        <v>46056</v>
      </c>
      <c r="H236" s="2" t="s">
        <v>753</v>
      </c>
      <c r="I236" s="2" t="s">
        <v>755</v>
      </c>
      <c r="J236" s="2" t="s">
        <v>754</v>
      </c>
      <c r="K236" s="2" t="s">
        <v>753</v>
      </c>
      <c r="L236" s="6">
        <v>32</v>
      </c>
      <c r="M236" s="2" t="s">
        <v>752</v>
      </c>
      <c r="N236" s="7">
        <v>34.5</v>
      </c>
      <c r="O236" s="4">
        <v>1104</v>
      </c>
      <c r="P236" s="4">
        <v>1104</v>
      </c>
      <c r="Q236" s="6">
        <v>0</v>
      </c>
    </row>
    <row r="237" spans="1:17" x14ac:dyDescent="0.25">
      <c r="A237" s="2" t="s">
        <v>638</v>
      </c>
      <c r="B237" s="2" t="s">
        <v>513</v>
      </c>
      <c r="C237" s="2" t="s">
        <v>514</v>
      </c>
      <c r="D237" s="2" t="s">
        <v>758</v>
      </c>
      <c r="E237" s="2" t="s">
        <v>871</v>
      </c>
      <c r="F237" s="2" t="s">
        <v>1010</v>
      </c>
      <c r="G237" s="3">
        <v>46058</v>
      </c>
      <c r="H237" s="2" t="s">
        <v>753</v>
      </c>
      <c r="I237" s="2" t="s">
        <v>755</v>
      </c>
      <c r="J237" s="2" t="s">
        <v>754</v>
      </c>
      <c r="K237" s="2" t="s">
        <v>753</v>
      </c>
      <c r="L237" s="6">
        <v>60</v>
      </c>
      <c r="M237" s="2" t="s">
        <v>752</v>
      </c>
      <c r="N237" s="7">
        <v>41.66</v>
      </c>
      <c r="O237" s="4">
        <v>2499.6</v>
      </c>
      <c r="P237" s="4">
        <v>2499.6</v>
      </c>
      <c r="Q237" s="6">
        <v>0</v>
      </c>
    </row>
    <row r="238" spans="1:17" x14ac:dyDescent="0.25">
      <c r="A238" s="2" t="s">
        <v>638</v>
      </c>
      <c r="B238" s="2" t="s">
        <v>513</v>
      </c>
      <c r="C238" s="2" t="s">
        <v>514</v>
      </c>
      <c r="D238" s="2" t="s">
        <v>758</v>
      </c>
      <c r="E238" s="2" t="s">
        <v>918</v>
      </c>
      <c r="F238" s="2" t="s">
        <v>917</v>
      </c>
      <c r="G238" s="3">
        <v>46058</v>
      </c>
      <c r="H238" s="2" t="s">
        <v>753</v>
      </c>
      <c r="I238" s="2" t="s">
        <v>755</v>
      </c>
      <c r="J238" s="2" t="s">
        <v>754</v>
      </c>
      <c r="K238" s="2" t="s">
        <v>753</v>
      </c>
      <c r="L238" s="6">
        <v>16</v>
      </c>
      <c r="M238" s="2" t="s">
        <v>752</v>
      </c>
      <c r="N238" s="7">
        <v>42.53</v>
      </c>
      <c r="O238" s="4">
        <v>680.48</v>
      </c>
      <c r="P238" s="4">
        <v>680.48</v>
      </c>
      <c r="Q238" s="6">
        <v>0</v>
      </c>
    </row>
    <row r="239" spans="1:17" x14ac:dyDescent="0.25">
      <c r="A239" s="2" t="s">
        <v>638</v>
      </c>
      <c r="B239" s="2" t="s">
        <v>513</v>
      </c>
      <c r="C239" s="2" t="s">
        <v>514</v>
      </c>
      <c r="D239" s="2" t="s">
        <v>758</v>
      </c>
      <c r="E239" s="2" t="s">
        <v>778</v>
      </c>
      <c r="F239" s="2" t="s">
        <v>997</v>
      </c>
      <c r="G239" s="3">
        <v>46058</v>
      </c>
      <c r="H239" s="2" t="s">
        <v>753</v>
      </c>
      <c r="I239" s="2" t="s">
        <v>755</v>
      </c>
      <c r="J239" s="2" t="s">
        <v>754</v>
      </c>
      <c r="K239" s="2" t="s">
        <v>753</v>
      </c>
      <c r="L239" s="6">
        <v>32</v>
      </c>
      <c r="M239" s="2" t="s">
        <v>752</v>
      </c>
      <c r="N239" s="7">
        <v>39.96</v>
      </c>
      <c r="O239" s="4">
        <v>1278.72</v>
      </c>
      <c r="P239" s="4">
        <v>1278.72</v>
      </c>
      <c r="Q239" s="6">
        <v>0</v>
      </c>
    </row>
    <row r="240" spans="1:17" x14ac:dyDescent="0.25">
      <c r="A240" s="2" t="s">
        <v>638</v>
      </c>
      <c r="B240" s="2" t="s">
        <v>513</v>
      </c>
      <c r="C240" s="2" t="s">
        <v>514</v>
      </c>
      <c r="D240" s="2" t="s">
        <v>758</v>
      </c>
      <c r="E240" s="2" t="s">
        <v>823</v>
      </c>
      <c r="F240" s="2" t="s">
        <v>822</v>
      </c>
      <c r="G240" s="3">
        <v>46058</v>
      </c>
      <c r="H240" s="2" t="s">
        <v>753</v>
      </c>
      <c r="I240" s="2" t="s">
        <v>755</v>
      </c>
      <c r="J240" s="2" t="s">
        <v>754</v>
      </c>
      <c r="K240" s="2" t="s">
        <v>753</v>
      </c>
      <c r="L240" s="6">
        <v>24</v>
      </c>
      <c r="M240" s="2" t="s">
        <v>752</v>
      </c>
      <c r="N240" s="7">
        <v>52</v>
      </c>
      <c r="O240" s="4">
        <v>1248</v>
      </c>
      <c r="P240" s="4">
        <v>1248</v>
      </c>
      <c r="Q240" s="6">
        <v>0</v>
      </c>
    </row>
    <row r="241" spans="1:17" x14ac:dyDescent="0.25">
      <c r="A241" s="2" t="s">
        <v>630</v>
      </c>
      <c r="B241" s="2" t="s">
        <v>171</v>
      </c>
      <c r="C241" s="2" t="s">
        <v>172</v>
      </c>
      <c r="D241" s="2" t="s">
        <v>758</v>
      </c>
      <c r="E241" s="2" t="s">
        <v>780</v>
      </c>
      <c r="F241" s="2" t="s">
        <v>779</v>
      </c>
      <c r="G241" s="3">
        <v>46062</v>
      </c>
      <c r="H241" s="2" t="s">
        <v>753</v>
      </c>
      <c r="I241" s="2" t="s">
        <v>755</v>
      </c>
      <c r="J241" s="2" t="s">
        <v>754</v>
      </c>
      <c r="K241" s="2" t="s">
        <v>753</v>
      </c>
      <c r="L241" s="6">
        <v>942</v>
      </c>
      <c r="M241" s="2" t="s">
        <v>752</v>
      </c>
      <c r="N241" s="7">
        <v>26.25</v>
      </c>
      <c r="O241" s="4">
        <v>24727.5</v>
      </c>
      <c r="P241" s="4">
        <v>24727.5</v>
      </c>
      <c r="Q241" s="6">
        <v>0</v>
      </c>
    </row>
    <row r="242" spans="1:17" x14ac:dyDescent="0.25">
      <c r="A242" s="2" t="s">
        <v>680</v>
      </c>
      <c r="B242" s="2" t="s">
        <v>29</v>
      </c>
      <c r="C242" s="2" t="s">
        <v>30</v>
      </c>
      <c r="D242" s="2" t="s">
        <v>758</v>
      </c>
      <c r="E242" s="2" t="s">
        <v>817</v>
      </c>
      <c r="F242" s="2" t="s">
        <v>937</v>
      </c>
      <c r="G242" s="3">
        <v>46051</v>
      </c>
      <c r="H242" s="2" t="s">
        <v>753</v>
      </c>
      <c r="I242" s="2" t="s">
        <v>755</v>
      </c>
      <c r="J242" s="2" t="s">
        <v>754</v>
      </c>
      <c r="K242" s="2" t="s">
        <v>753</v>
      </c>
      <c r="L242" s="6">
        <v>28</v>
      </c>
      <c r="M242" s="2" t="s">
        <v>752</v>
      </c>
      <c r="N242" s="7">
        <v>31.42</v>
      </c>
      <c r="O242" s="4">
        <v>879.76</v>
      </c>
      <c r="P242" s="4">
        <v>879.76</v>
      </c>
      <c r="Q242" s="6">
        <v>0</v>
      </c>
    </row>
    <row r="243" spans="1:17" x14ac:dyDescent="0.25">
      <c r="A243" s="2" t="s">
        <v>680</v>
      </c>
      <c r="B243" s="2" t="s">
        <v>29</v>
      </c>
      <c r="C243" s="2" t="s">
        <v>30</v>
      </c>
      <c r="D243" s="2" t="s">
        <v>758</v>
      </c>
      <c r="E243" s="2" t="s">
        <v>815</v>
      </c>
      <c r="F243" s="2" t="s">
        <v>814</v>
      </c>
      <c r="G243" s="3">
        <v>46051</v>
      </c>
      <c r="H243" s="2" t="s">
        <v>753</v>
      </c>
      <c r="I243" s="2" t="s">
        <v>755</v>
      </c>
      <c r="J243" s="2" t="s">
        <v>754</v>
      </c>
      <c r="K243" s="2" t="s">
        <v>753</v>
      </c>
      <c r="L243" s="6">
        <v>140</v>
      </c>
      <c r="M243" s="2" t="s">
        <v>752</v>
      </c>
      <c r="N243" s="7">
        <v>34</v>
      </c>
      <c r="O243" s="4">
        <v>4760</v>
      </c>
      <c r="P243" s="4">
        <v>4760</v>
      </c>
      <c r="Q243" s="6">
        <v>0</v>
      </c>
    </row>
    <row r="244" spans="1:17" x14ac:dyDescent="0.25">
      <c r="A244" s="2" t="s">
        <v>680</v>
      </c>
      <c r="B244" s="2" t="s">
        <v>29</v>
      </c>
      <c r="C244" s="2" t="s">
        <v>30</v>
      </c>
      <c r="D244" s="2" t="s">
        <v>758</v>
      </c>
      <c r="E244" s="2" t="s">
        <v>813</v>
      </c>
      <c r="F244" s="2" t="s">
        <v>812</v>
      </c>
      <c r="G244" s="3">
        <v>46051</v>
      </c>
      <c r="H244" s="2" t="s">
        <v>753</v>
      </c>
      <c r="I244" s="2" t="s">
        <v>755</v>
      </c>
      <c r="J244" s="2" t="s">
        <v>754</v>
      </c>
      <c r="K244" s="2" t="s">
        <v>753</v>
      </c>
      <c r="L244" s="6">
        <v>12</v>
      </c>
      <c r="M244" s="2" t="s">
        <v>752</v>
      </c>
      <c r="N244" s="7">
        <v>43.26</v>
      </c>
      <c r="O244" s="4">
        <v>519.12</v>
      </c>
      <c r="P244" s="4">
        <v>519.12</v>
      </c>
      <c r="Q244" s="6">
        <v>0</v>
      </c>
    </row>
    <row r="245" spans="1:17" x14ac:dyDescent="0.25">
      <c r="A245" s="2" t="s">
        <v>680</v>
      </c>
      <c r="B245" s="2" t="s">
        <v>29</v>
      </c>
      <c r="C245" s="2" t="s">
        <v>30</v>
      </c>
      <c r="D245" s="2" t="s">
        <v>758</v>
      </c>
      <c r="E245" s="2" t="s">
        <v>811</v>
      </c>
      <c r="F245" s="2" t="s">
        <v>810</v>
      </c>
      <c r="G245" s="3">
        <v>46051</v>
      </c>
      <c r="H245" s="2" t="s">
        <v>753</v>
      </c>
      <c r="I245" s="2" t="s">
        <v>755</v>
      </c>
      <c r="J245" s="2" t="s">
        <v>754</v>
      </c>
      <c r="K245" s="2" t="s">
        <v>753</v>
      </c>
      <c r="L245" s="6">
        <v>20</v>
      </c>
      <c r="M245" s="2" t="s">
        <v>752</v>
      </c>
      <c r="N245" s="7">
        <v>43.26</v>
      </c>
      <c r="O245" s="4">
        <v>865.2</v>
      </c>
      <c r="P245" s="4">
        <v>865.2</v>
      </c>
      <c r="Q245" s="6">
        <v>0</v>
      </c>
    </row>
    <row r="246" spans="1:17" x14ac:dyDescent="0.25">
      <c r="A246" s="2" t="s">
        <v>680</v>
      </c>
      <c r="B246" s="2" t="s">
        <v>29</v>
      </c>
      <c r="C246" s="2" t="s">
        <v>30</v>
      </c>
      <c r="D246" s="2" t="s">
        <v>758</v>
      </c>
      <c r="E246" s="2" t="s">
        <v>763</v>
      </c>
      <c r="F246" s="2" t="s">
        <v>762</v>
      </c>
      <c r="G246" s="3">
        <v>46051</v>
      </c>
      <c r="H246" s="2" t="s">
        <v>753</v>
      </c>
      <c r="I246" s="2" t="s">
        <v>755</v>
      </c>
      <c r="J246" s="2" t="s">
        <v>754</v>
      </c>
      <c r="K246" s="2" t="s">
        <v>753</v>
      </c>
      <c r="L246" s="6">
        <v>28</v>
      </c>
      <c r="M246" s="2" t="s">
        <v>752</v>
      </c>
      <c r="N246" s="7">
        <v>43.36</v>
      </c>
      <c r="O246" s="4">
        <v>1214.08</v>
      </c>
      <c r="P246" s="4">
        <v>1214.08</v>
      </c>
      <c r="Q246" s="6">
        <v>0</v>
      </c>
    </row>
    <row r="247" spans="1:17" x14ac:dyDescent="0.25">
      <c r="A247" s="2" t="s">
        <v>680</v>
      </c>
      <c r="B247" s="2" t="s">
        <v>29</v>
      </c>
      <c r="C247" s="2" t="s">
        <v>30</v>
      </c>
      <c r="D247" s="2" t="s">
        <v>758</v>
      </c>
      <c r="E247" s="2" t="s">
        <v>809</v>
      </c>
      <c r="F247" s="2" t="s">
        <v>808</v>
      </c>
      <c r="G247" s="3">
        <v>46051</v>
      </c>
      <c r="H247" s="2" t="s">
        <v>753</v>
      </c>
      <c r="I247" s="2" t="s">
        <v>755</v>
      </c>
      <c r="J247" s="2" t="s">
        <v>754</v>
      </c>
      <c r="K247" s="2" t="s">
        <v>753</v>
      </c>
      <c r="L247" s="6">
        <v>28</v>
      </c>
      <c r="M247" s="2" t="s">
        <v>752</v>
      </c>
      <c r="N247" s="7">
        <v>39.53</v>
      </c>
      <c r="O247" s="4">
        <v>1106.8399999999999</v>
      </c>
      <c r="P247" s="4">
        <v>1106.8399999999999</v>
      </c>
      <c r="Q247" s="6">
        <v>0</v>
      </c>
    </row>
    <row r="248" spans="1:17" x14ac:dyDescent="0.25">
      <c r="A248" s="2" t="s">
        <v>680</v>
      </c>
      <c r="B248" s="2" t="s">
        <v>29</v>
      </c>
      <c r="C248" s="2" t="s">
        <v>30</v>
      </c>
      <c r="D248" s="2" t="s">
        <v>758</v>
      </c>
      <c r="E248" s="2" t="s">
        <v>776</v>
      </c>
      <c r="F248" s="2" t="s">
        <v>775</v>
      </c>
      <c r="G248" s="3">
        <v>46051</v>
      </c>
      <c r="H248" s="2" t="s">
        <v>753</v>
      </c>
      <c r="I248" s="2" t="s">
        <v>755</v>
      </c>
      <c r="J248" s="2" t="s">
        <v>754</v>
      </c>
      <c r="K248" s="2" t="s">
        <v>753</v>
      </c>
      <c r="L248" s="6">
        <v>20</v>
      </c>
      <c r="M248" s="2" t="s">
        <v>752</v>
      </c>
      <c r="N248" s="7">
        <v>41.2</v>
      </c>
      <c r="O248" s="4">
        <v>824</v>
      </c>
      <c r="P248" s="4">
        <v>824</v>
      </c>
      <c r="Q248" s="6">
        <v>0</v>
      </c>
    </row>
    <row r="249" spans="1:17" x14ac:dyDescent="0.25">
      <c r="A249" s="2" t="s">
        <v>680</v>
      </c>
      <c r="B249" s="2" t="s">
        <v>29</v>
      </c>
      <c r="C249" s="2" t="s">
        <v>30</v>
      </c>
      <c r="D249" s="2" t="s">
        <v>758</v>
      </c>
      <c r="E249" s="2" t="s">
        <v>805</v>
      </c>
      <c r="F249" s="2" t="s">
        <v>804</v>
      </c>
      <c r="G249" s="3">
        <v>46051</v>
      </c>
      <c r="H249" s="2" t="s">
        <v>753</v>
      </c>
      <c r="I249" s="2" t="s">
        <v>755</v>
      </c>
      <c r="J249" s="2" t="s">
        <v>754</v>
      </c>
      <c r="K249" s="2" t="s">
        <v>753</v>
      </c>
      <c r="L249" s="6">
        <v>40</v>
      </c>
      <c r="M249" s="2" t="s">
        <v>752</v>
      </c>
      <c r="N249" s="7">
        <v>41</v>
      </c>
      <c r="O249" s="4">
        <v>1640</v>
      </c>
      <c r="P249" s="4">
        <v>1640</v>
      </c>
      <c r="Q249" s="6">
        <v>0</v>
      </c>
    </row>
    <row r="250" spans="1:17" x14ac:dyDescent="0.25">
      <c r="A250" s="2" t="s">
        <v>668</v>
      </c>
      <c r="B250" s="2" t="s">
        <v>99</v>
      </c>
      <c r="C250" s="2" t="s">
        <v>100</v>
      </c>
      <c r="D250" s="2" t="s">
        <v>758</v>
      </c>
      <c r="E250" s="2" t="s">
        <v>863</v>
      </c>
      <c r="F250" s="2" t="s">
        <v>862</v>
      </c>
      <c r="G250" s="3">
        <v>46052</v>
      </c>
      <c r="H250" s="2" t="s">
        <v>770</v>
      </c>
      <c r="I250" s="2" t="s">
        <v>755</v>
      </c>
      <c r="J250" s="2" t="s">
        <v>754</v>
      </c>
      <c r="K250" s="2" t="s">
        <v>753</v>
      </c>
      <c r="L250" s="6">
        <v>80</v>
      </c>
      <c r="M250" s="2" t="s">
        <v>752</v>
      </c>
      <c r="N250" s="7">
        <v>33.299999999999997</v>
      </c>
      <c r="O250" s="4">
        <v>2664</v>
      </c>
      <c r="P250" s="4">
        <v>2664</v>
      </c>
      <c r="Q250" s="6">
        <v>0</v>
      </c>
    </row>
    <row r="251" spans="1:17" x14ac:dyDescent="0.25">
      <c r="A251" s="2" t="s">
        <v>668</v>
      </c>
      <c r="B251" s="2" t="s">
        <v>99</v>
      </c>
      <c r="C251" s="2" t="s">
        <v>100</v>
      </c>
      <c r="D251" s="2" t="s">
        <v>758</v>
      </c>
      <c r="E251" s="2" t="s">
        <v>763</v>
      </c>
      <c r="F251" s="2" t="s">
        <v>762</v>
      </c>
      <c r="G251" s="3">
        <v>46052</v>
      </c>
      <c r="H251" s="2" t="s">
        <v>770</v>
      </c>
      <c r="I251" s="2" t="s">
        <v>755</v>
      </c>
      <c r="J251" s="2" t="s">
        <v>754</v>
      </c>
      <c r="K251" s="2" t="s">
        <v>753</v>
      </c>
      <c r="L251" s="6">
        <v>256</v>
      </c>
      <c r="M251" s="2" t="s">
        <v>752</v>
      </c>
      <c r="N251" s="7">
        <v>36.82</v>
      </c>
      <c r="O251" s="4">
        <v>9425.92</v>
      </c>
      <c r="P251" s="4">
        <v>9425.92</v>
      </c>
      <c r="Q251" s="6">
        <v>0</v>
      </c>
    </row>
    <row r="252" spans="1:17" x14ac:dyDescent="0.25">
      <c r="A252" s="2" t="s">
        <v>668</v>
      </c>
      <c r="B252" s="2" t="s">
        <v>99</v>
      </c>
      <c r="C252" s="2" t="s">
        <v>100</v>
      </c>
      <c r="D252" s="2" t="s">
        <v>758</v>
      </c>
      <c r="E252" s="2" t="s">
        <v>861</v>
      </c>
      <c r="F252" s="2" t="s">
        <v>860</v>
      </c>
      <c r="G252" s="3">
        <v>46052</v>
      </c>
      <c r="H252" s="2" t="s">
        <v>770</v>
      </c>
      <c r="I252" s="2" t="s">
        <v>755</v>
      </c>
      <c r="J252" s="2" t="s">
        <v>754</v>
      </c>
      <c r="K252" s="2" t="s">
        <v>753</v>
      </c>
      <c r="L252" s="6">
        <v>176</v>
      </c>
      <c r="M252" s="2" t="s">
        <v>752</v>
      </c>
      <c r="N252" s="7">
        <v>39.700000000000003</v>
      </c>
      <c r="O252" s="4">
        <v>6987.2</v>
      </c>
      <c r="P252" s="4">
        <v>6987.2</v>
      </c>
      <c r="Q252" s="6">
        <v>0</v>
      </c>
    </row>
    <row r="253" spans="1:17" x14ac:dyDescent="0.25">
      <c r="A253" s="2" t="s">
        <v>668</v>
      </c>
      <c r="B253" s="2" t="s">
        <v>99</v>
      </c>
      <c r="C253" s="2" t="s">
        <v>100</v>
      </c>
      <c r="D253" s="2" t="s">
        <v>758</v>
      </c>
      <c r="E253" s="2" t="s">
        <v>757</v>
      </c>
      <c r="F253" s="2" t="s">
        <v>756</v>
      </c>
      <c r="G253" s="3">
        <v>46052</v>
      </c>
      <c r="H253" s="2" t="s">
        <v>770</v>
      </c>
      <c r="I253" s="2" t="s">
        <v>755</v>
      </c>
      <c r="J253" s="2" t="s">
        <v>754</v>
      </c>
      <c r="K253" s="2" t="s">
        <v>753</v>
      </c>
      <c r="L253" s="6">
        <v>320</v>
      </c>
      <c r="M253" s="2" t="s">
        <v>752</v>
      </c>
      <c r="N253" s="7">
        <v>39.700000000000003</v>
      </c>
      <c r="O253" s="4">
        <v>12704</v>
      </c>
      <c r="P253" s="4">
        <v>12704</v>
      </c>
      <c r="Q253" s="6">
        <v>0</v>
      </c>
    </row>
    <row r="254" spans="1:17" x14ac:dyDescent="0.25">
      <c r="A254" s="2" t="s">
        <v>678</v>
      </c>
      <c r="B254" s="2" t="s">
        <v>295</v>
      </c>
      <c r="C254" s="2" t="s">
        <v>296</v>
      </c>
      <c r="D254" s="2" t="s">
        <v>758</v>
      </c>
      <c r="E254" s="2" t="s">
        <v>763</v>
      </c>
      <c r="F254" s="2" t="s">
        <v>762</v>
      </c>
      <c r="G254" s="3">
        <v>46051</v>
      </c>
      <c r="H254" s="2" t="s">
        <v>753</v>
      </c>
      <c r="I254" s="2" t="s">
        <v>755</v>
      </c>
      <c r="J254" s="2" t="s">
        <v>754</v>
      </c>
      <c r="K254" s="2" t="s">
        <v>753</v>
      </c>
      <c r="L254" s="6">
        <v>168</v>
      </c>
      <c r="M254" s="2" t="s">
        <v>752</v>
      </c>
      <c r="N254" s="7">
        <v>46.6</v>
      </c>
      <c r="O254" s="4">
        <v>7828.8</v>
      </c>
      <c r="P254" s="4">
        <v>7828.8</v>
      </c>
      <c r="Q254" s="6">
        <v>0</v>
      </c>
    </row>
    <row r="255" spans="1:17" x14ac:dyDescent="0.25">
      <c r="A255" s="2" t="s">
        <v>664</v>
      </c>
      <c r="B255" s="2" t="s">
        <v>55</v>
      </c>
      <c r="C255" s="2" t="s">
        <v>56</v>
      </c>
      <c r="D255" s="2" t="s">
        <v>758</v>
      </c>
      <c r="E255" s="2" t="s">
        <v>859</v>
      </c>
      <c r="F255" s="2" t="s">
        <v>858</v>
      </c>
      <c r="G255" s="3">
        <v>46055</v>
      </c>
      <c r="H255" s="2" t="s">
        <v>753</v>
      </c>
      <c r="I255" s="2" t="s">
        <v>755</v>
      </c>
      <c r="J255" s="2" t="s">
        <v>754</v>
      </c>
      <c r="K255" s="2" t="s">
        <v>753</v>
      </c>
      <c r="L255" s="6">
        <v>256</v>
      </c>
      <c r="M255" s="2" t="s">
        <v>752</v>
      </c>
      <c r="N255" s="7">
        <v>33.42</v>
      </c>
      <c r="O255" s="4">
        <v>8555.52</v>
      </c>
      <c r="P255" s="4">
        <v>8555.52</v>
      </c>
      <c r="Q255" s="6">
        <v>0</v>
      </c>
    </row>
    <row r="256" spans="1:17" x14ac:dyDescent="0.25">
      <c r="A256" s="2" t="s">
        <v>664</v>
      </c>
      <c r="B256" s="2" t="s">
        <v>55</v>
      </c>
      <c r="C256" s="2" t="s">
        <v>56</v>
      </c>
      <c r="D256" s="2" t="s">
        <v>758</v>
      </c>
      <c r="E256" s="2" t="s">
        <v>976</v>
      </c>
      <c r="F256" s="2" t="s">
        <v>975</v>
      </c>
      <c r="G256" s="3">
        <v>46055</v>
      </c>
      <c r="H256" s="2" t="s">
        <v>753</v>
      </c>
      <c r="I256" s="2" t="s">
        <v>755</v>
      </c>
      <c r="J256" s="2" t="s">
        <v>754</v>
      </c>
      <c r="K256" s="2" t="s">
        <v>753</v>
      </c>
      <c r="L256" s="6">
        <v>32</v>
      </c>
      <c r="M256" s="2" t="s">
        <v>752</v>
      </c>
      <c r="N256" s="7">
        <v>26.96</v>
      </c>
      <c r="O256" s="4">
        <v>862.72</v>
      </c>
      <c r="P256" s="4">
        <v>862.72</v>
      </c>
      <c r="Q256" s="6">
        <v>0</v>
      </c>
    </row>
    <row r="257" spans="1:17" x14ac:dyDescent="0.25">
      <c r="A257" s="2" t="s">
        <v>664</v>
      </c>
      <c r="B257" s="2" t="s">
        <v>55</v>
      </c>
      <c r="C257" s="2" t="s">
        <v>56</v>
      </c>
      <c r="D257" s="2" t="s">
        <v>758</v>
      </c>
      <c r="E257" s="2" t="s">
        <v>982</v>
      </c>
      <c r="F257" s="2" t="s">
        <v>981</v>
      </c>
      <c r="G257" s="3">
        <v>46055</v>
      </c>
      <c r="H257" s="2" t="s">
        <v>753</v>
      </c>
      <c r="I257" s="2" t="s">
        <v>755</v>
      </c>
      <c r="J257" s="2" t="s">
        <v>754</v>
      </c>
      <c r="K257" s="2" t="s">
        <v>753</v>
      </c>
      <c r="L257" s="6">
        <v>32</v>
      </c>
      <c r="M257" s="2" t="s">
        <v>752</v>
      </c>
      <c r="N257" s="7">
        <v>29.53</v>
      </c>
      <c r="O257" s="4">
        <v>944.96</v>
      </c>
      <c r="P257" s="4">
        <v>944.96</v>
      </c>
      <c r="Q257" s="6">
        <v>0</v>
      </c>
    </row>
    <row r="258" spans="1:17" x14ac:dyDescent="0.25">
      <c r="A258" s="2" t="s">
        <v>664</v>
      </c>
      <c r="B258" s="2" t="s">
        <v>55</v>
      </c>
      <c r="C258" s="2" t="s">
        <v>56</v>
      </c>
      <c r="D258" s="2" t="s">
        <v>758</v>
      </c>
      <c r="E258" s="2" t="s">
        <v>888</v>
      </c>
      <c r="F258" s="2" t="s">
        <v>887</v>
      </c>
      <c r="G258" s="3">
        <v>46055</v>
      </c>
      <c r="H258" s="2" t="s">
        <v>753</v>
      </c>
      <c r="I258" s="2" t="s">
        <v>755</v>
      </c>
      <c r="J258" s="2" t="s">
        <v>754</v>
      </c>
      <c r="K258" s="2" t="s">
        <v>753</v>
      </c>
      <c r="L258" s="6">
        <v>32</v>
      </c>
      <c r="M258" s="2" t="s">
        <v>752</v>
      </c>
      <c r="N258" s="7">
        <v>26.22</v>
      </c>
      <c r="O258" s="4">
        <v>839.04</v>
      </c>
      <c r="P258" s="4">
        <v>839.04</v>
      </c>
      <c r="Q258" s="6">
        <v>0</v>
      </c>
    </row>
    <row r="259" spans="1:17" x14ac:dyDescent="0.25">
      <c r="A259" s="2" t="s">
        <v>676</v>
      </c>
      <c r="B259" s="2" t="s">
        <v>73</v>
      </c>
      <c r="C259" s="2" t="s">
        <v>74</v>
      </c>
      <c r="D259" s="2" t="s">
        <v>758</v>
      </c>
      <c r="E259" s="2" t="s">
        <v>881</v>
      </c>
      <c r="F259" s="2" t="s">
        <v>880</v>
      </c>
      <c r="G259" s="3">
        <v>46051</v>
      </c>
      <c r="H259" s="2" t="s">
        <v>753</v>
      </c>
      <c r="I259" s="2" t="s">
        <v>755</v>
      </c>
      <c r="J259" s="2" t="s">
        <v>754</v>
      </c>
      <c r="K259" s="2" t="s">
        <v>753</v>
      </c>
      <c r="L259" s="6">
        <v>28</v>
      </c>
      <c r="M259" s="2" t="s">
        <v>752</v>
      </c>
      <c r="N259" s="7">
        <v>50.05</v>
      </c>
      <c r="O259" s="4">
        <v>1401.4</v>
      </c>
      <c r="P259" s="4">
        <v>1401.4</v>
      </c>
      <c r="Q259" s="6">
        <v>0</v>
      </c>
    </row>
    <row r="260" spans="1:17" x14ac:dyDescent="0.25">
      <c r="A260" s="2" t="s">
        <v>676</v>
      </c>
      <c r="B260" s="2" t="s">
        <v>73</v>
      </c>
      <c r="C260" s="2" t="s">
        <v>74</v>
      </c>
      <c r="D260" s="2" t="s">
        <v>758</v>
      </c>
      <c r="E260" s="2" t="s">
        <v>794</v>
      </c>
      <c r="F260" s="2" t="s">
        <v>793</v>
      </c>
      <c r="G260" s="3">
        <v>46051</v>
      </c>
      <c r="H260" s="2" t="s">
        <v>753</v>
      </c>
      <c r="I260" s="2" t="s">
        <v>755</v>
      </c>
      <c r="J260" s="2" t="s">
        <v>754</v>
      </c>
      <c r="K260" s="2" t="s">
        <v>753</v>
      </c>
      <c r="L260" s="6">
        <v>364</v>
      </c>
      <c r="M260" s="2" t="s">
        <v>752</v>
      </c>
      <c r="N260" s="7">
        <v>36</v>
      </c>
      <c r="O260" s="4">
        <v>13104</v>
      </c>
      <c r="P260" s="4">
        <v>13104</v>
      </c>
      <c r="Q260" s="6">
        <v>0</v>
      </c>
    </row>
    <row r="261" spans="1:17" x14ac:dyDescent="0.25">
      <c r="A261" s="2" t="s">
        <v>676</v>
      </c>
      <c r="B261" s="2" t="s">
        <v>73</v>
      </c>
      <c r="C261" s="2" t="s">
        <v>74</v>
      </c>
      <c r="D261" s="2" t="s">
        <v>758</v>
      </c>
      <c r="E261" s="2" t="s">
        <v>879</v>
      </c>
      <c r="F261" s="2" t="s">
        <v>878</v>
      </c>
      <c r="G261" s="3">
        <v>46051</v>
      </c>
      <c r="H261" s="2" t="s">
        <v>753</v>
      </c>
      <c r="I261" s="2" t="s">
        <v>755</v>
      </c>
      <c r="J261" s="2" t="s">
        <v>754</v>
      </c>
      <c r="K261" s="2" t="s">
        <v>753</v>
      </c>
      <c r="L261" s="6">
        <v>56</v>
      </c>
      <c r="M261" s="2" t="s">
        <v>752</v>
      </c>
      <c r="N261" s="7">
        <v>30</v>
      </c>
      <c r="O261" s="4">
        <v>1680</v>
      </c>
      <c r="P261" s="4">
        <v>1680</v>
      </c>
      <c r="Q261" s="6">
        <v>0</v>
      </c>
    </row>
    <row r="262" spans="1:17" x14ac:dyDescent="0.25">
      <c r="A262" s="2" t="s">
        <v>676</v>
      </c>
      <c r="B262" s="2" t="s">
        <v>73</v>
      </c>
      <c r="C262" s="2" t="s">
        <v>74</v>
      </c>
      <c r="D262" s="2" t="s">
        <v>758</v>
      </c>
      <c r="E262" s="2" t="s">
        <v>815</v>
      </c>
      <c r="F262" s="2" t="s">
        <v>814</v>
      </c>
      <c r="G262" s="3">
        <v>46051</v>
      </c>
      <c r="H262" s="2" t="s">
        <v>753</v>
      </c>
      <c r="I262" s="2" t="s">
        <v>755</v>
      </c>
      <c r="J262" s="2" t="s">
        <v>754</v>
      </c>
      <c r="K262" s="2" t="s">
        <v>753</v>
      </c>
      <c r="L262" s="6">
        <v>56</v>
      </c>
      <c r="M262" s="2" t="s">
        <v>752</v>
      </c>
      <c r="N262" s="7">
        <v>40</v>
      </c>
      <c r="O262" s="4">
        <v>2240</v>
      </c>
      <c r="P262" s="4">
        <v>2240</v>
      </c>
      <c r="Q262" s="6">
        <v>0</v>
      </c>
    </row>
    <row r="263" spans="1:17" x14ac:dyDescent="0.25">
      <c r="A263" s="2" t="s">
        <v>674</v>
      </c>
      <c r="B263" s="2" t="s">
        <v>119</v>
      </c>
      <c r="C263" s="2" t="s">
        <v>120</v>
      </c>
      <c r="D263" s="2" t="s">
        <v>758</v>
      </c>
      <c r="E263" s="2" t="s">
        <v>757</v>
      </c>
      <c r="F263" s="2" t="s">
        <v>756</v>
      </c>
      <c r="G263" s="3">
        <v>46051</v>
      </c>
      <c r="H263" s="2" t="s">
        <v>753</v>
      </c>
      <c r="I263" s="2" t="s">
        <v>755</v>
      </c>
      <c r="J263" s="2" t="s">
        <v>754</v>
      </c>
      <c r="K263" s="2" t="s">
        <v>753</v>
      </c>
      <c r="L263" s="6">
        <v>8</v>
      </c>
      <c r="M263" s="2" t="s">
        <v>752</v>
      </c>
      <c r="N263" s="7">
        <v>42.11</v>
      </c>
      <c r="O263" s="4">
        <v>336.88</v>
      </c>
      <c r="P263" s="4">
        <v>336.88</v>
      </c>
      <c r="Q263" s="6">
        <v>0</v>
      </c>
    </row>
    <row r="264" spans="1:17" x14ac:dyDescent="0.25">
      <c r="A264" s="2" t="s">
        <v>674</v>
      </c>
      <c r="B264" s="2" t="s">
        <v>119</v>
      </c>
      <c r="C264" s="2" t="s">
        <v>120</v>
      </c>
      <c r="D264" s="2" t="s">
        <v>758</v>
      </c>
      <c r="E264" s="2" t="s">
        <v>847</v>
      </c>
      <c r="F264" s="2" t="s">
        <v>846</v>
      </c>
      <c r="G264" s="3">
        <v>46051</v>
      </c>
      <c r="H264" s="2" t="s">
        <v>753</v>
      </c>
      <c r="I264" s="2" t="s">
        <v>755</v>
      </c>
      <c r="J264" s="2" t="s">
        <v>754</v>
      </c>
      <c r="K264" s="2" t="s">
        <v>753</v>
      </c>
      <c r="L264" s="6">
        <v>84</v>
      </c>
      <c r="M264" s="2" t="s">
        <v>752</v>
      </c>
      <c r="N264" s="7">
        <v>38.75</v>
      </c>
      <c r="O264" s="4">
        <v>3255</v>
      </c>
      <c r="P264" s="4">
        <v>3255</v>
      </c>
      <c r="Q264" s="6">
        <v>0</v>
      </c>
    </row>
    <row r="265" spans="1:17" x14ac:dyDescent="0.25">
      <c r="A265" s="2" t="s">
        <v>674</v>
      </c>
      <c r="B265" s="2" t="s">
        <v>119</v>
      </c>
      <c r="C265" s="2" t="s">
        <v>120</v>
      </c>
      <c r="D265" s="2" t="s">
        <v>758</v>
      </c>
      <c r="E265" s="2" t="s">
        <v>916</v>
      </c>
      <c r="F265" s="2" t="s">
        <v>915</v>
      </c>
      <c r="G265" s="3">
        <v>46051</v>
      </c>
      <c r="H265" s="2" t="s">
        <v>753</v>
      </c>
      <c r="I265" s="2" t="s">
        <v>755</v>
      </c>
      <c r="J265" s="2" t="s">
        <v>754</v>
      </c>
      <c r="K265" s="2" t="s">
        <v>753</v>
      </c>
      <c r="L265" s="6">
        <v>12</v>
      </c>
      <c r="M265" s="2" t="s">
        <v>752</v>
      </c>
      <c r="N265" s="7">
        <v>40.78</v>
      </c>
      <c r="O265" s="4">
        <v>489.36</v>
      </c>
      <c r="P265" s="4">
        <v>489.36</v>
      </c>
      <c r="Q265" s="6">
        <v>0</v>
      </c>
    </row>
    <row r="266" spans="1:17" x14ac:dyDescent="0.25">
      <c r="A266" s="2" t="s">
        <v>674</v>
      </c>
      <c r="B266" s="2" t="s">
        <v>119</v>
      </c>
      <c r="C266" s="2" t="s">
        <v>120</v>
      </c>
      <c r="D266" s="2" t="s">
        <v>758</v>
      </c>
      <c r="E266" s="2" t="s">
        <v>807</v>
      </c>
      <c r="F266" s="2" t="s">
        <v>806</v>
      </c>
      <c r="G266" s="3">
        <v>46051</v>
      </c>
      <c r="H266" s="2" t="s">
        <v>753</v>
      </c>
      <c r="I266" s="2" t="s">
        <v>755</v>
      </c>
      <c r="J266" s="2" t="s">
        <v>754</v>
      </c>
      <c r="K266" s="2" t="s">
        <v>753</v>
      </c>
      <c r="L266" s="6">
        <v>8</v>
      </c>
      <c r="M266" s="2" t="s">
        <v>752</v>
      </c>
      <c r="N266" s="7">
        <v>44.65</v>
      </c>
      <c r="O266" s="4">
        <v>357.2</v>
      </c>
      <c r="P266" s="4">
        <v>357.2</v>
      </c>
      <c r="Q266" s="6">
        <v>0</v>
      </c>
    </row>
    <row r="267" spans="1:17" x14ac:dyDescent="0.25">
      <c r="A267" s="2" t="s">
        <v>674</v>
      </c>
      <c r="B267" s="2" t="s">
        <v>119</v>
      </c>
      <c r="C267" s="2" t="s">
        <v>120</v>
      </c>
      <c r="D267" s="2" t="s">
        <v>758</v>
      </c>
      <c r="E267" s="2" t="s">
        <v>845</v>
      </c>
      <c r="F267" s="2" t="s">
        <v>844</v>
      </c>
      <c r="G267" s="3">
        <v>46051</v>
      </c>
      <c r="H267" s="2" t="s">
        <v>753</v>
      </c>
      <c r="I267" s="2" t="s">
        <v>755</v>
      </c>
      <c r="J267" s="2" t="s">
        <v>754</v>
      </c>
      <c r="K267" s="2" t="s">
        <v>753</v>
      </c>
      <c r="L267" s="6">
        <v>20</v>
      </c>
      <c r="M267" s="2" t="s">
        <v>752</v>
      </c>
      <c r="N267" s="7">
        <v>40.619999999999997</v>
      </c>
      <c r="O267" s="4">
        <v>812.4</v>
      </c>
      <c r="P267" s="4">
        <v>812.4</v>
      </c>
      <c r="Q267" s="6">
        <v>0</v>
      </c>
    </row>
    <row r="268" spans="1:17" x14ac:dyDescent="0.25">
      <c r="A268" s="2" t="s">
        <v>674</v>
      </c>
      <c r="B268" s="2" t="s">
        <v>119</v>
      </c>
      <c r="C268" s="2" t="s">
        <v>120</v>
      </c>
      <c r="D268" s="2" t="s">
        <v>758</v>
      </c>
      <c r="E268" s="2" t="s">
        <v>914</v>
      </c>
      <c r="F268" s="2" t="s">
        <v>913</v>
      </c>
      <c r="G268" s="3">
        <v>46051</v>
      </c>
      <c r="H268" s="2" t="s">
        <v>753</v>
      </c>
      <c r="I268" s="2" t="s">
        <v>755</v>
      </c>
      <c r="J268" s="2" t="s">
        <v>754</v>
      </c>
      <c r="K268" s="2" t="s">
        <v>753</v>
      </c>
      <c r="L268" s="6">
        <v>4</v>
      </c>
      <c r="M268" s="2" t="s">
        <v>752</v>
      </c>
      <c r="N268" s="7">
        <v>41.6</v>
      </c>
      <c r="O268" s="4">
        <v>166.4</v>
      </c>
      <c r="P268" s="4">
        <v>166.4</v>
      </c>
      <c r="Q268" s="6">
        <v>0</v>
      </c>
    </row>
    <row r="269" spans="1:17" x14ac:dyDescent="0.25">
      <c r="A269" s="2" t="s">
        <v>674</v>
      </c>
      <c r="B269" s="2" t="s">
        <v>119</v>
      </c>
      <c r="C269" s="2" t="s">
        <v>120</v>
      </c>
      <c r="D269" s="2" t="s">
        <v>758</v>
      </c>
      <c r="E269" s="2" t="s">
        <v>786</v>
      </c>
      <c r="F269" s="2" t="s">
        <v>785</v>
      </c>
      <c r="G269" s="3">
        <v>46051</v>
      </c>
      <c r="H269" s="2" t="s">
        <v>753</v>
      </c>
      <c r="I269" s="2" t="s">
        <v>755</v>
      </c>
      <c r="J269" s="2" t="s">
        <v>754</v>
      </c>
      <c r="K269" s="2" t="s">
        <v>753</v>
      </c>
      <c r="L269" s="6">
        <v>108</v>
      </c>
      <c r="M269" s="2" t="s">
        <v>752</v>
      </c>
      <c r="N269" s="7">
        <v>35</v>
      </c>
      <c r="O269" s="4">
        <v>3780</v>
      </c>
      <c r="P269" s="4">
        <v>3780</v>
      </c>
      <c r="Q269" s="6">
        <v>0</v>
      </c>
    </row>
    <row r="270" spans="1:17" x14ac:dyDescent="0.25">
      <c r="A270" s="2" t="s">
        <v>674</v>
      </c>
      <c r="B270" s="2" t="s">
        <v>119</v>
      </c>
      <c r="C270" s="2" t="s">
        <v>120</v>
      </c>
      <c r="D270" s="2" t="s">
        <v>758</v>
      </c>
      <c r="E270" s="2" t="s">
        <v>813</v>
      </c>
      <c r="F270" s="2" t="s">
        <v>812</v>
      </c>
      <c r="G270" s="3">
        <v>46051</v>
      </c>
      <c r="H270" s="2" t="s">
        <v>753</v>
      </c>
      <c r="I270" s="2" t="s">
        <v>755</v>
      </c>
      <c r="J270" s="2" t="s">
        <v>754</v>
      </c>
      <c r="K270" s="2" t="s">
        <v>753</v>
      </c>
      <c r="L270" s="6">
        <v>12</v>
      </c>
      <c r="M270" s="2" t="s">
        <v>752</v>
      </c>
      <c r="N270" s="7">
        <v>53</v>
      </c>
      <c r="O270" s="4">
        <v>636</v>
      </c>
      <c r="P270" s="4">
        <v>636</v>
      </c>
      <c r="Q270" s="6">
        <v>0</v>
      </c>
    </row>
    <row r="271" spans="1:17" x14ac:dyDescent="0.25">
      <c r="A271" s="2" t="s">
        <v>674</v>
      </c>
      <c r="B271" s="2" t="s">
        <v>119</v>
      </c>
      <c r="C271" s="2" t="s">
        <v>120</v>
      </c>
      <c r="D271" s="2" t="s">
        <v>758</v>
      </c>
      <c r="E271" s="2" t="s">
        <v>776</v>
      </c>
      <c r="F271" s="2" t="s">
        <v>775</v>
      </c>
      <c r="G271" s="3">
        <v>46051</v>
      </c>
      <c r="H271" s="2" t="s">
        <v>753</v>
      </c>
      <c r="I271" s="2" t="s">
        <v>755</v>
      </c>
      <c r="J271" s="2" t="s">
        <v>754</v>
      </c>
      <c r="K271" s="2" t="s">
        <v>753</v>
      </c>
      <c r="L271" s="6">
        <v>32</v>
      </c>
      <c r="M271" s="2" t="s">
        <v>752</v>
      </c>
      <c r="N271" s="7">
        <v>43.82</v>
      </c>
      <c r="O271" s="4">
        <v>1402.24</v>
      </c>
      <c r="P271" s="4">
        <v>1402.24</v>
      </c>
      <c r="Q271" s="6">
        <v>0</v>
      </c>
    </row>
    <row r="272" spans="1:17" x14ac:dyDescent="0.25">
      <c r="A272" s="2" t="s">
        <v>674</v>
      </c>
      <c r="B272" s="2" t="s">
        <v>119</v>
      </c>
      <c r="C272" s="2" t="s">
        <v>120</v>
      </c>
      <c r="D272" s="2" t="s">
        <v>758</v>
      </c>
      <c r="E272" s="2" t="s">
        <v>912</v>
      </c>
      <c r="F272" s="2" t="s">
        <v>911</v>
      </c>
      <c r="G272" s="3">
        <v>46051</v>
      </c>
      <c r="H272" s="2" t="s">
        <v>753</v>
      </c>
      <c r="I272" s="2" t="s">
        <v>755</v>
      </c>
      <c r="J272" s="2" t="s">
        <v>754</v>
      </c>
      <c r="K272" s="2" t="s">
        <v>753</v>
      </c>
      <c r="L272" s="6">
        <v>20</v>
      </c>
      <c r="M272" s="2" t="s">
        <v>752</v>
      </c>
      <c r="N272" s="7">
        <v>55.13</v>
      </c>
      <c r="O272" s="4">
        <v>1102.5999999999999</v>
      </c>
      <c r="P272" s="4">
        <v>1102.5999999999999</v>
      </c>
      <c r="Q272" s="6">
        <v>0</v>
      </c>
    </row>
    <row r="273" spans="1:17" x14ac:dyDescent="0.25">
      <c r="A273" s="2" t="s">
        <v>1009</v>
      </c>
      <c r="B273" s="2" t="s">
        <v>1000</v>
      </c>
      <c r="C273" s="2" t="s">
        <v>999</v>
      </c>
      <c r="D273" s="2" t="s">
        <v>758</v>
      </c>
      <c r="E273" s="2" t="s">
        <v>757</v>
      </c>
      <c r="F273" s="2" t="s">
        <v>756</v>
      </c>
      <c r="G273" s="3">
        <v>46042</v>
      </c>
      <c r="H273" s="2" t="s">
        <v>770</v>
      </c>
      <c r="I273" s="2" t="s">
        <v>755</v>
      </c>
      <c r="J273" s="2" t="s">
        <v>754</v>
      </c>
      <c r="K273" s="2" t="s">
        <v>753</v>
      </c>
      <c r="L273" s="6">
        <v>0</v>
      </c>
      <c r="M273" s="2" t="s">
        <v>752</v>
      </c>
      <c r="N273" s="7">
        <v>0</v>
      </c>
      <c r="O273" s="4">
        <v>0</v>
      </c>
      <c r="P273" s="4">
        <v>0</v>
      </c>
      <c r="Q273" s="6">
        <v>0</v>
      </c>
    </row>
    <row r="274" spans="1:17" x14ac:dyDescent="0.25">
      <c r="A274" s="2" t="s">
        <v>1009</v>
      </c>
      <c r="B274" s="2" t="s">
        <v>1000</v>
      </c>
      <c r="C274" s="2" t="s">
        <v>999</v>
      </c>
      <c r="D274" s="2" t="s">
        <v>758</v>
      </c>
      <c r="E274" s="2" t="s">
        <v>922</v>
      </c>
      <c r="F274" s="2" t="s">
        <v>921</v>
      </c>
      <c r="G274" s="3">
        <v>46042</v>
      </c>
      <c r="H274" s="2" t="s">
        <v>770</v>
      </c>
      <c r="I274" s="2" t="s">
        <v>755</v>
      </c>
      <c r="J274" s="2" t="s">
        <v>754</v>
      </c>
      <c r="K274" s="2" t="s">
        <v>753</v>
      </c>
      <c r="L274" s="6">
        <v>0</v>
      </c>
      <c r="M274" s="2" t="s">
        <v>752</v>
      </c>
      <c r="N274" s="7">
        <v>0</v>
      </c>
      <c r="O274" s="4">
        <v>0</v>
      </c>
      <c r="P274" s="4">
        <v>0</v>
      </c>
      <c r="Q274" s="6">
        <v>0</v>
      </c>
    </row>
    <row r="275" spans="1:17" x14ac:dyDescent="0.25">
      <c r="A275" s="2" t="s">
        <v>1009</v>
      </c>
      <c r="B275" s="2" t="s">
        <v>1000</v>
      </c>
      <c r="C275" s="2" t="s">
        <v>999</v>
      </c>
      <c r="D275" s="2" t="s">
        <v>758</v>
      </c>
      <c r="E275" s="2" t="s">
        <v>867</v>
      </c>
      <c r="F275" s="2" t="s">
        <v>866</v>
      </c>
      <c r="G275" s="3">
        <v>46042</v>
      </c>
      <c r="H275" s="2" t="s">
        <v>770</v>
      </c>
      <c r="I275" s="2" t="s">
        <v>755</v>
      </c>
      <c r="J275" s="2" t="s">
        <v>754</v>
      </c>
      <c r="K275" s="2" t="s">
        <v>753</v>
      </c>
      <c r="L275" s="6">
        <v>0</v>
      </c>
      <c r="M275" s="2" t="s">
        <v>752</v>
      </c>
      <c r="N275" s="7">
        <v>0</v>
      </c>
      <c r="O275" s="4">
        <v>0</v>
      </c>
      <c r="P275" s="4">
        <v>0</v>
      </c>
      <c r="Q275" s="6">
        <v>0</v>
      </c>
    </row>
    <row r="276" spans="1:17" x14ac:dyDescent="0.25">
      <c r="A276" s="2" t="s">
        <v>662</v>
      </c>
      <c r="B276" s="2" t="s">
        <v>21</v>
      </c>
      <c r="C276" s="2" t="s">
        <v>22</v>
      </c>
      <c r="D276" s="2" t="s">
        <v>758</v>
      </c>
      <c r="E276" s="2" t="s">
        <v>774</v>
      </c>
      <c r="F276" s="2" t="s">
        <v>773</v>
      </c>
      <c r="G276" s="3">
        <v>46055</v>
      </c>
      <c r="H276" s="2" t="s">
        <v>753</v>
      </c>
      <c r="I276" s="2" t="s">
        <v>755</v>
      </c>
      <c r="J276" s="2" t="s">
        <v>754</v>
      </c>
      <c r="K276" s="2" t="s">
        <v>753</v>
      </c>
      <c r="L276" s="6">
        <v>56</v>
      </c>
      <c r="M276" s="2" t="s">
        <v>752</v>
      </c>
      <c r="N276" s="7">
        <v>38.299999999999997</v>
      </c>
      <c r="O276" s="4">
        <v>2144.8000000000002</v>
      </c>
      <c r="P276" s="4">
        <v>2144.8000000000002</v>
      </c>
      <c r="Q276" s="6">
        <v>0</v>
      </c>
    </row>
    <row r="277" spans="1:17" x14ac:dyDescent="0.25">
      <c r="A277" s="2" t="s">
        <v>662</v>
      </c>
      <c r="B277" s="2" t="s">
        <v>21</v>
      </c>
      <c r="C277" s="2" t="s">
        <v>22</v>
      </c>
      <c r="D277" s="2" t="s">
        <v>758</v>
      </c>
      <c r="E277" s="2" t="s">
        <v>794</v>
      </c>
      <c r="F277" s="2" t="s">
        <v>793</v>
      </c>
      <c r="G277" s="3">
        <v>46055</v>
      </c>
      <c r="H277" s="2" t="s">
        <v>753</v>
      </c>
      <c r="I277" s="2" t="s">
        <v>755</v>
      </c>
      <c r="J277" s="2" t="s">
        <v>754</v>
      </c>
      <c r="K277" s="2" t="s">
        <v>753</v>
      </c>
      <c r="L277" s="6">
        <v>0</v>
      </c>
      <c r="M277" s="2" t="s">
        <v>752</v>
      </c>
      <c r="N277" s="7">
        <v>40.619999999999997</v>
      </c>
      <c r="O277" s="4">
        <v>0</v>
      </c>
      <c r="P277" s="4">
        <v>0</v>
      </c>
      <c r="Q277" s="6">
        <v>0</v>
      </c>
    </row>
    <row r="278" spans="1:17" x14ac:dyDescent="0.25">
      <c r="A278" s="2" t="s">
        <v>662</v>
      </c>
      <c r="B278" s="2" t="s">
        <v>21</v>
      </c>
      <c r="C278" s="2" t="s">
        <v>22</v>
      </c>
      <c r="D278" s="2" t="s">
        <v>758</v>
      </c>
      <c r="E278" s="2" t="s">
        <v>792</v>
      </c>
      <c r="F278" s="2" t="s">
        <v>943</v>
      </c>
      <c r="G278" s="3">
        <v>46055</v>
      </c>
      <c r="H278" s="2" t="s">
        <v>753</v>
      </c>
      <c r="I278" s="2" t="s">
        <v>755</v>
      </c>
      <c r="J278" s="2" t="s">
        <v>754</v>
      </c>
      <c r="K278" s="2" t="s">
        <v>753</v>
      </c>
      <c r="L278" s="6">
        <v>28</v>
      </c>
      <c r="M278" s="2" t="s">
        <v>752</v>
      </c>
      <c r="N278" s="7">
        <v>35</v>
      </c>
      <c r="O278" s="4">
        <v>980</v>
      </c>
      <c r="P278" s="4">
        <v>980</v>
      </c>
      <c r="Q278" s="6">
        <v>0</v>
      </c>
    </row>
    <row r="279" spans="1:17" x14ac:dyDescent="0.25">
      <c r="A279" s="2" t="s">
        <v>662</v>
      </c>
      <c r="B279" s="2" t="s">
        <v>21</v>
      </c>
      <c r="C279" s="2" t="s">
        <v>22</v>
      </c>
      <c r="D279" s="2" t="s">
        <v>758</v>
      </c>
      <c r="E279" s="2" t="s">
        <v>788</v>
      </c>
      <c r="F279" s="2" t="s">
        <v>787</v>
      </c>
      <c r="G279" s="3">
        <v>46055</v>
      </c>
      <c r="H279" s="2" t="s">
        <v>753</v>
      </c>
      <c r="I279" s="2" t="s">
        <v>755</v>
      </c>
      <c r="J279" s="2" t="s">
        <v>754</v>
      </c>
      <c r="K279" s="2" t="s">
        <v>753</v>
      </c>
      <c r="L279" s="6">
        <v>0</v>
      </c>
      <c r="M279" s="2" t="s">
        <v>752</v>
      </c>
      <c r="N279" s="7">
        <v>38.299999999999997</v>
      </c>
      <c r="O279" s="4">
        <v>0</v>
      </c>
      <c r="P279" s="4">
        <v>0</v>
      </c>
      <c r="Q279" s="6">
        <v>0</v>
      </c>
    </row>
    <row r="280" spans="1:17" x14ac:dyDescent="0.25">
      <c r="A280" s="2" t="s">
        <v>662</v>
      </c>
      <c r="B280" s="2" t="s">
        <v>21</v>
      </c>
      <c r="C280" s="2" t="s">
        <v>22</v>
      </c>
      <c r="D280" s="2" t="s">
        <v>758</v>
      </c>
      <c r="E280" s="2" t="s">
        <v>950</v>
      </c>
      <c r="F280" s="2" t="s">
        <v>949</v>
      </c>
      <c r="G280" s="3">
        <v>46055</v>
      </c>
      <c r="H280" s="2" t="s">
        <v>753</v>
      </c>
      <c r="I280" s="2" t="s">
        <v>755</v>
      </c>
      <c r="J280" s="2" t="s">
        <v>754</v>
      </c>
      <c r="K280" s="2" t="s">
        <v>753</v>
      </c>
      <c r="L280" s="6">
        <v>0</v>
      </c>
      <c r="M280" s="2" t="s">
        <v>752</v>
      </c>
      <c r="N280" s="7">
        <v>49</v>
      </c>
      <c r="O280" s="4">
        <v>0</v>
      </c>
      <c r="P280" s="4">
        <v>0</v>
      </c>
      <c r="Q280" s="6">
        <v>0</v>
      </c>
    </row>
    <row r="281" spans="1:17" x14ac:dyDescent="0.25">
      <c r="A281" s="2" t="s">
        <v>662</v>
      </c>
      <c r="B281" s="2" t="s">
        <v>21</v>
      </c>
      <c r="C281" s="2" t="s">
        <v>22</v>
      </c>
      <c r="D281" s="2" t="s">
        <v>758</v>
      </c>
      <c r="E281" s="2" t="s">
        <v>786</v>
      </c>
      <c r="F281" s="2" t="s">
        <v>785</v>
      </c>
      <c r="G281" s="3">
        <v>46055</v>
      </c>
      <c r="H281" s="2" t="s">
        <v>753</v>
      </c>
      <c r="I281" s="2" t="s">
        <v>755</v>
      </c>
      <c r="J281" s="2" t="s">
        <v>754</v>
      </c>
      <c r="K281" s="2" t="s">
        <v>753</v>
      </c>
      <c r="L281" s="6">
        <v>84</v>
      </c>
      <c r="M281" s="2" t="s">
        <v>752</v>
      </c>
      <c r="N281" s="7">
        <v>35</v>
      </c>
      <c r="O281" s="4">
        <v>2940</v>
      </c>
      <c r="P281" s="4">
        <v>2940</v>
      </c>
      <c r="Q281" s="6">
        <v>0</v>
      </c>
    </row>
    <row r="282" spans="1:17" x14ac:dyDescent="0.25">
      <c r="A282" s="2" t="s">
        <v>662</v>
      </c>
      <c r="B282" s="2" t="s">
        <v>21</v>
      </c>
      <c r="C282" s="2" t="s">
        <v>22</v>
      </c>
      <c r="D282" s="2" t="s">
        <v>758</v>
      </c>
      <c r="E282" s="2" t="s">
        <v>851</v>
      </c>
      <c r="F282" s="2" t="s">
        <v>850</v>
      </c>
      <c r="G282" s="3">
        <v>46055</v>
      </c>
      <c r="H282" s="2" t="s">
        <v>753</v>
      </c>
      <c r="I282" s="2" t="s">
        <v>755</v>
      </c>
      <c r="J282" s="2" t="s">
        <v>754</v>
      </c>
      <c r="K282" s="2" t="s">
        <v>753</v>
      </c>
      <c r="L282" s="6">
        <v>28</v>
      </c>
      <c r="M282" s="2" t="s">
        <v>752</v>
      </c>
      <c r="N282" s="7">
        <v>43.82</v>
      </c>
      <c r="O282" s="4">
        <v>1226.96</v>
      </c>
      <c r="P282" s="4">
        <v>1226.96</v>
      </c>
      <c r="Q282" s="6">
        <v>0</v>
      </c>
    </row>
    <row r="283" spans="1:17" x14ac:dyDescent="0.25">
      <c r="A283" s="2" t="s">
        <v>662</v>
      </c>
      <c r="B283" s="2" t="s">
        <v>21</v>
      </c>
      <c r="C283" s="2" t="s">
        <v>22</v>
      </c>
      <c r="D283" s="2" t="s">
        <v>758</v>
      </c>
      <c r="E283" s="2" t="s">
        <v>784</v>
      </c>
      <c r="F283" s="2" t="s">
        <v>783</v>
      </c>
      <c r="G283" s="3">
        <v>46055</v>
      </c>
      <c r="H283" s="2" t="s">
        <v>753</v>
      </c>
      <c r="I283" s="2" t="s">
        <v>755</v>
      </c>
      <c r="J283" s="2" t="s">
        <v>754</v>
      </c>
      <c r="K283" s="2" t="s">
        <v>753</v>
      </c>
      <c r="L283" s="6">
        <v>8</v>
      </c>
      <c r="M283" s="2" t="s">
        <v>752</v>
      </c>
      <c r="N283" s="7">
        <v>38.07</v>
      </c>
      <c r="O283" s="4">
        <v>304.56</v>
      </c>
      <c r="P283" s="4">
        <v>304.56</v>
      </c>
      <c r="Q283" s="6">
        <v>0</v>
      </c>
    </row>
    <row r="284" spans="1:17" x14ac:dyDescent="0.25">
      <c r="A284" s="2" t="s">
        <v>662</v>
      </c>
      <c r="B284" s="2" t="s">
        <v>21</v>
      </c>
      <c r="C284" s="2" t="s">
        <v>22</v>
      </c>
      <c r="D284" s="2" t="s">
        <v>758</v>
      </c>
      <c r="E284" s="2" t="s">
        <v>782</v>
      </c>
      <c r="F284" s="2" t="s">
        <v>781</v>
      </c>
      <c r="G284" s="3">
        <v>46055</v>
      </c>
      <c r="H284" s="2" t="s">
        <v>753</v>
      </c>
      <c r="I284" s="2" t="s">
        <v>755</v>
      </c>
      <c r="J284" s="2" t="s">
        <v>754</v>
      </c>
      <c r="K284" s="2" t="s">
        <v>753</v>
      </c>
      <c r="L284" s="6">
        <v>0</v>
      </c>
      <c r="M284" s="2" t="s">
        <v>752</v>
      </c>
      <c r="N284" s="7">
        <v>36.18</v>
      </c>
      <c r="O284" s="4">
        <v>0</v>
      </c>
      <c r="P284" s="4">
        <v>0</v>
      </c>
      <c r="Q284" s="6">
        <v>0</v>
      </c>
    </row>
    <row r="285" spans="1:17" x14ac:dyDescent="0.25">
      <c r="A285" s="2" t="s">
        <v>662</v>
      </c>
      <c r="B285" s="2" t="s">
        <v>21</v>
      </c>
      <c r="C285" s="2" t="s">
        <v>22</v>
      </c>
      <c r="D285" s="2" t="s">
        <v>758</v>
      </c>
      <c r="E285" s="2" t="s">
        <v>780</v>
      </c>
      <c r="F285" s="2" t="s">
        <v>779</v>
      </c>
      <c r="G285" s="3">
        <v>46055</v>
      </c>
      <c r="H285" s="2" t="s">
        <v>753</v>
      </c>
      <c r="I285" s="2" t="s">
        <v>755</v>
      </c>
      <c r="J285" s="2" t="s">
        <v>754</v>
      </c>
      <c r="K285" s="2" t="s">
        <v>753</v>
      </c>
      <c r="L285" s="6">
        <v>4</v>
      </c>
      <c r="M285" s="2" t="s">
        <v>752</v>
      </c>
      <c r="N285" s="7">
        <v>36.07</v>
      </c>
      <c r="O285" s="4">
        <v>144.28</v>
      </c>
      <c r="P285" s="4">
        <v>144.28</v>
      </c>
      <c r="Q285" s="6">
        <v>0</v>
      </c>
    </row>
    <row r="286" spans="1:17" x14ac:dyDescent="0.25">
      <c r="A286" s="2" t="s">
        <v>662</v>
      </c>
      <c r="B286" s="2" t="s">
        <v>21</v>
      </c>
      <c r="C286" s="2" t="s">
        <v>22</v>
      </c>
      <c r="D286" s="2" t="s">
        <v>758</v>
      </c>
      <c r="E286" s="2" t="s">
        <v>776</v>
      </c>
      <c r="F286" s="2" t="s">
        <v>775</v>
      </c>
      <c r="G286" s="3">
        <v>46055</v>
      </c>
      <c r="H286" s="2" t="s">
        <v>753</v>
      </c>
      <c r="I286" s="2" t="s">
        <v>755</v>
      </c>
      <c r="J286" s="2" t="s">
        <v>754</v>
      </c>
      <c r="K286" s="2" t="s">
        <v>753</v>
      </c>
      <c r="L286" s="6">
        <v>28</v>
      </c>
      <c r="M286" s="2" t="s">
        <v>752</v>
      </c>
      <c r="N286" s="7">
        <v>43.82</v>
      </c>
      <c r="O286" s="4">
        <v>1226.96</v>
      </c>
      <c r="P286" s="4">
        <v>1226.96</v>
      </c>
      <c r="Q286" s="6">
        <v>0</v>
      </c>
    </row>
    <row r="287" spans="1:17" x14ac:dyDescent="0.25">
      <c r="A287" s="2" t="s">
        <v>646</v>
      </c>
      <c r="B287" s="2" t="s">
        <v>69</v>
      </c>
      <c r="C287" s="2" t="s">
        <v>70</v>
      </c>
      <c r="D287" s="2" t="s">
        <v>758</v>
      </c>
      <c r="E287" s="2" t="s">
        <v>847</v>
      </c>
      <c r="F287" s="2" t="s">
        <v>846</v>
      </c>
      <c r="G287" s="3">
        <v>46057</v>
      </c>
      <c r="H287" s="2" t="s">
        <v>753</v>
      </c>
      <c r="I287" s="2" t="s">
        <v>755</v>
      </c>
      <c r="J287" s="2" t="s">
        <v>754</v>
      </c>
      <c r="K287" s="2" t="s">
        <v>753</v>
      </c>
      <c r="L287" s="6">
        <v>30</v>
      </c>
      <c r="M287" s="2" t="s">
        <v>752</v>
      </c>
      <c r="N287" s="7">
        <v>30.32</v>
      </c>
      <c r="O287" s="4">
        <v>909.6</v>
      </c>
      <c r="P287" s="4">
        <v>909.6</v>
      </c>
      <c r="Q287" s="6">
        <v>0</v>
      </c>
    </row>
    <row r="288" spans="1:17" x14ac:dyDescent="0.25">
      <c r="A288" s="2" t="s">
        <v>646</v>
      </c>
      <c r="B288" s="2" t="s">
        <v>69</v>
      </c>
      <c r="C288" s="2" t="s">
        <v>70</v>
      </c>
      <c r="D288" s="2" t="s">
        <v>758</v>
      </c>
      <c r="E288" s="2" t="s">
        <v>857</v>
      </c>
      <c r="F288" s="2" t="s">
        <v>856</v>
      </c>
      <c r="G288" s="3">
        <v>46057</v>
      </c>
      <c r="H288" s="2" t="s">
        <v>753</v>
      </c>
      <c r="I288" s="2" t="s">
        <v>755</v>
      </c>
      <c r="J288" s="2" t="s">
        <v>754</v>
      </c>
      <c r="K288" s="2" t="s">
        <v>753</v>
      </c>
      <c r="L288" s="6">
        <v>30</v>
      </c>
      <c r="M288" s="2" t="s">
        <v>752</v>
      </c>
      <c r="N288" s="7">
        <v>34.18</v>
      </c>
      <c r="O288" s="4">
        <v>1025.4000000000001</v>
      </c>
      <c r="P288" s="4">
        <v>1025.4000000000001</v>
      </c>
      <c r="Q288" s="6">
        <v>0</v>
      </c>
    </row>
    <row r="289" spans="1:17" x14ac:dyDescent="0.25">
      <c r="A289" s="2" t="s">
        <v>646</v>
      </c>
      <c r="B289" s="2" t="s">
        <v>69</v>
      </c>
      <c r="C289" s="2" t="s">
        <v>70</v>
      </c>
      <c r="D289" s="2" t="s">
        <v>758</v>
      </c>
      <c r="E289" s="2" t="s">
        <v>855</v>
      </c>
      <c r="F289" s="2" t="s">
        <v>854</v>
      </c>
      <c r="G289" s="3">
        <v>46057</v>
      </c>
      <c r="H289" s="2" t="s">
        <v>753</v>
      </c>
      <c r="I289" s="2" t="s">
        <v>755</v>
      </c>
      <c r="J289" s="2" t="s">
        <v>754</v>
      </c>
      <c r="K289" s="2" t="s">
        <v>753</v>
      </c>
      <c r="L289" s="6">
        <v>20</v>
      </c>
      <c r="M289" s="2" t="s">
        <v>752</v>
      </c>
      <c r="N289" s="7">
        <v>53.2</v>
      </c>
      <c r="O289" s="4">
        <v>1064</v>
      </c>
      <c r="P289" s="4">
        <v>1064</v>
      </c>
      <c r="Q289" s="6">
        <v>0</v>
      </c>
    </row>
    <row r="290" spans="1:17" x14ac:dyDescent="0.25">
      <c r="A290" s="2" t="s">
        <v>636</v>
      </c>
      <c r="B290" s="2" t="s">
        <v>145</v>
      </c>
      <c r="C290" s="2" t="s">
        <v>146</v>
      </c>
      <c r="D290" s="2" t="s">
        <v>758</v>
      </c>
      <c r="E290" s="2" t="s">
        <v>782</v>
      </c>
      <c r="F290" s="2" t="s">
        <v>781</v>
      </c>
      <c r="G290" s="3">
        <v>46058</v>
      </c>
      <c r="H290" s="2" t="s">
        <v>753</v>
      </c>
      <c r="I290" s="2" t="s">
        <v>755</v>
      </c>
      <c r="J290" s="2" t="s">
        <v>754</v>
      </c>
      <c r="K290" s="2" t="s">
        <v>753</v>
      </c>
      <c r="L290" s="6">
        <v>8</v>
      </c>
      <c r="M290" s="2" t="s">
        <v>752</v>
      </c>
      <c r="N290" s="7">
        <v>36.6</v>
      </c>
      <c r="O290" s="4">
        <v>292.8</v>
      </c>
      <c r="P290" s="4">
        <v>292.8</v>
      </c>
      <c r="Q290" s="6">
        <v>0</v>
      </c>
    </row>
    <row r="291" spans="1:17" x14ac:dyDescent="0.25">
      <c r="A291" s="2" t="s">
        <v>636</v>
      </c>
      <c r="B291" s="2" t="s">
        <v>145</v>
      </c>
      <c r="C291" s="2" t="s">
        <v>146</v>
      </c>
      <c r="D291" s="2" t="s">
        <v>758</v>
      </c>
      <c r="E291" s="2" t="s">
        <v>763</v>
      </c>
      <c r="F291" s="2" t="s">
        <v>762</v>
      </c>
      <c r="G291" s="3">
        <v>46058</v>
      </c>
      <c r="H291" s="2" t="s">
        <v>753</v>
      </c>
      <c r="I291" s="2" t="s">
        <v>755</v>
      </c>
      <c r="J291" s="2" t="s">
        <v>754</v>
      </c>
      <c r="K291" s="2" t="s">
        <v>753</v>
      </c>
      <c r="L291" s="6">
        <v>84</v>
      </c>
      <c r="M291" s="2" t="s">
        <v>752</v>
      </c>
      <c r="N291" s="7">
        <v>50.6</v>
      </c>
      <c r="O291" s="4">
        <v>4250.3999999999996</v>
      </c>
      <c r="P291" s="4">
        <v>4250.3999999999996</v>
      </c>
      <c r="Q291" s="6">
        <v>0</v>
      </c>
    </row>
    <row r="292" spans="1:17" x14ac:dyDescent="0.25">
      <c r="A292" s="2" t="s">
        <v>636</v>
      </c>
      <c r="B292" s="2" t="s">
        <v>145</v>
      </c>
      <c r="C292" s="2" t="s">
        <v>146</v>
      </c>
      <c r="D292" s="2" t="s">
        <v>758</v>
      </c>
      <c r="E292" s="2" t="s">
        <v>847</v>
      </c>
      <c r="F292" s="2" t="s">
        <v>846</v>
      </c>
      <c r="G292" s="3">
        <v>46058</v>
      </c>
      <c r="H292" s="2" t="s">
        <v>753</v>
      </c>
      <c r="I292" s="2" t="s">
        <v>755</v>
      </c>
      <c r="J292" s="2" t="s">
        <v>754</v>
      </c>
      <c r="K292" s="2" t="s">
        <v>753</v>
      </c>
      <c r="L292" s="6">
        <v>252</v>
      </c>
      <c r="M292" s="2" t="s">
        <v>752</v>
      </c>
      <c r="N292" s="7">
        <v>40.799999999999997</v>
      </c>
      <c r="O292" s="4">
        <v>10281.6</v>
      </c>
      <c r="P292" s="4">
        <v>10281.6</v>
      </c>
      <c r="Q292" s="6">
        <v>0</v>
      </c>
    </row>
    <row r="293" spans="1:17" x14ac:dyDescent="0.25">
      <c r="A293" s="2" t="s">
        <v>636</v>
      </c>
      <c r="B293" s="2" t="s">
        <v>145</v>
      </c>
      <c r="C293" s="2" t="s">
        <v>146</v>
      </c>
      <c r="D293" s="2" t="s">
        <v>758</v>
      </c>
      <c r="E293" s="2" t="s">
        <v>794</v>
      </c>
      <c r="F293" s="2" t="s">
        <v>793</v>
      </c>
      <c r="G293" s="3">
        <v>46058</v>
      </c>
      <c r="H293" s="2" t="s">
        <v>753</v>
      </c>
      <c r="I293" s="2" t="s">
        <v>755</v>
      </c>
      <c r="J293" s="2" t="s">
        <v>754</v>
      </c>
      <c r="K293" s="2" t="s">
        <v>753</v>
      </c>
      <c r="L293" s="6">
        <v>112</v>
      </c>
      <c r="M293" s="2" t="s">
        <v>752</v>
      </c>
      <c r="N293" s="7">
        <v>39.9</v>
      </c>
      <c r="O293" s="4">
        <v>4468.8</v>
      </c>
      <c r="P293" s="4">
        <v>4468.8</v>
      </c>
      <c r="Q293" s="6">
        <v>0</v>
      </c>
    </row>
    <row r="294" spans="1:17" x14ac:dyDescent="0.25">
      <c r="A294" s="2" t="s">
        <v>634</v>
      </c>
      <c r="B294" s="2" t="s">
        <v>33</v>
      </c>
      <c r="C294" s="2" t="s">
        <v>34</v>
      </c>
      <c r="D294" s="2" t="s">
        <v>758</v>
      </c>
      <c r="E294" s="2" t="s">
        <v>784</v>
      </c>
      <c r="F294" s="2" t="s">
        <v>783</v>
      </c>
      <c r="G294" s="3">
        <v>46058</v>
      </c>
      <c r="H294" s="2" t="s">
        <v>753</v>
      </c>
      <c r="I294" s="2" t="s">
        <v>755</v>
      </c>
      <c r="J294" s="2" t="s">
        <v>754</v>
      </c>
      <c r="K294" s="2" t="s">
        <v>753</v>
      </c>
      <c r="L294" s="6">
        <v>16</v>
      </c>
      <c r="M294" s="2" t="s">
        <v>752</v>
      </c>
      <c r="N294" s="7">
        <v>37.049999999999997</v>
      </c>
      <c r="O294" s="4">
        <v>592.79999999999995</v>
      </c>
      <c r="P294" s="4">
        <v>592.79999999999995</v>
      </c>
      <c r="Q294" s="6">
        <v>0</v>
      </c>
    </row>
    <row r="295" spans="1:17" x14ac:dyDescent="0.25">
      <c r="A295" s="2" t="s">
        <v>634</v>
      </c>
      <c r="B295" s="2" t="s">
        <v>33</v>
      </c>
      <c r="C295" s="2" t="s">
        <v>34</v>
      </c>
      <c r="D295" s="2" t="s">
        <v>758</v>
      </c>
      <c r="E295" s="2" t="s">
        <v>837</v>
      </c>
      <c r="F295" s="2" t="s">
        <v>836</v>
      </c>
      <c r="G295" s="3">
        <v>46058</v>
      </c>
      <c r="H295" s="2" t="s">
        <v>753</v>
      </c>
      <c r="I295" s="2" t="s">
        <v>755</v>
      </c>
      <c r="J295" s="2" t="s">
        <v>754</v>
      </c>
      <c r="K295" s="2" t="s">
        <v>753</v>
      </c>
      <c r="L295" s="6">
        <v>64</v>
      </c>
      <c r="M295" s="2" t="s">
        <v>752</v>
      </c>
      <c r="N295" s="7">
        <v>60.07</v>
      </c>
      <c r="O295" s="4">
        <v>3844.48</v>
      </c>
      <c r="P295" s="4">
        <v>3844.48</v>
      </c>
      <c r="Q295" s="6">
        <v>0</v>
      </c>
    </row>
    <row r="296" spans="1:17" x14ac:dyDescent="0.25">
      <c r="A296" s="2" t="s">
        <v>634</v>
      </c>
      <c r="B296" s="2" t="s">
        <v>33</v>
      </c>
      <c r="C296" s="2" t="s">
        <v>34</v>
      </c>
      <c r="D296" s="2" t="s">
        <v>758</v>
      </c>
      <c r="E296" s="2" t="s">
        <v>835</v>
      </c>
      <c r="F296" s="2" t="s">
        <v>834</v>
      </c>
      <c r="G296" s="3">
        <v>46058</v>
      </c>
      <c r="H296" s="2" t="s">
        <v>753</v>
      </c>
      <c r="I296" s="2" t="s">
        <v>755</v>
      </c>
      <c r="J296" s="2" t="s">
        <v>754</v>
      </c>
      <c r="K296" s="2" t="s">
        <v>753</v>
      </c>
      <c r="L296" s="6">
        <v>56</v>
      </c>
      <c r="M296" s="2" t="s">
        <v>752</v>
      </c>
      <c r="N296" s="7">
        <v>64</v>
      </c>
      <c r="O296" s="4">
        <v>3584</v>
      </c>
      <c r="P296" s="4">
        <v>3584</v>
      </c>
      <c r="Q296" s="6">
        <v>0</v>
      </c>
    </row>
    <row r="297" spans="1:17" x14ac:dyDescent="0.25">
      <c r="A297" s="2" t="s">
        <v>634</v>
      </c>
      <c r="B297" s="2" t="s">
        <v>33</v>
      </c>
      <c r="C297" s="2" t="s">
        <v>34</v>
      </c>
      <c r="D297" s="2" t="s">
        <v>758</v>
      </c>
      <c r="E297" s="2" t="s">
        <v>763</v>
      </c>
      <c r="F297" s="2" t="s">
        <v>762</v>
      </c>
      <c r="G297" s="3">
        <v>46058</v>
      </c>
      <c r="H297" s="2" t="s">
        <v>753</v>
      </c>
      <c r="I297" s="2" t="s">
        <v>755</v>
      </c>
      <c r="J297" s="2" t="s">
        <v>754</v>
      </c>
      <c r="K297" s="2" t="s">
        <v>753</v>
      </c>
      <c r="L297" s="6">
        <v>216</v>
      </c>
      <c r="M297" s="2" t="s">
        <v>752</v>
      </c>
      <c r="N297" s="7">
        <v>46.1</v>
      </c>
      <c r="O297" s="4">
        <v>9957.6</v>
      </c>
      <c r="P297" s="4">
        <v>9957.6</v>
      </c>
      <c r="Q297" s="6">
        <v>0</v>
      </c>
    </row>
    <row r="298" spans="1:17" x14ac:dyDescent="0.25">
      <c r="A298" s="2" t="s">
        <v>634</v>
      </c>
      <c r="B298" s="2" t="s">
        <v>33</v>
      </c>
      <c r="C298" s="2" t="s">
        <v>34</v>
      </c>
      <c r="D298" s="2" t="s">
        <v>758</v>
      </c>
      <c r="E298" s="2" t="s">
        <v>766</v>
      </c>
      <c r="F298" s="2" t="s">
        <v>765</v>
      </c>
      <c r="G298" s="3">
        <v>46058</v>
      </c>
      <c r="H298" s="2" t="s">
        <v>753</v>
      </c>
      <c r="I298" s="2" t="s">
        <v>755</v>
      </c>
      <c r="J298" s="2" t="s">
        <v>754</v>
      </c>
      <c r="K298" s="2" t="s">
        <v>753</v>
      </c>
      <c r="L298" s="6">
        <v>28</v>
      </c>
      <c r="M298" s="2" t="s">
        <v>752</v>
      </c>
      <c r="N298" s="7">
        <v>36.35</v>
      </c>
      <c r="O298" s="4">
        <v>1017.8</v>
      </c>
      <c r="P298" s="4">
        <v>1017.8</v>
      </c>
      <c r="Q298" s="6">
        <v>0</v>
      </c>
    </row>
    <row r="299" spans="1:17" x14ac:dyDescent="0.25">
      <c r="A299" s="2" t="s">
        <v>634</v>
      </c>
      <c r="B299" s="2" t="s">
        <v>33</v>
      </c>
      <c r="C299" s="2" t="s">
        <v>34</v>
      </c>
      <c r="D299" s="2" t="s">
        <v>758</v>
      </c>
      <c r="E299" s="2" t="s">
        <v>817</v>
      </c>
      <c r="F299" s="2" t="s">
        <v>937</v>
      </c>
      <c r="G299" s="3">
        <v>46058</v>
      </c>
      <c r="H299" s="2" t="s">
        <v>753</v>
      </c>
      <c r="I299" s="2" t="s">
        <v>755</v>
      </c>
      <c r="J299" s="2" t="s">
        <v>754</v>
      </c>
      <c r="K299" s="2" t="s">
        <v>753</v>
      </c>
      <c r="L299" s="6">
        <v>64</v>
      </c>
      <c r="M299" s="2" t="s">
        <v>752</v>
      </c>
      <c r="N299" s="7">
        <v>38</v>
      </c>
      <c r="O299" s="4">
        <v>2432</v>
      </c>
      <c r="P299" s="4">
        <v>2432</v>
      </c>
      <c r="Q299" s="6">
        <v>0</v>
      </c>
    </row>
    <row r="300" spans="1:17" x14ac:dyDescent="0.25">
      <c r="A300" s="2" t="s">
        <v>634</v>
      </c>
      <c r="B300" s="2" t="s">
        <v>33</v>
      </c>
      <c r="C300" s="2" t="s">
        <v>34</v>
      </c>
      <c r="D300" s="2" t="s">
        <v>758</v>
      </c>
      <c r="E300" s="2" t="s">
        <v>833</v>
      </c>
      <c r="F300" s="2" t="s">
        <v>832</v>
      </c>
      <c r="G300" s="3">
        <v>46058</v>
      </c>
      <c r="H300" s="2" t="s">
        <v>753</v>
      </c>
      <c r="I300" s="2" t="s">
        <v>755</v>
      </c>
      <c r="J300" s="2" t="s">
        <v>754</v>
      </c>
      <c r="K300" s="2" t="s">
        <v>753</v>
      </c>
      <c r="L300" s="6">
        <v>168</v>
      </c>
      <c r="M300" s="2" t="s">
        <v>752</v>
      </c>
      <c r="N300" s="7">
        <v>45</v>
      </c>
      <c r="O300" s="4">
        <v>7560</v>
      </c>
      <c r="P300" s="4">
        <v>7560</v>
      </c>
      <c r="Q300" s="6">
        <v>0</v>
      </c>
    </row>
    <row r="301" spans="1:17" x14ac:dyDescent="0.25">
      <c r="A301" s="2" t="s">
        <v>660</v>
      </c>
      <c r="B301" s="2" t="s">
        <v>227</v>
      </c>
      <c r="C301" s="2" t="s">
        <v>228</v>
      </c>
      <c r="D301" s="2" t="s">
        <v>758</v>
      </c>
      <c r="E301" s="2" t="s">
        <v>763</v>
      </c>
      <c r="F301" s="2" t="s">
        <v>762</v>
      </c>
      <c r="G301" s="3">
        <v>46055</v>
      </c>
      <c r="H301" s="2" t="s">
        <v>753</v>
      </c>
      <c r="I301" s="2" t="s">
        <v>755</v>
      </c>
      <c r="J301" s="2" t="s">
        <v>754</v>
      </c>
      <c r="K301" s="2" t="s">
        <v>753</v>
      </c>
      <c r="L301" s="6">
        <v>48</v>
      </c>
      <c r="M301" s="2" t="s">
        <v>752</v>
      </c>
      <c r="N301" s="7">
        <v>42.6</v>
      </c>
      <c r="O301" s="4">
        <v>2044.8</v>
      </c>
      <c r="P301" s="4">
        <v>2044.8</v>
      </c>
      <c r="Q301" s="6">
        <v>0</v>
      </c>
    </row>
    <row r="302" spans="1:17" x14ac:dyDescent="0.25">
      <c r="A302" s="2" t="s">
        <v>660</v>
      </c>
      <c r="B302" s="2" t="s">
        <v>227</v>
      </c>
      <c r="C302" s="2" t="s">
        <v>228</v>
      </c>
      <c r="D302" s="2" t="s">
        <v>758</v>
      </c>
      <c r="E302" s="2" t="s">
        <v>847</v>
      </c>
      <c r="F302" s="2" t="s">
        <v>846</v>
      </c>
      <c r="G302" s="3">
        <v>46055</v>
      </c>
      <c r="H302" s="2" t="s">
        <v>753</v>
      </c>
      <c r="I302" s="2" t="s">
        <v>755</v>
      </c>
      <c r="J302" s="2" t="s">
        <v>754</v>
      </c>
      <c r="K302" s="2" t="s">
        <v>753</v>
      </c>
      <c r="L302" s="6">
        <v>100</v>
      </c>
      <c r="M302" s="2" t="s">
        <v>752</v>
      </c>
      <c r="N302" s="7">
        <v>40</v>
      </c>
      <c r="O302" s="4">
        <v>4000</v>
      </c>
      <c r="P302" s="4">
        <v>4000</v>
      </c>
      <c r="Q302" s="6">
        <v>0</v>
      </c>
    </row>
    <row r="303" spans="1:17" x14ac:dyDescent="0.25">
      <c r="A303" s="2" t="s">
        <v>660</v>
      </c>
      <c r="B303" s="2" t="s">
        <v>227</v>
      </c>
      <c r="C303" s="2" t="s">
        <v>228</v>
      </c>
      <c r="D303" s="2" t="s">
        <v>758</v>
      </c>
      <c r="E303" s="2" t="s">
        <v>879</v>
      </c>
      <c r="F303" s="2" t="s">
        <v>878</v>
      </c>
      <c r="G303" s="3">
        <v>46055</v>
      </c>
      <c r="H303" s="2" t="s">
        <v>753</v>
      </c>
      <c r="I303" s="2" t="s">
        <v>755</v>
      </c>
      <c r="J303" s="2" t="s">
        <v>754</v>
      </c>
      <c r="K303" s="2" t="s">
        <v>753</v>
      </c>
      <c r="L303" s="6">
        <v>8</v>
      </c>
      <c r="M303" s="2" t="s">
        <v>752</v>
      </c>
      <c r="N303" s="7">
        <v>40.9</v>
      </c>
      <c r="O303" s="4">
        <v>327.2</v>
      </c>
      <c r="P303" s="4">
        <v>327.2</v>
      </c>
      <c r="Q303" s="6">
        <v>0</v>
      </c>
    </row>
    <row r="304" spans="1:17" x14ac:dyDescent="0.25">
      <c r="A304" s="2" t="s">
        <v>660</v>
      </c>
      <c r="B304" s="2" t="s">
        <v>227</v>
      </c>
      <c r="C304" s="2" t="s">
        <v>228</v>
      </c>
      <c r="D304" s="2" t="s">
        <v>758</v>
      </c>
      <c r="E304" s="2" t="s">
        <v>776</v>
      </c>
      <c r="F304" s="2" t="s">
        <v>775</v>
      </c>
      <c r="G304" s="3">
        <v>46055</v>
      </c>
      <c r="H304" s="2" t="s">
        <v>753</v>
      </c>
      <c r="I304" s="2" t="s">
        <v>755</v>
      </c>
      <c r="J304" s="2" t="s">
        <v>754</v>
      </c>
      <c r="K304" s="2" t="s">
        <v>753</v>
      </c>
      <c r="L304" s="6">
        <v>36</v>
      </c>
      <c r="M304" s="2" t="s">
        <v>752</v>
      </c>
      <c r="N304" s="7">
        <v>45</v>
      </c>
      <c r="O304" s="4">
        <v>1620</v>
      </c>
      <c r="P304" s="4">
        <v>1620</v>
      </c>
      <c r="Q304" s="6">
        <v>0</v>
      </c>
    </row>
    <row r="305" spans="1:17" x14ac:dyDescent="0.25">
      <c r="A305" s="2" t="s">
        <v>660</v>
      </c>
      <c r="B305" s="2" t="s">
        <v>227</v>
      </c>
      <c r="C305" s="2" t="s">
        <v>228</v>
      </c>
      <c r="D305" s="2" t="s">
        <v>758</v>
      </c>
      <c r="E305" s="2" t="s">
        <v>1008</v>
      </c>
      <c r="F305" s="2" t="s">
        <v>1007</v>
      </c>
      <c r="G305" s="3">
        <v>46055</v>
      </c>
      <c r="H305" s="2" t="s">
        <v>753</v>
      </c>
      <c r="I305" s="2" t="s">
        <v>755</v>
      </c>
      <c r="J305" s="2" t="s">
        <v>754</v>
      </c>
      <c r="K305" s="2" t="s">
        <v>753</v>
      </c>
      <c r="L305" s="6">
        <v>36</v>
      </c>
      <c r="M305" s="2" t="s">
        <v>752</v>
      </c>
      <c r="N305" s="7">
        <v>50</v>
      </c>
      <c r="O305" s="4">
        <v>1800</v>
      </c>
      <c r="P305" s="4">
        <v>1800</v>
      </c>
      <c r="Q305" s="6">
        <v>0</v>
      </c>
    </row>
    <row r="306" spans="1:17" x14ac:dyDescent="0.25">
      <c r="A306" s="2" t="s">
        <v>658</v>
      </c>
      <c r="B306" s="2" t="s">
        <v>595</v>
      </c>
      <c r="C306" s="2" t="s">
        <v>998</v>
      </c>
      <c r="D306" s="2" t="s">
        <v>758</v>
      </c>
      <c r="E306" s="2" t="s">
        <v>784</v>
      </c>
      <c r="F306" s="2" t="s">
        <v>783</v>
      </c>
      <c r="G306" s="3">
        <v>46055</v>
      </c>
      <c r="H306" s="2" t="s">
        <v>753</v>
      </c>
      <c r="I306" s="2" t="s">
        <v>755</v>
      </c>
      <c r="J306" s="2" t="s">
        <v>754</v>
      </c>
      <c r="K306" s="2" t="s">
        <v>753</v>
      </c>
      <c r="L306" s="6">
        <v>16</v>
      </c>
      <c r="M306" s="2" t="s">
        <v>752</v>
      </c>
      <c r="N306" s="7">
        <v>34.93</v>
      </c>
      <c r="O306" s="4">
        <v>558.88</v>
      </c>
      <c r="P306" s="4">
        <v>558.88</v>
      </c>
      <c r="Q306" s="6">
        <v>0</v>
      </c>
    </row>
    <row r="307" spans="1:17" x14ac:dyDescent="0.25">
      <c r="A307" s="2" t="s">
        <v>658</v>
      </c>
      <c r="B307" s="2" t="s">
        <v>595</v>
      </c>
      <c r="C307" s="2" t="s">
        <v>998</v>
      </c>
      <c r="D307" s="2" t="s">
        <v>758</v>
      </c>
      <c r="E307" s="2" t="s">
        <v>847</v>
      </c>
      <c r="F307" s="2" t="s">
        <v>846</v>
      </c>
      <c r="G307" s="3">
        <v>46055</v>
      </c>
      <c r="H307" s="2" t="s">
        <v>753</v>
      </c>
      <c r="I307" s="2" t="s">
        <v>755</v>
      </c>
      <c r="J307" s="2" t="s">
        <v>754</v>
      </c>
      <c r="K307" s="2" t="s">
        <v>753</v>
      </c>
      <c r="L307" s="6">
        <v>96</v>
      </c>
      <c r="M307" s="2" t="s">
        <v>752</v>
      </c>
      <c r="N307" s="7">
        <v>35.479999999999997</v>
      </c>
      <c r="O307" s="4">
        <v>3406.08</v>
      </c>
      <c r="P307" s="4">
        <v>3406.08</v>
      </c>
      <c r="Q307" s="6">
        <v>0</v>
      </c>
    </row>
    <row r="308" spans="1:17" x14ac:dyDescent="0.25">
      <c r="A308" s="2" t="s">
        <v>658</v>
      </c>
      <c r="B308" s="2" t="s">
        <v>595</v>
      </c>
      <c r="C308" s="2" t="s">
        <v>998</v>
      </c>
      <c r="D308" s="2" t="s">
        <v>758</v>
      </c>
      <c r="E308" s="2" t="s">
        <v>875</v>
      </c>
      <c r="F308" s="2" t="s">
        <v>874</v>
      </c>
      <c r="G308" s="3">
        <v>46055</v>
      </c>
      <c r="H308" s="2" t="s">
        <v>753</v>
      </c>
      <c r="I308" s="2" t="s">
        <v>755</v>
      </c>
      <c r="J308" s="2" t="s">
        <v>754</v>
      </c>
      <c r="K308" s="2" t="s">
        <v>753</v>
      </c>
      <c r="L308" s="6">
        <v>96</v>
      </c>
      <c r="M308" s="2" t="s">
        <v>752</v>
      </c>
      <c r="N308" s="7">
        <v>32.89</v>
      </c>
      <c r="O308" s="4">
        <v>3157.44</v>
      </c>
      <c r="P308" s="4">
        <v>3157.44</v>
      </c>
      <c r="Q308" s="6">
        <v>0</v>
      </c>
    </row>
    <row r="309" spans="1:17" x14ac:dyDescent="0.25">
      <c r="A309" s="2" t="s">
        <v>658</v>
      </c>
      <c r="B309" s="2" t="s">
        <v>595</v>
      </c>
      <c r="C309" s="2" t="s">
        <v>998</v>
      </c>
      <c r="D309" s="2" t="s">
        <v>758</v>
      </c>
      <c r="E309" s="2" t="s">
        <v>894</v>
      </c>
      <c r="F309" s="2" t="s">
        <v>893</v>
      </c>
      <c r="G309" s="3">
        <v>46055</v>
      </c>
      <c r="H309" s="2" t="s">
        <v>753</v>
      </c>
      <c r="I309" s="2" t="s">
        <v>755</v>
      </c>
      <c r="J309" s="2" t="s">
        <v>754</v>
      </c>
      <c r="K309" s="2" t="s">
        <v>753</v>
      </c>
      <c r="L309" s="6">
        <v>56</v>
      </c>
      <c r="M309" s="2" t="s">
        <v>752</v>
      </c>
      <c r="N309" s="7">
        <v>28.33</v>
      </c>
      <c r="O309" s="4">
        <v>1586.48</v>
      </c>
      <c r="P309" s="4">
        <v>1586.48</v>
      </c>
      <c r="Q309" s="6">
        <v>0</v>
      </c>
    </row>
    <row r="310" spans="1:17" x14ac:dyDescent="0.25">
      <c r="A310" s="2" t="s">
        <v>658</v>
      </c>
      <c r="B310" s="2" t="s">
        <v>595</v>
      </c>
      <c r="C310" s="2" t="s">
        <v>998</v>
      </c>
      <c r="D310" s="2" t="s">
        <v>758</v>
      </c>
      <c r="E310" s="2" t="s">
        <v>845</v>
      </c>
      <c r="F310" s="2" t="s">
        <v>844</v>
      </c>
      <c r="G310" s="3">
        <v>46055</v>
      </c>
      <c r="H310" s="2" t="s">
        <v>753</v>
      </c>
      <c r="I310" s="2" t="s">
        <v>755</v>
      </c>
      <c r="J310" s="2" t="s">
        <v>754</v>
      </c>
      <c r="K310" s="2" t="s">
        <v>753</v>
      </c>
      <c r="L310" s="6">
        <v>84</v>
      </c>
      <c r="M310" s="2" t="s">
        <v>752</v>
      </c>
      <c r="N310" s="7">
        <v>28.49</v>
      </c>
      <c r="O310" s="4">
        <v>2393.16</v>
      </c>
      <c r="P310" s="4">
        <v>2393.16</v>
      </c>
      <c r="Q310" s="6">
        <v>0</v>
      </c>
    </row>
    <row r="311" spans="1:17" x14ac:dyDescent="0.25">
      <c r="A311" s="2" t="s">
        <v>658</v>
      </c>
      <c r="B311" s="2" t="s">
        <v>595</v>
      </c>
      <c r="C311" s="2" t="s">
        <v>998</v>
      </c>
      <c r="D311" s="2" t="s">
        <v>758</v>
      </c>
      <c r="E311" s="2" t="s">
        <v>843</v>
      </c>
      <c r="F311" s="2" t="s">
        <v>842</v>
      </c>
      <c r="G311" s="3">
        <v>46055</v>
      </c>
      <c r="H311" s="2" t="s">
        <v>753</v>
      </c>
      <c r="I311" s="2" t="s">
        <v>755</v>
      </c>
      <c r="J311" s="2" t="s">
        <v>754</v>
      </c>
      <c r="K311" s="2" t="s">
        <v>753</v>
      </c>
      <c r="L311" s="6">
        <v>32</v>
      </c>
      <c r="M311" s="2" t="s">
        <v>752</v>
      </c>
      <c r="N311" s="7">
        <v>28.49</v>
      </c>
      <c r="O311" s="4">
        <v>911.68</v>
      </c>
      <c r="P311" s="4">
        <v>911.68</v>
      </c>
      <c r="Q311" s="6">
        <v>0</v>
      </c>
    </row>
    <row r="312" spans="1:17" x14ac:dyDescent="0.25">
      <c r="A312" s="2" t="s">
        <v>658</v>
      </c>
      <c r="B312" s="2" t="s">
        <v>595</v>
      </c>
      <c r="C312" s="2" t="s">
        <v>998</v>
      </c>
      <c r="D312" s="2" t="s">
        <v>758</v>
      </c>
      <c r="E312" s="2" t="s">
        <v>841</v>
      </c>
      <c r="F312" s="2" t="s">
        <v>840</v>
      </c>
      <c r="G312" s="3">
        <v>46055</v>
      </c>
      <c r="H312" s="2" t="s">
        <v>753</v>
      </c>
      <c r="I312" s="2" t="s">
        <v>755</v>
      </c>
      <c r="J312" s="2" t="s">
        <v>754</v>
      </c>
      <c r="K312" s="2" t="s">
        <v>753</v>
      </c>
      <c r="L312" s="6">
        <v>16</v>
      </c>
      <c r="M312" s="2" t="s">
        <v>752</v>
      </c>
      <c r="N312" s="7">
        <v>28.49</v>
      </c>
      <c r="O312" s="4">
        <v>455.84</v>
      </c>
      <c r="P312" s="4">
        <v>455.84</v>
      </c>
      <c r="Q312" s="6">
        <v>0</v>
      </c>
    </row>
    <row r="313" spans="1:17" x14ac:dyDescent="0.25">
      <c r="A313" s="2" t="s">
        <v>658</v>
      </c>
      <c r="B313" s="2" t="s">
        <v>595</v>
      </c>
      <c r="C313" s="2" t="s">
        <v>998</v>
      </c>
      <c r="D313" s="2" t="s">
        <v>758</v>
      </c>
      <c r="E313" s="2" t="s">
        <v>786</v>
      </c>
      <c r="F313" s="2" t="s">
        <v>785</v>
      </c>
      <c r="G313" s="3">
        <v>46055</v>
      </c>
      <c r="H313" s="2" t="s">
        <v>753</v>
      </c>
      <c r="I313" s="2" t="s">
        <v>755</v>
      </c>
      <c r="J313" s="2" t="s">
        <v>754</v>
      </c>
      <c r="K313" s="2" t="s">
        <v>753</v>
      </c>
      <c r="L313" s="6">
        <v>224</v>
      </c>
      <c r="M313" s="2" t="s">
        <v>752</v>
      </c>
      <c r="N313" s="7">
        <v>25.25</v>
      </c>
      <c r="O313" s="4">
        <v>5656</v>
      </c>
      <c r="P313" s="4">
        <v>5656</v>
      </c>
      <c r="Q313" s="6">
        <v>0</v>
      </c>
    </row>
    <row r="314" spans="1:17" x14ac:dyDescent="0.25">
      <c r="A314" s="2" t="s">
        <v>658</v>
      </c>
      <c r="B314" s="2" t="s">
        <v>595</v>
      </c>
      <c r="C314" s="2" t="s">
        <v>998</v>
      </c>
      <c r="D314" s="2" t="s">
        <v>758</v>
      </c>
      <c r="E314" s="2" t="s">
        <v>817</v>
      </c>
      <c r="F314" s="2" t="s">
        <v>937</v>
      </c>
      <c r="G314" s="3">
        <v>46055</v>
      </c>
      <c r="H314" s="2" t="s">
        <v>753</v>
      </c>
      <c r="I314" s="2" t="s">
        <v>755</v>
      </c>
      <c r="J314" s="2" t="s">
        <v>754</v>
      </c>
      <c r="K314" s="2" t="s">
        <v>753</v>
      </c>
      <c r="L314" s="6">
        <v>48</v>
      </c>
      <c r="M314" s="2" t="s">
        <v>752</v>
      </c>
      <c r="N314" s="7">
        <v>28.88</v>
      </c>
      <c r="O314" s="4">
        <v>1386.24</v>
      </c>
      <c r="P314" s="4">
        <v>1386.24</v>
      </c>
      <c r="Q314" s="6">
        <v>0</v>
      </c>
    </row>
    <row r="315" spans="1:17" x14ac:dyDescent="0.25">
      <c r="A315" s="2" t="s">
        <v>658</v>
      </c>
      <c r="B315" s="2" t="s">
        <v>595</v>
      </c>
      <c r="C315" s="2" t="s">
        <v>998</v>
      </c>
      <c r="D315" s="2" t="s">
        <v>758</v>
      </c>
      <c r="E315" s="2" t="s">
        <v>892</v>
      </c>
      <c r="F315" s="2" t="s">
        <v>891</v>
      </c>
      <c r="G315" s="3">
        <v>46055</v>
      </c>
      <c r="H315" s="2" t="s">
        <v>753</v>
      </c>
      <c r="I315" s="2" t="s">
        <v>755</v>
      </c>
      <c r="J315" s="2" t="s">
        <v>754</v>
      </c>
      <c r="K315" s="2" t="s">
        <v>753</v>
      </c>
      <c r="L315" s="6">
        <v>12</v>
      </c>
      <c r="M315" s="2" t="s">
        <v>752</v>
      </c>
      <c r="N315" s="7">
        <v>47.74</v>
      </c>
      <c r="O315" s="4">
        <v>572.88</v>
      </c>
      <c r="P315" s="4">
        <v>572.88</v>
      </c>
      <c r="Q315" s="6">
        <v>0</v>
      </c>
    </row>
    <row r="316" spans="1:17" x14ac:dyDescent="0.25">
      <c r="A316" s="2" t="s">
        <v>658</v>
      </c>
      <c r="B316" s="2" t="s">
        <v>595</v>
      </c>
      <c r="C316" s="2" t="s">
        <v>998</v>
      </c>
      <c r="D316" s="2" t="s">
        <v>758</v>
      </c>
      <c r="E316" s="2" t="s">
        <v>813</v>
      </c>
      <c r="F316" s="2" t="s">
        <v>812</v>
      </c>
      <c r="G316" s="3">
        <v>46055</v>
      </c>
      <c r="H316" s="2" t="s">
        <v>753</v>
      </c>
      <c r="I316" s="2" t="s">
        <v>755</v>
      </c>
      <c r="J316" s="2" t="s">
        <v>754</v>
      </c>
      <c r="K316" s="2" t="s">
        <v>753</v>
      </c>
      <c r="L316" s="6">
        <v>24</v>
      </c>
      <c r="M316" s="2" t="s">
        <v>752</v>
      </c>
      <c r="N316" s="7">
        <v>36.630000000000003</v>
      </c>
      <c r="O316" s="4">
        <v>879.12</v>
      </c>
      <c r="P316" s="4">
        <v>879.12</v>
      </c>
      <c r="Q316" s="6">
        <v>0</v>
      </c>
    </row>
    <row r="317" spans="1:17" x14ac:dyDescent="0.25">
      <c r="A317" s="2" t="s">
        <v>658</v>
      </c>
      <c r="B317" s="2" t="s">
        <v>595</v>
      </c>
      <c r="C317" s="2" t="s">
        <v>998</v>
      </c>
      <c r="D317" s="2" t="s">
        <v>758</v>
      </c>
      <c r="E317" s="2" t="s">
        <v>763</v>
      </c>
      <c r="F317" s="2" t="s">
        <v>762</v>
      </c>
      <c r="G317" s="3">
        <v>46055</v>
      </c>
      <c r="H317" s="2" t="s">
        <v>753</v>
      </c>
      <c r="I317" s="2" t="s">
        <v>755</v>
      </c>
      <c r="J317" s="2" t="s">
        <v>754</v>
      </c>
      <c r="K317" s="2" t="s">
        <v>753</v>
      </c>
      <c r="L317" s="6">
        <v>140</v>
      </c>
      <c r="M317" s="2" t="s">
        <v>752</v>
      </c>
      <c r="N317" s="7">
        <v>40.43</v>
      </c>
      <c r="O317" s="4">
        <v>5660.2</v>
      </c>
      <c r="P317" s="4">
        <v>5660.2</v>
      </c>
      <c r="Q317" s="6">
        <v>0</v>
      </c>
    </row>
    <row r="318" spans="1:17" x14ac:dyDescent="0.25">
      <c r="A318" s="2" t="s">
        <v>616</v>
      </c>
      <c r="B318" s="2" t="s">
        <v>55</v>
      </c>
      <c r="C318" s="2" t="s">
        <v>56</v>
      </c>
      <c r="D318" s="2" t="s">
        <v>758</v>
      </c>
      <c r="E318" s="2" t="s">
        <v>859</v>
      </c>
      <c r="F318" s="2" t="s">
        <v>858</v>
      </c>
      <c r="G318" s="3">
        <v>46064</v>
      </c>
      <c r="H318" s="2" t="s">
        <v>753</v>
      </c>
      <c r="I318" s="2" t="s">
        <v>755</v>
      </c>
      <c r="J318" s="2" t="s">
        <v>754</v>
      </c>
      <c r="K318" s="2" t="s">
        <v>753</v>
      </c>
      <c r="L318" s="6">
        <v>320</v>
      </c>
      <c r="M318" s="2" t="s">
        <v>752</v>
      </c>
      <c r="N318" s="7">
        <v>33.42</v>
      </c>
      <c r="O318" s="4">
        <v>10694.4</v>
      </c>
      <c r="P318" s="4">
        <v>10694.4</v>
      </c>
      <c r="Q318" s="6">
        <v>0</v>
      </c>
    </row>
    <row r="319" spans="1:17" x14ac:dyDescent="0.25">
      <c r="A319" s="2" t="s">
        <v>650</v>
      </c>
      <c r="B319" s="2" t="s">
        <v>25</v>
      </c>
      <c r="C319" s="2" t="s">
        <v>26</v>
      </c>
      <c r="D319" s="2" t="s">
        <v>758</v>
      </c>
      <c r="E319" s="2" t="s">
        <v>827</v>
      </c>
      <c r="F319" s="2" t="s">
        <v>826</v>
      </c>
      <c r="G319" s="3">
        <v>46056</v>
      </c>
      <c r="H319" s="2" t="s">
        <v>753</v>
      </c>
      <c r="I319" s="2" t="s">
        <v>755</v>
      </c>
      <c r="J319" s="2" t="s">
        <v>754</v>
      </c>
      <c r="K319" s="2" t="s">
        <v>753</v>
      </c>
      <c r="L319" s="6">
        <v>16</v>
      </c>
      <c r="M319" s="2" t="s">
        <v>752</v>
      </c>
      <c r="N319" s="7">
        <v>41.85</v>
      </c>
      <c r="O319" s="4">
        <v>669.6</v>
      </c>
      <c r="P319" s="4">
        <v>669.6</v>
      </c>
      <c r="Q319" s="6">
        <v>0</v>
      </c>
    </row>
    <row r="320" spans="1:17" x14ac:dyDescent="0.25">
      <c r="A320" s="2" t="s">
        <v>650</v>
      </c>
      <c r="B320" s="2" t="s">
        <v>25</v>
      </c>
      <c r="C320" s="2" t="s">
        <v>26</v>
      </c>
      <c r="D320" s="2" t="s">
        <v>758</v>
      </c>
      <c r="E320" s="2" t="s">
        <v>825</v>
      </c>
      <c r="F320" s="2" t="s">
        <v>989</v>
      </c>
      <c r="G320" s="3">
        <v>46056</v>
      </c>
      <c r="H320" s="2" t="s">
        <v>753</v>
      </c>
      <c r="I320" s="2" t="s">
        <v>755</v>
      </c>
      <c r="J320" s="2" t="s">
        <v>754</v>
      </c>
      <c r="K320" s="2" t="s">
        <v>753</v>
      </c>
      <c r="L320" s="6">
        <v>8</v>
      </c>
      <c r="M320" s="2" t="s">
        <v>752</v>
      </c>
      <c r="N320" s="7">
        <v>47.2</v>
      </c>
      <c r="O320" s="4">
        <v>377.6</v>
      </c>
      <c r="P320" s="4">
        <v>377.6</v>
      </c>
      <c r="Q320" s="6">
        <v>0</v>
      </c>
    </row>
    <row r="321" spans="1:17" x14ac:dyDescent="0.25">
      <c r="A321" s="2" t="s">
        <v>650</v>
      </c>
      <c r="B321" s="2" t="s">
        <v>25</v>
      </c>
      <c r="C321" s="2" t="s">
        <v>26</v>
      </c>
      <c r="D321" s="2" t="s">
        <v>758</v>
      </c>
      <c r="E321" s="2" t="s">
        <v>823</v>
      </c>
      <c r="F321" s="2" t="s">
        <v>822</v>
      </c>
      <c r="G321" s="3">
        <v>46056</v>
      </c>
      <c r="H321" s="2" t="s">
        <v>753</v>
      </c>
      <c r="I321" s="2" t="s">
        <v>755</v>
      </c>
      <c r="J321" s="2" t="s">
        <v>754</v>
      </c>
      <c r="K321" s="2" t="s">
        <v>753</v>
      </c>
      <c r="L321" s="6">
        <v>84</v>
      </c>
      <c r="M321" s="2" t="s">
        <v>752</v>
      </c>
      <c r="N321" s="7">
        <v>52</v>
      </c>
      <c r="O321" s="4">
        <v>4368</v>
      </c>
      <c r="P321" s="4">
        <v>4368</v>
      </c>
      <c r="Q321" s="6">
        <v>0</v>
      </c>
    </row>
    <row r="322" spans="1:17" x14ac:dyDescent="0.25">
      <c r="A322" s="2" t="s">
        <v>650</v>
      </c>
      <c r="B322" s="2" t="s">
        <v>25</v>
      </c>
      <c r="C322" s="2" t="s">
        <v>26</v>
      </c>
      <c r="D322" s="2" t="s">
        <v>758</v>
      </c>
      <c r="E322" s="2" t="s">
        <v>763</v>
      </c>
      <c r="F322" s="2" t="s">
        <v>762</v>
      </c>
      <c r="G322" s="3">
        <v>46056</v>
      </c>
      <c r="H322" s="2" t="s">
        <v>753</v>
      </c>
      <c r="I322" s="2" t="s">
        <v>755</v>
      </c>
      <c r="J322" s="2" t="s">
        <v>754</v>
      </c>
      <c r="K322" s="2" t="s">
        <v>753</v>
      </c>
      <c r="L322" s="6">
        <v>8</v>
      </c>
      <c r="M322" s="2" t="s">
        <v>752</v>
      </c>
      <c r="N322" s="7">
        <v>43.5</v>
      </c>
      <c r="O322" s="4">
        <v>348</v>
      </c>
      <c r="P322" s="4">
        <v>348</v>
      </c>
      <c r="Q322" s="6">
        <v>0</v>
      </c>
    </row>
    <row r="323" spans="1:17" x14ac:dyDescent="0.25">
      <c r="A323" s="2" t="s">
        <v>650</v>
      </c>
      <c r="B323" s="2" t="s">
        <v>25</v>
      </c>
      <c r="C323" s="2" t="s">
        <v>26</v>
      </c>
      <c r="D323" s="2" t="s">
        <v>758</v>
      </c>
      <c r="E323" s="2" t="s">
        <v>821</v>
      </c>
      <c r="F323" s="2" t="s">
        <v>820</v>
      </c>
      <c r="G323" s="3">
        <v>46056</v>
      </c>
      <c r="H323" s="2" t="s">
        <v>753</v>
      </c>
      <c r="I323" s="2" t="s">
        <v>755</v>
      </c>
      <c r="J323" s="2" t="s">
        <v>754</v>
      </c>
      <c r="K323" s="2" t="s">
        <v>753</v>
      </c>
      <c r="L323" s="6">
        <v>16</v>
      </c>
      <c r="M323" s="2" t="s">
        <v>752</v>
      </c>
      <c r="N323" s="7">
        <v>52</v>
      </c>
      <c r="O323" s="4">
        <v>832</v>
      </c>
      <c r="P323" s="4">
        <v>832</v>
      </c>
      <c r="Q323" s="6">
        <v>0</v>
      </c>
    </row>
    <row r="324" spans="1:17" x14ac:dyDescent="0.25">
      <c r="A324" s="2" t="s">
        <v>650</v>
      </c>
      <c r="B324" s="2" t="s">
        <v>25</v>
      </c>
      <c r="C324" s="2" t="s">
        <v>26</v>
      </c>
      <c r="D324" s="2" t="s">
        <v>758</v>
      </c>
      <c r="E324" s="2" t="s">
        <v>819</v>
      </c>
      <c r="F324" s="2" t="s">
        <v>818</v>
      </c>
      <c r="G324" s="3">
        <v>46056</v>
      </c>
      <c r="H324" s="2" t="s">
        <v>753</v>
      </c>
      <c r="I324" s="2" t="s">
        <v>755</v>
      </c>
      <c r="J324" s="2" t="s">
        <v>754</v>
      </c>
      <c r="K324" s="2" t="s">
        <v>753</v>
      </c>
      <c r="L324" s="6">
        <v>16</v>
      </c>
      <c r="M324" s="2" t="s">
        <v>752</v>
      </c>
      <c r="N324" s="7">
        <v>38.25</v>
      </c>
      <c r="O324" s="4">
        <v>612</v>
      </c>
      <c r="P324" s="4">
        <v>612</v>
      </c>
      <c r="Q324" s="6">
        <v>0</v>
      </c>
    </row>
    <row r="325" spans="1:17" x14ac:dyDescent="0.25">
      <c r="A325" s="2" t="s">
        <v>656</v>
      </c>
      <c r="B325" s="2" t="s">
        <v>199</v>
      </c>
      <c r="C325" s="2" t="s">
        <v>200</v>
      </c>
      <c r="D325" s="2" t="s">
        <v>758</v>
      </c>
      <c r="E325" s="2" t="s">
        <v>817</v>
      </c>
      <c r="F325" s="2" t="s">
        <v>937</v>
      </c>
      <c r="G325" s="3">
        <v>46055</v>
      </c>
      <c r="H325" s="2" t="s">
        <v>753</v>
      </c>
      <c r="I325" s="2" t="s">
        <v>755</v>
      </c>
      <c r="J325" s="2" t="s">
        <v>754</v>
      </c>
      <c r="K325" s="2" t="s">
        <v>753</v>
      </c>
      <c r="L325" s="6">
        <v>252</v>
      </c>
      <c r="M325" s="2" t="s">
        <v>752</v>
      </c>
      <c r="N325" s="7">
        <v>32.5</v>
      </c>
      <c r="O325" s="4">
        <v>8190</v>
      </c>
      <c r="P325" s="4">
        <v>8190</v>
      </c>
      <c r="Q325" s="6">
        <v>0</v>
      </c>
    </row>
    <row r="326" spans="1:17" x14ac:dyDescent="0.25">
      <c r="A326" s="2" t="s">
        <v>656</v>
      </c>
      <c r="B326" s="2" t="s">
        <v>199</v>
      </c>
      <c r="C326" s="2" t="s">
        <v>200</v>
      </c>
      <c r="D326" s="2" t="s">
        <v>758</v>
      </c>
      <c r="E326" s="2" t="s">
        <v>879</v>
      </c>
      <c r="F326" s="2" t="s">
        <v>878</v>
      </c>
      <c r="G326" s="3">
        <v>46055</v>
      </c>
      <c r="H326" s="2" t="s">
        <v>753</v>
      </c>
      <c r="I326" s="2" t="s">
        <v>755</v>
      </c>
      <c r="J326" s="2" t="s">
        <v>754</v>
      </c>
      <c r="K326" s="2" t="s">
        <v>753</v>
      </c>
      <c r="L326" s="6">
        <v>28</v>
      </c>
      <c r="M326" s="2" t="s">
        <v>752</v>
      </c>
      <c r="N326" s="7">
        <v>42.75</v>
      </c>
      <c r="O326" s="4">
        <v>1197</v>
      </c>
      <c r="P326" s="4">
        <v>1197</v>
      </c>
      <c r="Q326" s="6">
        <v>0</v>
      </c>
    </row>
    <row r="327" spans="1:17" x14ac:dyDescent="0.25">
      <c r="A327" s="2" t="s">
        <v>644</v>
      </c>
      <c r="B327" s="2" t="s">
        <v>103</v>
      </c>
      <c r="C327" s="2" t="s">
        <v>104</v>
      </c>
      <c r="D327" s="2" t="s">
        <v>758</v>
      </c>
      <c r="E327" s="2" t="s">
        <v>859</v>
      </c>
      <c r="F327" s="2" t="s">
        <v>858</v>
      </c>
      <c r="G327" s="3">
        <v>46057</v>
      </c>
      <c r="H327" s="2" t="s">
        <v>753</v>
      </c>
      <c r="I327" s="2" t="s">
        <v>755</v>
      </c>
      <c r="J327" s="2" t="s">
        <v>754</v>
      </c>
      <c r="K327" s="2" t="s">
        <v>753</v>
      </c>
      <c r="L327" s="6">
        <v>112</v>
      </c>
      <c r="M327" s="2" t="s">
        <v>752</v>
      </c>
      <c r="N327" s="7">
        <v>33.42</v>
      </c>
      <c r="O327" s="4">
        <v>3743.04</v>
      </c>
      <c r="P327" s="4">
        <v>3743.04</v>
      </c>
      <c r="Q327" s="6">
        <v>0</v>
      </c>
    </row>
    <row r="328" spans="1:17" x14ac:dyDescent="0.25">
      <c r="A328" s="2" t="s">
        <v>644</v>
      </c>
      <c r="B328" s="2" t="s">
        <v>103</v>
      </c>
      <c r="C328" s="2" t="s">
        <v>104</v>
      </c>
      <c r="D328" s="2" t="s">
        <v>758</v>
      </c>
      <c r="E328" s="2" t="s">
        <v>888</v>
      </c>
      <c r="F328" s="2" t="s">
        <v>887</v>
      </c>
      <c r="G328" s="3">
        <v>46057</v>
      </c>
      <c r="H328" s="2" t="s">
        <v>753</v>
      </c>
      <c r="I328" s="2" t="s">
        <v>755</v>
      </c>
      <c r="J328" s="2" t="s">
        <v>754</v>
      </c>
      <c r="K328" s="2" t="s">
        <v>753</v>
      </c>
      <c r="L328" s="6">
        <v>8</v>
      </c>
      <c r="M328" s="2" t="s">
        <v>752</v>
      </c>
      <c r="N328" s="7">
        <v>26.22</v>
      </c>
      <c r="O328" s="4">
        <v>209.76</v>
      </c>
      <c r="P328" s="4">
        <v>209.76</v>
      </c>
      <c r="Q328" s="6">
        <v>0</v>
      </c>
    </row>
    <row r="329" spans="1:17" x14ac:dyDescent="0.25">
      <c r="A329" s="2" t="s">
        <v>626</v>
      </c>
      <c r="B329" s="2" t="s">
        <v>87</v>
      </c>
      <c r="C329" s="2" t="s">
        <v>88</v>
      </c>
      <c r="D329" s="2" t="s">
        <v>758</v>
      </c>
      <c r="E329" s="2" t="s">
        <v>786</v>
      </c>
      <c r="F329" s="2" t="s">
        <v>785</v>
      </c>
      <c r="G329" s="3">
        <v>46063</v>
      </c>
      <c r="H329" s="2" t="s">
        <v>753</v>
      </c>
      <c r="I329" s="2" t="s">
        <v>755</v>
      </c>
      <c r="J329" s="2" t="s">
        <v>754</v>
      </c>
      <c r="K329" s="2" t="s">
        <v>753</v>
      </c>
      <c r="L329" s="6">
        <v>28</v>
      </c>
      <c r="M329" s="2" t="s">
        <v>752</v>
      </c>
      <c r="N329" s="7">
        <v>35</v>
      </c>
      <c r="O329" s="4">
        <v>980</v>
      </c>
      <c r="P329" s="4">
        <v>980</v>
      </c>
      <c r="Q329" s="6">
        <v>0</v>
      </c>
    </row>
    <row r="330" spans="1:17" x14ac:dyDescent="0.25">
      <c r="A330" s="2" t="s">
        <v>626</v>
      </c>
      <c r="B330" s="2" t="s">
        <v>87</v>
      </c>
      <c r="C330" s="2" t="s">
        <v>88</v>
      </c>
      <c r="D330" s="2" t="s">
        <v>758</v>
      </c>
      <c r="E330" s="2" t="s">
        <v>845</v>
      </c>
      <c r="F330" s="2" t="s">
        <v>844</v>
      </c>
      <c r="G330" s="3">
        <v>46063</v>
      </c>
      <c r="H330" s="2" t="s">
        <v>753</v>
      </c>
      <c r="I330" s="2" t="s">
        <v>755</v>
      </c>
      <c r="J330" s="2" t="s">
        <v>754</v>
      </c>
      <c r="K330" s="2" t="s">
        <v>753</v>
      </c>
      <c r="L330" s="6">
        <v>84</v>
      </c>
      <c r="M330" s="2" t="s">
        <v>752</v>
      </c>
      <c r="N330" s="7">
        <v>40.119999999999997</v>
      </c>
      <c r="O330" s="4">
        <v>3370.08</v>
      </c>
      <c r="P330" s="4">
        <v>3370.08</v>
      </c>
      <c r="Q330" s="6">
        <v>0</v>
      </c>
    </row>
    <row r="331" spans="1:17" x14ac:dyDescent="0.25">
      <c r="A331" s="2" t="s">
        <v>626</v>
      </c>
      <c r="B331" s="2" t="s">
        <v>87</v>
      </c>
      <c r="C331" s="2" t="s">
        <v>88</v>
      </c>
      <c r="D331" s="2" t="s">
        <v>758</v>
      </c>
      <c r="E331" s="2" t="s">
        <v>910</v>
      </c>
      <c r="F331" s="2" t="s">
        <v>909</v>
      </c>
      <c r="G331" s="3">
        <v>46063</v>
      </c>
      <c r="H331" s="2" t="s">
        <v>753</v>
      </c>
      <c r="I331" s="2" t="s">
        <v>755</v>
      </c>
      <c r="J331" s="2" t="s">
        <v>754</v>
      </c>
      <c r="K331" s="2" t="s">
        <v>753</v>
      </c>
      <c r="L331" s="6">
        <v>16</v>
      </c>
      <c r="M331" s="2" t="s">
        <v>752</v>
      </c>
      <c r="N331" s="7">
        <v>42.03</v>
      </c>
      <c r="O331" s="4">
        <v>672.48</v>
      </c>
      <c r="P331" s="4">
        <v>672.48</v>
      </c>
      <c r="Q331" s="6">
        <v>0</v>
      </c>
    </row>
    <row r="332" spans="1:17" x14ac:dyDescent="0.25">
      <c r="A332" s="2" t="s">
        <v>626</v>
      </c>
      <c r="B332" s="2" t="s">
        <v>87</v>
      </c>
      <c r="C332" s="2" t="s">
        <v>88</v>
      </c>
      <c r="D332" s="2" t="s">
        <v>758</v>
      </c>
      <c r="E332" s="2" t="s">
        <v>908</v>
      </c>
      <c r="F332" s="2" t="s">
        <v>907</v>
      </c>
      <c r="G332" s="3">
        <v>46063</v>
      </c>
      <c r="H332" s="2" t="s">
        <v>753</v>
      </c>
      <c r="I332" s="2" t="s">
        <v>755</v>
      </c>
      <c r="J332" s="2" t="s">
        <v>754</v>
      </c>
      <c r="K332" s="2" t="s">
        <v>753</v>
      </c>
      <c r="L332" s="6">
        <v>180</v>
      </c>
      <c r="M332" s="2" t="s">
        <v>752</v>
      </c>
      <c r="N332" s="7">
        <v>39</v>
      </c>
      <c r="O332" s="4">
        <v>7020</v>
      </c>
      <c r="P332" s="4">
        <v>7020</v>
      </c>
      <c r="Q332" s="6">
        <v>0</v>
      </c>
    </row>
    <row r="333" spans="1:17" x14ac:dyDescent="0.25">
      <c r="A333" s="2" t="s">
        <v>626</v>
      </c>
      <c r="B333" s="2" t="s">
        <v>87</v>
      </c>
      <c r="C333" s="2" t="s">
        <v>88</v>
      </c>
      <c r="D333" s="2" t="s">
        <v>758</v>
      </c>
      <c r="E333" s="2" t="s">
        <v>815</v>
      </c>
      <c r="F333" s="2" t="s">
        <v>814</v>
      </c>
      <c r="G333" s="3">
        <v>46063</v>
      </c>
      <c r="H333" s="2" t="s">
        <v>753</v>
      </c>
      <c r="I333" s="2" t="s">
        <v>755</v>
      </c>
      <c r="J333" s="2" t="s">
        <v>754</v>
      </c>
      <c r="K333" s="2" t="s">
        <v>753</v>
      </c>
      <c r="L333" s="6">
        <v>56</v>
      </c>
      <c r="M333" s="2" t="s">
        <v>752</v>
      </c>
      <c r="N333" s="7">
        <v>36.24</v>
      </c>
      <c r="O333" s="4">
        <v>2029.44</v>
      </c>
      <c r="P333" s="4">
        <v>2029.44</v>
      </c>
      <c r="Q333" s="6">
        <v>0</v>
      </c>
    </row>
    <row r="334" spans="1:17" x14ac:dyDescent="0.25">
      <c r="A334" s="2" t="s">
        <v>626</v>
      </c>
      <c r="B334" s="2" t="s">
        <v>87</v>
      </c>
      <c r="C334" s="2" t="s">
        <v>88</v>
      </c>
      <c r="D334" s="2" t="s">
        <v>758</v>
      </c>
      <c r="E334" s="2" t="s">
        <v>757</v>
      </c>
      <c r="F334" s="2" t="s">
        <v>756</v>
      </c>
      <c r="G334" s="3">
        <v>46063</v>
      </c>
      <c r="H334" s="2" t="s">
        <v>753</v>
      </c>
      <c r="I334" s="2" t="s">
        <v>755</v>
      </c>
      <c r="J334" s="2" t="s">
        <v>754</v>
      </c>
      <c r="K334" s="2" t="s">
        <v>753</v>
      </c>
      <c r="L334" s="6">
        <v>12</v>
      </c>
      <c r="M334" s="2" t="s">
        <v>752</v>
      </c>
      <c r="N334" s="7">
        <v>41.5</v>
      </c>
      <c r="O334" s="4">
        <v>498</v>
      </c>
      <c r="P334" s="4">
        <v>498</v>
      </c>
      <c r="Q334" s="6">
        <v>0</v>
      </c>
    </row>
    <row r="335" spans="1:17" x14ac:dyDescent="0.25">
      <c r="A335" s="2" t="s">
        <v>626</v>
      </c>
      <c r="B335" s="2" t="s">
        <v>87</v>
      </c>
      <c r="C335" s="2" t="s">
        <v>88</v>
      </c>
      <c r="D335" s="2" t="s">
        <v>758</v>
      </c>
      <c r="E335" s="2" t="s">
        <v>906</v>
      </c>
      <c r="F335" s="2" t="s">
        <v>905</v>
      </c>
      <c r="G335" s="3">
        <v>46063</v>
      </c>
      <c r="H335" s="2" t="s">
        <v>753</v>
      </c>
      <c r="I335" s="2" t="s">
        <v>755</v>
      </c>
      <c r="J335" s="2" t="s">
        <v>754</v>
      </c>
      <c r="K335" s="2" t="s">
        <v>753</v>
      </c>
      <c r="L335" s="6">
        <v>8</v>
      </c>
      <c r="M335" s="2" t="s">
        <v>752</v>
      </c>
      <c r="N335" s="7">
        <v>35.21</v>
      </c>
      <c r="O335" s="4">
        <v>281.68</v>
      </c>
      <c r="P335" s="4">
        <v>281.68</v>
      </c>
      <c r="Q335" s="6">
        <v>0</v>
      </c>
    </row>
    <row r="336" spans="1:17" x14ac:dyDescent="0.25">
      <c r="A336" s="2" t="s">
        <v>626</v>
      </c>
      <c r="B336" s="2" t="s">
        <v>87</v>
      </c>
      <c r="C336" s="2" t="s">
        <v>88</v>
      </c>
      <c r="D336" s="2" t="s">
        <v>758</v>
      </c>
      <c r="E336" s="2" t="s">
        <v>763</v>
      </c>
      <c r="F336" s="2" t="s">
        <v>762</v>
      </c>
      <c r="G336" s="3">
        <v>46063</v>
      </c>
      <c r="H336" s="2" t="s">
        <v>753</v>
      </c>
      <c r="I336" s="2" t="s">
        <v>755</v>
      </c>
      <c r="J336" s="2" t="s">
        <v>754</v>
      </c>
      <c r="K336" s="2" t="s">
        <v>753</v>
      </c>
      <c r="L336" s="6">
        <v>240</v>
      </c>
      <c r="M336" s="2" t="s">
        <v>752</v>
      </c>
      <c r="N336" s="7">
        <v>45.49</v>
      </c>
      <c r="O336" s="4">
        <v>10917.6</v>
      </c>
      <c r="P336" s="4">
        <v>10917.6</v>
      </c>
      <c r="Q336" s="6">
        <v>0</v>
      </c>
    </row>
    <row r="337" spans="1:17" x14ac:dyDescent="0.25">
      <c r="A337" s="2" t="s">
        <v>626</v>
      </c>
      <c r="B337" s="2" t="s">
        <v>87</v>
      </c>
      <c r="C337" s="2" t="s">
        <v>88</v>
      </c>
      <c r="D337" s="2" t="s">
        <v>758</v>
      </c>
      <c r="E337" s="2" t="s">
        <v>863</v>
      </c>
      <c r="F337" s="2" t="s">
        <v>862</v>
      </c>
      <c r="G337" s="3">
        <v>46063</v>
      </c>
      <c r="H337" s="2" t="s">
        <v>753</v>
      </c>
      <c r="I337" s="2" t="s">
        <v>755</v>
      </c>
      <c r="J337" s="2" t="s">
        <v>754</v>
      </c>
      <c r="K337" s="2" t="s">
        <v>753</v>
      </c>
      <c r="L337" s="6">
        <v>8</v>
      </c>
      <c r="M337" s="2" t="s">
        <v>752</v>
      </c>
      <c r="N337" s="7">
        <v>52.47</v>
      </c>
      <c r="O337" s="4">
        <v>419.76</v>
      </c>
      <c r="P337" s="4">
        <v>419.76</v>
      </c>
      <c r="Q337" s="6">
        <v>0</v>
      </c>
    </row>
    <row r="338" spans="1:17" x14ac:dyDescent="0.25">
      <c r="A338" s="2" t="s">
        <v>626</v>
      </c>
      <c r="B338" s="2" t="s">
        <v>87</v>
      </c>
      <c r="C338" s="2" t="s">
        <v>88</v>
      </c>
      <c r="D338" s="2" t="s">
        <v>758</v>
      </c>
      <c r="E338" s="2" t="s">
        <v>813</v>
      </c>
      <c r="F338" s="2" t="s">
        <v>812</v>
      </c>
      <c r="G338" s="3">
        <v>46063</v>
      </c>
      <c r="H338" s="2" t="s">
        <v>753</v>
      </c>
      <c r="I338" s="2" t="s">
        <v>755</v>
      </c>
      <c r="J338" s="2" t="s">
        <v>754</v>
      </c>
      <c r="K338" s="2" t="s">
        <v>753</v>
      </c>
      <c r="L338" s="6">
        <v>8</v>
      </c>
      <c r="M338" s="2" t="s">
        <v>752</v>
      </c>
      <c r="N338" s="7">
        <v>54</v>
      </c>
      <c r="O338" s="4">
        <v>432</v>
      </c>
      <c r="P338" s="4">
        <v>432</v>
      </c>
      <c r="Q338" s="6">
        <v>0</v>
      </c>
    </row>
    <row r="339" spans="1:17" x14ac:dyDescent="0.25">
      <c r="A339" s="2" t="s">
        <v>626</v>
      </c>
      <c r="B339" s="2" t="s">
        <v>87</v>
      </c>
      <c r="C339" s="2" t="s">
        <v>88</v>
      </c>
      <c r="D339" s="2" t="s">
        <v>758</v>
      </c>
      <c r="E339" s="2" t="s">
        <v>776</v>
      </c>
      <c r="F339" s="2" t="s">
        <v>775</v>
      </c>
      <c r="G339" s="3">
        <v>46063</v>
      </c>
      <c r="H339" s="2" t="s">
        <v>753</v>
      </c>
      <c r="I339" s="2" t="s">
        <v>755</v>
      </c>
      <c r="J339" s="2" t="s">
        <v>754</v>
      </c>
      <c r="K339" s="2" t="s">
        <v>753</v>
      </c>
      <c r="L339" s="6">
        <v>8</v>
      </c>
      <c r="M339" s="2" t="s">
        <v>752</v>
      </c>
      <c r="N339" s="7">
        <v>43.2</v>
      </c>
      <c r="O339" s="4">
        <v>345.6</v>
      </c>
      <c r="P339" s="4">
        <v>345.6</v>
      </c>
      <c r="Q339" s="6">
        <v>0</v>
      </c>
    </row>
    <row r="340" spans="1:17" x14ac:dyDescent="0.25">
      <c r="A340" s="2" t="s">
        <v>626</v>
      </c>
      <c r="B340" s="2" t="s">
        <v>87</v>
      </c>
      <c r="C340" s="2" t="s">
        <v>88</v>
      </c>
      <c r="D340" s="2" t="s">
        <v>758</v>
      </c>
      <c r="E340" s="2" t="s">
        <v>807</v>
      </c>
      <c r="F340" s="2" t="s">
        <v>806</v>
      </c>
      <c r="G340" s="3">
        <v>46063</v>
      </c>
      <c r="H340" s="2" t="s">
        <v>753</v>
      </c>
      <c r="I340" s="2" t="s">
        <v>755</v>
      </c>
      <c r="J340" s="2" t="s">
        <v>754</v>
      </c>
      <c r="K340" s="2" t="s">
        <v>753</v>
      </c>
      <c r="L340" s="6">
        <v>28</v>
      </c>
      <c r="M340" s="2" t="s">
        <v>752</v>
      </c>
      <c r="N340" s="7">
        <v>44.15</v>
      </c>
      <c r="O340" s="4">
        <v>1236.2</v>
      </c>
      <c r="P340" s="4">
        <v>1236.2</v>
      </c>
      <c r="Q340" s="6">
        <v>0</v>
      </c>
    </row>
    <row r="341" spans="1:17" x14ac:dyDescent="0.25">
      <c r="A341" s="2" t="s">
        <v>626</v>
      </c>
      <c r="B341" s="2" t="s">
        <v>87</v>
      </c>
      <c r="C341" s="2" t="s">
        <v>88</v>
      </c>
      <c r="D341" s="2" t="s">
        <v>758</v>
      </c>
      <c r="E341" s="2" t="s">
        <v>956</v>
      </c>
      <c r="F341" s="2" t="s">
        <v>955</v>
      </c>
      <c r="G341" s="3">
        <v>46063</v>
      </c>
      <c r="H341" s="2" t="s">
        <v>753</v>
      </c>
      <c r="I341" s="2" t="s">
        <v>755</v>
      </c>
      <c r="J341" s="2" t="s">
        <v>754</v>
      </c>
      <c r="K341" s="2" t="s">
        <v>753</v>
      </c>
      <c r="L341" s="6">
        <v>4</v>
      </c>
      <c r="M341" s="2" t="s">
        <v>752</v>
      </c>
      <c r="N341" s="7">
        <v>47.4</v>
      </c>
      <c r="O341" s="4">
        <v>189.6</v>
      </c>
      <c r="P341" s="4">
        <v>189.6</v>
      </c>
      <c r="Q341" s="6">
        <v>0</v>
      </c>
    </row>
    <row r="342" spans="1:17" x14ac:dyDescent="0.25">
      <c r="A342" s="2" t="s">
        <v>626</v>
      </c>
      <c r="B342" s="2" t="s">
        <v>87</v>
      </c>
      <c r="C342" s="2" t="s">
        <v>88</v>
      </c>
      <c r="D342" s="2" t="s">
        <v>758</v>
      </c>
      <c r="E342" s="2" t="s">
        <v>855</v>
      </c>
      <c r="F342" s="2" t="s">
        <v>854</v>
      </c>
      <c r="G342" s="3">
        <v>46063</v>
      </c>
      <c r="H342" s="2" t="s">
        <v>753</v>
      </c>
      <c r="I342" s="2" t="s">
        <v>755</v>
      </c>
      <c r="J342" s="2" t="s">
        <v>754</v>
      </c>
      <c r="K342" s="2" t="s">
        <v>753</v>
      </c>
      <c r="L342" s="6">
        <v>84</v>
      </c>
      <c r="M342" s="2" t="s">
        <v>752</v>
      </c>
      <c r="N342" s="7">
        <v>42.37</v>
      </c>
      <c r="O342" s="4">
        <v>3559.08</v>
      </c>
      <c r="P342" s="4">
        <v>3559.08</v>
      </c>
      <c r="Q342" s="6">
        <v>0</v>
      </c>
    </row>
    <row r="343" spans="1:17" x14ac:dyDescent="0.25">
      <c r="A343" s="2" t="s">
        <v>626</v>
      </c>
      <c r="B343" s="2" t="s">
        <v>87</v>
      </c>
      <c r="C343" s="2" t="s">
        <v>88</v>
      </c>
      <c r="D343" s="2" t="s">
        <v>758</v>
      </c>
      <c r="E343" s="2" t="s">
        <v>902</v>
      </c>
      <c r="F343" s="2" t="s">
        <v>901</v>
      </c>
      <c r="G343" s="3">
        <v>46063</v>
      </c>
      <c r="H343" s="2" t="s">
        <v>753</v>
      </c>
      <c r="I343" s="2" t="s">
        <v>755</v>
      </c>
      <c r="J343" s="2" t="s">
        <v>754</v>
      </c>
      <c r="K343" s="2" t="s">
        <v>753</v>
      </c>
      <c r="L343" s="6">
        <v>8</v>
      </c>
      <c r="M343" s="2" t="s">
        <v>752</v>
      </c>
      <c r="N343" s="7">
        <v>42.22</v>
      </c>
      <c r="O343" s="4">
        <v>337.76</v>
      </c>
      <c r="P343" s="4">
        <v>337.76</v>
      </c>
      <c r="Q343" s="6">
        <v>0</v>
      </c>
    </row>
    <row r="344" spans="1:17" x14ac:dyDescent="0.25">
      <c r="A344" s="2" t="s">
        <v>626</v>
      </c>
      <c r="B344" s="2" t="s">
        <v>87</v>
      </c>
      <c r="C344" s="2" t="s">
        <v>88</v>
      </c>
      <c r="D344" s="2" t="s">
        <v>758</v>
      </c>
      <c r="E344" s="2" t="s">
        <v>898</v>
      </c>
      <c r="F344" s="2" t="s">
        <v>897</v>
      </c>
      <c r="G344" s="3">
        <v>46063</v>
      </c>
      <c r="H344" s="2" t="s">
        <v>753</v>
      </c>
      <c r="I344" s="2" t="s">
        <v>755</v>
      </c>
      <c r="J344" s="2" t="s">
        <v>754</v>
      </c>
      <c r="K344" s="2" t="s">
        <v>753</v>
      </c>
      <c r="L344" s="6">
        <v>28</v>
      </c>
      <c r="M344" s="2" t="s">
        <v>752</v>
      </c>
      <c r="N344" s="7">
        <v>41.25</v>
      </c>
      <c r="O344" s="4">
        <v>1155</v>
      </c>
      <c r="P344" s="4">
        <v>1155</v>
      </c>
      <c r="Q344" s="6">
        <v>0</v>
      </c>
    </row>
    <row r="345" spans="1:17" x14ac:dyDescent="0.25">
      <c r="A345" s="2" t="s">
        <v>626</v>
      </c>
      <c r="B345" s="2" t="s">
        <v>87</v>
      </c>
      <c r="C345" s="2" t="s">
        <v>88</v>
      </c>
      <c r="D345" s="2" t="s">
        <v>758</v>
      </c>
      <c r="E345" s="2" t="s">
        <v>819</v>
      </c>
      <c r="F345" s="2" t="s">
        <v>818</v>
      </c>
      <c r="G345" s="3">
        <v>46063</v>
      </c>
      <c r="H345" s="2" t="s">
        <v>753</v>
      </c>
      <c r="I345" s="2" t="s">
        <v>755</v>
      </c>
      <c r="J345" s="2" t="s">
        <v>754</v>
      </c>
      <c r="K345" s="2" t="s">
        <v>753</v>
      </c>
      <c r="L345" s="6">
        <v>12</v>
      </c>
      <c r="M345" s="2" t="s">
        <v>752</v>
      </c>
      <c r="N345" s="7">
        <v>40.22</v>
      </c>
      <c r="O345" s="4">
        <v>482.64</v>
      </c>
      <c r="P345" s="4">
        <v>482.64</v>
      </c>
      <c r="Q345" s="6">
        <v>0</v>
      </c>
    </row>
    <row r="346" spans="1:17" x14ac:dyDescent="0.25">
      <c r="A346" s="2" t="s">
        <v>626</v>
      </c>
      <c r="B346" s="2" t="s">
        <v>87</v>
      </c>
      <c r="C346" s="2" t="s">
        <v>88</v>
      </c>
      <c r="D346" s="2" t="s">
        <v>758</v>
      </c>
      <c r="E346" s="2" t="s">
        <v>900</v>
      </c>
      <c r="F346" s="2" t="s">
        <v>899</v>
      </c>
      <c r="G346" s="3">
        <v>46063</v>
      </c>
      <c r="H346" s="2" t="s">
        <v>753</v>
      </c>
      <c r="I346" s="2" t="s">
        <v>755</v>
      </c>
      <c r="J346" s="2" t="s">
        <v>754</v>
      </c>
      <c r="K346" s="2" t="s">
        <v>753</v>
      </c>
      <c r="L346" s="6">
        <v>28</v>
      </c>
      <c r="M346" s="2" t="s">
        <v>752</v>
      </c>
      <c r="N346" s="7">
        <v>32.549999999999997</v>
      </c>
      <c r="O346" s="4">
        <v>911.4</v>
      </c>
      <c r="P346" s="4">
        <v>911.4</v>
      </c>
      <c r="Q346" s="6">
        <v>0</v>
      </c>
    </row>
    <row r="347" spans="1:17" x14ac:dyDescent="0.25">
      <c r="A347" s="2" t="s">
        <v>648</v>
      </c>
      <c r="B347" s="2" t="s">
        <v>195</v>
      </c>
      <c r="C347" s="2" t="s">
        <v>196</v>
      </c>
      <c r="D347" s="2" t="s">
        <v>758</v>
      </c>
      <c r="E347" s="2" t="s">
        <v>869</v>
      </c>
      <c r="F347" s="2" t="s">
        <v>868</v>
      </c>
      <c r="G347" s="3">
        <v>46056</v>
      </c>
      <c r="H347" s="2" t="s">
        <v>753</v>
      </c>
      <c r="I347" s="2" t="s">
        <v>755</v>
      </c>
      <c r="J347" s="2" t="s">
        <v>754</v>
      </c>
      <c r="K347" s="2" t="s">
        <v>753</v>
      </c>
      <c r="L347" s="6">
        <v>240</v>
      </c>
      <c r="M347" s="2" t="s">
        <v>752</v>
      </c>
      <c r="N347" s="7">
        <v>51.38</v>
      </c>
      <c r="O347" s="4">
        <v>12331.2</v>
      </c>
      <c r="P347" s="4">
        <v>12331.2</v>
      </c>
      <c r="Q347" s="6">
        <v>0</v>
      </c>
    </row>
    <row r="348" spans="1:17" x14ac:dyDescent="0.25">
      <c r="A348" s="2" t="s">
        <v>648</v>
      </c>
      <c r="B348" s="2" t="s">
        <v>195</v>
      </c>
      <c r="C348" s="2" t="s">
        <v>196</v>
      </c>
      <c r="D348" s="2" t="s">
        <v>758</v>
      </c>
      <c r="E348" s="2" t="s">
        <v>831</v>
      </c>
      <c r="F348" s="2" t="s">
        <v>830</v>
      </c>
      <c r="G348" s="3">
        <v>46056</v>
      </c>
      <c r="H348" s="2" t="s">
        <v>753</v>
      </c>
      <c r="I348" s="2" t="s">
        <v>755</v>
      </c>
      <c r="J348" s="2" t="s">
        <v>754</v>
      </c>
      <c r="K348" s="2" t="s">
        <v>753</v>
      </c>
      <c r="L348" s="6">
        <v>12</v>
      </c>
      <c r="M348" s="2" t="s">
        <v>752</v>
      </c>
      <c r="N348" s="7">
        <v>54.38</v>
      </c>
      <c r="O348" s="4">
        <v>652.55999999999995</v>
      </c>
      <c r="P348" s="4">
        <v>652.55999999999995</v>
      </c>
      <c r="Q348" s="6">
        <v>0</v>
      </c>
    </row>
    <row r="349" spans="1:17" x14ac:dyDescent="0.25">
      <c r="A349" s="2" t="s">
        <v>648</v>
      </c>
      <c r="B349" s="2" t="s">
        <v>195</v>
      </c>
      <c r="C349" s="2" t="s">
        <v>196</v>
      </c>
      <c r="D349" s="2" t="s">
        <v>758</v>
      </c>
      <c r="E349" s="2" t="s">
        <v>929</v>
      </c>
      <c r="F349" s="2" t="s">
        <v>928</v>
      </c>
      <c r="G349" s="3">
        <v>46056</v>
      </c>
      <c r="H349" s="2" t="s">
        <v>753</v>
      </c>
      <c r="I349" s="2" t="s">
        <v>755</v>
      </c>
      <c r="J349" s="2" t="s">
        <v>754</v>
      </c>
      <c r="K349" s="2" t="s">
        <v>753</v>
      </c>
      <c r="L349" s="6">
        <v>125</v>
      </c>
      <c r="M349" s="2" t="s">
        <v>752</v>
      </c>
      <c r="N349" s="7">
        <v>61.02</v>
      </c>
      <c r="O349" s="4">
        <v>7627.5</v>
      </c>
      <c r="P349" s="4">
        <v>7627.5</v>
      </c>
      <c r="Q349" s="6">
        <v>0</v>
      </c>
    </row>
    <row r="350" spans="1:17" x14ac:dyDescent="0.25">
      <c r="A350" s="2" t="s">
        <v>648</v>
      </c>
      <c r="B350" s="2" t="s">
        <v>195</v>
      </c>
      <c r="C350" s="2" t="s">
        <v>196</v>
      </c>
      <c r="D350" s="2" t="s">
        <v>758</v>
      </c>
      <c r="E350" s="2" t="s">
        <v>829</v>
      </c>
      <c r="F350" s="2" t="s">
        <v>828</v>
      </c>
      <c r="G350" s="3">
        <v>46056</v>
      </c>
      <c r="H350" s="2" t="s">
        <v>753</v>
      </c>
      <c r="I350" s="2" t="s">
        <v>755</v>
      </c>
      <c r="J350" s="2" t="s">
        <v>754</v>
      </c>
      <c r="K350" s="2" t="s">
        <v>753</v>
      </c>
      <c r="L350" s="6">
        <v>84</v>
      </c>
      <c r="M350" s="2" t="s">
        <v>752</v>
      </c>
      <c r="N350" s="7">
        <v>28.5</v>
      </c>
      <c r="O350" s="4">
        <v>2394</v>
      </c>
      <c r="P350" s="4">
        <v>2394</v>
      </c>
      <c r="Q350" s="6">
        <v>0</v>
      </c>
    </row>
    <row r="351" spans="1:17" x14ac:dyDescent="0.25">
      <c r="A351" s="2" t="s">
        <v>632</v>
      </c>
      <c r="B351" s="2" t="s">
        <v>29</v>
      </c>
      <c r="C351" s="2" t="s">
        <v>30</v>
      </c>
      <c r="D351" s="2" t="s">
        <v>758</v>
      </c>
      <c r="E351" s="2" t="s">
        <v>817</v>
      </c>
      <c r="F351" s="2" t="s">
        <v>937</v>
      </c>
      <c r="G351" s="3">
        <v>46058</v>
      </c>
      <c r="H351" s="2" t="s">
        <v>753</v>
      </c>
      <c r="I351" s="2" t="s">
        <v>755</v>
      </c>
      <c r="J351" s="2" t="s">
        <v>754</v>
      </c>
      <c r="K351" s="2" t="s">
        <v>753</v>
      </c>
      <c r="L351" s="6">
        <v>28</v>
      </c>
      <c r="M351" s="2" t="s">
        <v>752</v>
      </c>
      <c r="N351" s="7">
        <v>31.42</v>
      </c>
      <c r="O351" s="4">
        <v>879.76</v>
      </c>
      <c r="P351" s="4">
        <v>879.76</v>
      </c>
      <c r="Q351" s="6">
        <v>0</v>
      </c>
    </row>
    <row r="352" spans="1:17" x14ac:dyDescent="0.25">
      <c r="A352" s="2" t="s">
        <v>632</v>
      </c>
      <c r="B352" s="2" t="s">
        <v>29</v>
      </c>
      <c r="C352" s="2" t="s">
        <v>30</v>
      </c>
      <c r="D352" s="2" t="s">
        <v>758</v>
      </c>
      <c r="E352" s="2" t="s">
        <v>815</v>
      </c>
      <c r="F352" s="2" t="s">
        <v>814</v>
      </c>
      <c r="G352" s="3">
        <v>46058</v>
      </c>
      <c r="H352" s="2" t="s">
        <v>753</v>
      </c>
      <c r="I352" s="2" t="s">
        <v>755</v>
      </c>
      <c r="J352" s="2" t="s">
        <v>754</v>
      </c>
      <c r="K352" s="2" t="s">
        <v>753</v>
      </c>
      <c r="L352" s="6">
        <v>112</v>
      </c>
      <c r="M352" s="2" t="s">
        <v>752</v>
      </c>
      <c r="N352" s="7">
        <v>34</v>
      </c>
      <c r="O352" s="4">
        <v>3808</v>
      </c>
      <c r="P352" s="4">
        <v>3808</v>
      </c>
      <c r="Q352" s="6">
        <v>0</v>
      </c>
    </row>
    <row r="353" spans="1:17" x14ac:dyDescent="0.25">
      <c r="A353" s="2" t="s">
        <v>632</v>
      </c>
      <c r="B353" s="2" t="s">
        <v>29</v>
      </c>
      <c r="C353" s="2" t="s">
        <v>30</v>
      </c>
      <c r="D353" s="2" t="s">
        <v>758</v>
      </c>
      <c r="E353" s="2" t="s">
        <v>763</v>
      </c>
      <c r="F353" s="2" t="s">
        <v>762</v>
      </c>
      <c r="G353" s="3">
        <v>46058</v>
      </c>
      <c r="H353" s="2" t="s">
        <v>753</v>
      </c>
      <c r="I353" s="2" t="s">
        <v>755</v>
      </c>
      <c r="J353" s="2" t="s">
        <v>754</v>
      </c>
      <c r="K353" s="2" t="s">
        <v>753</v>
      </c>
      <c r="L353" s="6">
        <v>112</v>
      </c>
      <c r="M353" s="2" t="s">
        <v>752</v>
      </c>
      <c r="N353" s="7">
        <v>43.36</v>
      </c>
      <c r="O353" s="4">
        <v>4856.32</v>
      </c>
      <c r="P353" s="4">
        <v>4856.32</v>
      </c>
      <c r="Q353" s="6">
        <v>0</v>
      </c>
    </row>
    <row r="354" spans="1:17" x14ac:dyDescent="0.25">
      <c r="A354" s="2" t="s">
        <v>632</v>
      </c>
      <c r="B354" s="2" t="s">
        <v>29</v>
      </c>
      <c r="C354" s="2" t="s">
        <v>30</v>
      </c>
      <c r="D354" s="2" t="s">
        <v>758</v>
      </c>
      <c r="E354" s="2" t="s">
        <v>776</v>
      </c>
      <c r="F354" s="2" t="s">
        <v>775</v>
      </c>
      <c r="G354" s="3">
        <v>46058</v>
      </c>
      <c r="H354" s="2" t="s">
        <v>753</v>
      </c>
      <c r="I354" s="2" t="s">
        <v>755</v>
      </c>
      <c r="J354" s="2" t="s">
        <v>754</v>
      </c>
      <c r="K354" s="2" t="s">
        <v>753</v>
      </c>
      <c r="L354" s="6">
        <v>20</v>
      </c>
      <c r="M354" s="2" t="s">
        <v>752</v>
      </c>
      <c r="N354" s="7">
        <v>41.2</v>
      </c>
      <c r="O354" s="4">
        <v>824</v>
      </c>
      <c r="P354" s="4">
        <v>824</v>
      </c>
      <c r="Q354" s="6">
        <v>0</v>
      </c>
    </row>
    <row r="355" spans="1:17" x14ac:dyDescent="0.25">
      <c r="A355" s="2" t="s">
        <v>632</v>
      </c>
      <c r="B355" s="2" t="s">
        <v>29</v>
      </c>
      <c r="C355" s="2" t="s">
        <v>30</v>
      </c>
      <c r="D355" s="2" t="s">
        <v>758</v>
      </c>
      <c r="E355" s="2" t="s">
        <v>805</v>
      </c>
      <c r="F355" s="2" t="s">
        <v>804</v>
      </c>
      <c r="G355" s="3">
        <v>46058</v>
      </c>
      <c r="H355" s="2" t="s">
        <v>753</v>
      </c>
      <c r="I355" s="2" t="s">
        <v>755</v>
      </c>
      <c r="J355" s="2" t="s">
        <v>754</v>
      </c>
      <c r="K355" s="2" t="s">
        <v>753</v>
      </c>
      <c r="L355" s="6">
        <v>40</v>
      </c>
      <c r="M355" s="2" t="s">
        <v>752</v>
      </c>
      <c r="N355" s="7">
        <v>41</v>
      </c>
      <c r="O355" s="4">
        <v>1640</v>
      </c>
      <c r="P355" s="4">
        <v>1640</v>
      </c>
      <c r="Q355" s="6">
        <v>0</v>
      </c>
    </row>
    <row r="356" spans="1:17" x14ac:dyDescent="0.25">
      <c r="A356" s="2" t="s">
        <v>624</v>
      </c>
      <c r="B356" s="2" t="s">
        <v>139</v>
      </c>
      <c r="C356" s="2" t="s">
        <v>140</v>
      </c>
      <c r="D356" s="2" t="s">
        <v>758</v>
      </c>
      <c r="E356" s="2" t="s">
        <v>865</v>
      </c>
      <c r="F356" s="2" t="s">
        <v>864</v>
      </c>
      <c r="G356" s="3">
        <v>46063</v>
      </c>
      <c r="H356" s="2" t="s">
        <v>753</v>
      </c>
      <c r="I356" s="2" t="s">
        <v>755</v>
      </c>
      <c r="J356" s="2" t="s">
        <v>754</v>
      </c>
      <c r="K356" s="2" t="s">
        <v>753</v>
      </c>
      <c r="L356" s="6">
        <v>52</v>
      </c>
      <c r="M356" s="2" t="s">
        <v>752</v>
      </c>
      <c r="N356" s="7">
        <v>40.11</v>
      </c>
      <c r="O356" s="4">
        <v>2085.7199999999998</v>
      </c>
      <c r="P356" s="4">
        <v>2085.7199999999998</v>
      </c>
      <c r="Q356" s="6">
        <v>0</v>
      </c>
    </row>
    <row r="357" spans="1:17" x14ac:dyDescent="0.25">
      <c r="A357" s="2" t="s">
        <v>624</v>
      </c>
      <c r="B357" s="2" t="s">
        <v>139</v>
      </c>
      <c r="C357" s="2" t="s">
        <v>140</v>
      </c>
      <c r="D357" s="2" t="s">
        <v>758</v>
      </c>
      <c r="E357" s="2" t="s">
        <v>922</v>
      </c>
      <c r="F357" s="2" t="s">
        <v>921</v>
      </c>
      <c r="G357" s="3">
        <v>46063</v>
      </c>
      <c r="H357" s="2" t="s">
        <v>753</v>
      </c>
      <c r="I357" s="2" t="s">
        <v>755</v>
      </c>
      <c r="J357" s="2" t="s">
        <v>754</v>
      </c>
      <c r="K357" s="2" t="s">
        <v>753</v>
      </c>
      <c r="L357" s="6">
        <v>12</v>
      </c>
      <c r="M357" s="2" t="s">
        <v>752</v>
      </c>
      <c r="N357" s="7">
        <v>48.57</v>
      </c>
      <c r="O357" s="4">
        <v>582.84</v>
      </c>
      <c r="P357" s="4">
        <v>582.84</v>
      </c>
      <c r="Q357" s="6">
        <v>0</v>
      </c>
    </row>
    <row r="358" spans="1:17" x14ac:dyDescent="0.25">
      <c r="A358" s="2" t="s">
        <v>624</v>
      </c>
      <c r="B358" s="2" t="s">
        <v>139</v>
      </c>
      <c r="C358" s="2" t="s">
        <v>140</v>
      </c>
      <c r="D358" s="2" t="s">
        <v>758</v>
      </c>
      <c r="E358" s="2" t="s">
        <v>827</v>
      </c>
      <c r="F358" s="2" t="s">
        <v>826</v>
      </c>
      <c r="G358" s="3">
        <v>46063</v>
      </c>
      <c r="H358" s="2" t="s">
        <v>753</v>
      </c>
      <c r="I358" s="2" t="s">
        <v>755</v>
      </c>
      <c r="J358" s="2" t="s">
        <v>754</v>
      </c>
      <c r="K358" s="2" t="s">
        <v>753</v>
      </c>
      <c r="L358" s="6">
        <v>36</v>
      </c>
      <c r="M358" s="2" t="s">
        <v>752</v>
      </c>
      <c r="N358" s="7">
        <v>40.85</v>
      </c>
      <c r="O358" s="4">
        <v>1470.6</v>
      </c>
      <c r="P358" s="4">
        <v>1470.6</v>
      </c>
      <c r="Q358" s="6">
        <v>0</v>
      </c>
    </row>
    <row r="359" spans="1:17" x14ac:dyDescent="0.25">
      <c r="A359" s="2" t="s">
        <v>624</v>
      </c>
      <c r="B359" s="2" t="s">
        <v>139</v>
      </c>
      <c r="C359" s="2" t="s">
        <v>140</v>
      </c>
      <c r="D359" s="2" t="s">
        <v>758</v>
      </c>
      <c r="E359" s="2" t="s">
        <v>879</v>
      </c>
      <c r="F359" s="2" t="s">
        <v>878</v>
      </c>
      <c r="G359" s="3">
        <v>46063</v>
      </c>
      <c r="H359" s="2" t="s">
        <v>753</v>
      </c>
      <c r="I359" s="2" t="s">
        <v>755</v>
      </c>
      <c r="J359" s="2" t="s">
        <v>754</v>
      </c>
      <c r="K359" s="2" t="s">
        <v>753</v>
      </c>
      <c r="L359" s="6">
        <v>140</v>
      </c>
      <c r="M359" s="2" t="s">
        <v>752</v>
      </c>
      <c r="N359" s="7">
        <v>40.9</v>
      </c>
      <c r="O359" s="4">
        <v>5726</v>
      </c>
      <c r="P359" s="4">
        <v>5726</v>
      </c>
      <c r="Q359" s="6">
        <v>0</v>
      </c>
    </row>
    <row r="360" spans="1:17" x14ac:dyDescent="0.25">
      <c r="A360" s="2" t="s">
        <v>624</v>
      </c>
      <c r="B360" s="2" t="s">
        <v>139</v>
      </c>
      <c r="C360" s="2" t="s">
        <v>140</v>
      </c>
      <c r="D360" s="2" t="s">
        <v>758</v>
      </c>
      <c r="E360" s="2" t="s">
        <v>847</v>
      </c>
      <c r="F360" s="2" t="s">
        <v>846</v>
      </c>
      <c r="G360" s="3">
        <v>46063</v>
      </c>
      <c r="H360" s="2" t="s">
        <v>753</v>
      </c>
      <c r="I360" s="2" t="s">
        <v>755</v>
      </c>
      <c r="J360" s="2" t="s">
        <v>754</v>
      </c>
      <c r="K360" s="2" t="s">
        <v>753</v>
      </c>
      <c r="L360" s="6">
        <v>36</v>
      </c>
      <c r="M360" s="2" t="s">
        <v>752</v>
      </c>
      <c r="N360" s="7">
        <v>38.08</v>
      </c>
      <c r="O360" s="4">
        <v>1370.88</v>
      </c>
      <c r="P360" s="4">
        <v>1370.88</v>
      </c>
      <c r="Q360" s="6">
        <v>0</v>
      </c>
    </row>
    <row r="361" spans="1:17" x14ac:dyDescent="0.25">
      <c r="A361" s="2" t="s">
        <v>624</v>
      </c>
      <c r="B361" s="2" t="s">
        <v>139</v>
      </c>
      <c r="C361" s="2" t="s">
        <v>140</v>
      </c>
      <c r="D361" s="2" t="s">
        <v>758</v>
      </c>
      <c r="E361" s="2" t="s">
        <v>819</v>
      </c>
      <c r="F361" s="2" t="s">
        <v>818</v>
      </c>
      <c r="G361" s="3">
        <v>46063</v>
      </c>
      <c r="H361" s="2" t="s">
        <v>753</v>
      </c>
      <c r="I361" s="2" t="s">
        <v>755</v>
      </c>
      <c r="J361" s="2" t="s">
        <v>754</v>
      </c>
      <c r="K361" s="2" t="s">
        <v>753</v>
      </c>
      <c r="L361" s="6">
        <v>72</v>
      </c>
      <c r="M361" s="2" t="s">
        <v>752</v>
      </c>
      <c r="N361" s="7">
        <v>40.22</v>
      </c>
      <c r="O361" s="4">
        <v>2895.84</v>
      </c>
      <c r="P361" s="4">
        <v>2895.84</v>
      </c>
      <c r="Q361" s="6">
        <v>0</v>
      </c>
    </row>
    <row r="362" spans="1:17" x14ac:dyDescent="0.25">
      <c r="A362" s="2" t="s">
        <v>642</v>
      </c>
      <c r="B362" s="2" t="s">
        <v>99</v>
      </c>
      <c r="C362" s="2" t="s">
        <v>100</v>
      </c>
      <c r="D362" s="2" t="s">
        <v>758</v>
      </c>
      <c r="E362" s="2" t="s">
        <v>863</v>
      </c>
      <c r="F362" s="2" t="s">
        <v>862</v>
      </c>
      <c r="G362" s="3">
        <v>46057</v>
      </c>
      <c r="H362" s="2" t="s">
        <v>770</v>
      </c>
      <c r="I362" s="2" t="s">
        <v>755</v>
      </c>
      <c r="J362" s="2" t="s">
        <v>754</v>
      </c>
      <c r="K362" s="2" t="s">
        <v>753</v>
      </c>
      <c r="L362" s="6">
        <v>80</v>
      </c>
      <c r="M362" s="2" t="s">
        <v>752</v>
      </c>
      <c r="N362" s="7">
        <v>33.299999999999997</v>
      </c>
      <c r="O362" s="4">
        <v>2664</v>
      </c>
      <c r="P362" s="4">
        <v>2664</v>
      </c>
      <c r="Q362" s="6">
        <v>0</v>
      </c>
    </row>
    <row r="363" spans="1:17" x14ac:dyDescent="0.25">
      <c r="A363" s="2" t="s">
        <v>642</v>
      </c>
      <c r="B363" s="2" t="s">
        <v>99</v>
      </c>
      <c r="C363" s="2" t="s">
        <v>100</v>
      </c>
      <c r="D363" s="2" t="s">
        <v>758</v>
      </c>
      <c r="E363" s="2" t="s">
        <v>763</v>
      </c>
      <c r="F363" s="2" t="s">
        <v>762</v>
      </c>
      <c r="G363" s="3">
        <v>46057</v>
      </c>
      <c r="H363" s="2" t="s">
        <v>770</v>
      </c>
      <c r="I363" s="2" t="s">
        <v>755</v>
      </c>
      <c r="J363" s="2" t="s">
        <v>754</v>
      </c>
      <c r="K363" s="2" t="s">
        <v>753</v>
      </c>
      <c r="L363" s="6">
        <v>224</v>
      </c>
      <c r="M363" s="2" t="s">
        <v>752</v>
      </c>
      <c r="N363" s="7">
        <v>36.82</v>
      </c>
      <c r="O363" s="4">
        <v>8247.68</v>
      </c>
      <c r="P363" s="4">
        <v>8247.68</v>
      </c>
      <c r="Q363" s="6">
        <v>0</v>
      </c>
    </row>
    <row r="364" spans="1:17" x14ac:dyDescent="0.25">
      <c r="A364" s="2" t="s">
        <v>642</v>
      </c>
      <c r="B364" s="2" t="s">
        <v>99</v>
      </c>
      <c r="C364" s="2" t="s">
        <v>100</v>
      </c>
      <c r="D364" s="2" t="s">
        <v>758</v>
      </c>
      <c r="E364" s="2" t="s">
        <v>861</v>
      </c>
      <c r="F364" s="2" t="s">
        <v>860</v>
      </c>
      <c r="G364" s="3">
        <v>46057</v>
      </c>
      <c r="H364" s="2" t="s">
        <v>770</v>
      </c>
      <c r="I364" s="2" t="s">
        <v>755</v>
      </c>
      <c r="J364" s="2" t="s">
        <v>754</v>
      </c>
      <c r="K364" s="2" t="s">
        <v>753</v>
      </c>
      <c r="L364" s="6">
        <v>96</v>
      </c>
      <c r="M364" s="2" t="s">
        <v>752</v>
      </c>
      <c r="N364" s="7">
        <v>39.700000000000003</v>
      </c>
      <c r="O364" s="4">
        <v>3811.2</v>
      </c>
      <c r="P364" s="4">
        <v>3811.2</v>
      </c>
      <c r="Q364" s="6">
        <v>0</v>
      </c>
    </row>
    <row r="365" spans="1:17" x14ac:dyDescent="0.25">
      <c r="A365" s="2" t="s">
        <v>642</v>
      </c>
      <c r="B365" s="2" t="s">
        <v>99</v>
      </c>
      <c r="C365" s="2" t="s">
        <v>100</v>
      </c>
      <c r="D365" s="2" t="s">
        <v>758</v>
      </c>
      <c r="E365" s="2" t="s">
        <v>757</v>
      </c>
      <c r="F365" s="2" t="s">
        <v>756</v>
      </c>
      <c r="G365" s="3">
        <v>46057</v>
      </c>
      <c r="H365" s="2" t="s">
        <v>770</v>
      </c>
      <c r="I365" s="2" t="s">
        <v>755</v>
      </c>
      <c r="J365" s="2" t="s">
        <v>754</v>
      </c>
      <c r="K365" s="2" t="s">
        <v>753</v>
      </c>
      <c r="L365" s="6">
        <v>448</v>
      </c>
      <c r="M365" s="2" t="s">
        <v>752</v>
      </c>
      <c r="N365" s="7">
        <v>39.700000000000003</v>
      </c>
      <c r="O365" s="4">
        <v>17785.599999999999</v>
      </c>
      <c r="P365" s="4">
        <v>17785.599999999999</v>
      </c>
      <c r="Q365" s="6">
        <v>0</v>
      </c>
    </row>
    <row r="366" spans="1:17" x14ac:dyDescent="0.25">
      <c r="A366" s="2" t="s">
        <v>654</v>
      </c>
      <c r="B366" s="2" t="s">
        <v>69</v>
      </c>
      <c r="C366" s="2" t="s">
        <v>70</v>
      </c>
      <c r="D366" s="2" t="s">
        <v>758</v>
      </c>
      <c r="E366" s="2" t="s">
        <v>847</v>
      </c>
      <c r="F366" s="2" t="s">
        <v>846</v>
      </c>
      <c r="G366" s="3">
        <v>46055</v>
      </c>
      <c r="H366" s="2" t="s">
        <v>753</v>
      </c>
      <c r="I366" s="2" t="s">
        <v>755</v>
      </c>
      <c r="J366" s="2" t="s">
        <v>754</v>
      </c>
      <c r="K366" s="2" t="s">
        <v>753</v>
      </c>
      <c r="L366" s="6">
        <v>0</v>
      </c>
      <c r="M366" s="2" t="s">
        <v>752</v>
      </c>
      <c r="N366" s="7">
        <v>30.32</v>
      </c>
      <c r="O366" s="4">
        <v>0</v>
      </c>
      <c r="P366" s="4">
        <v>0</v>
      </c>
      <c r="Q366" s="6">
        <v>0</v>
      </c>
    </row>
    <row r="367" spans="1:17" x14ac:dyDescent="0.25">
      <c r="A367" s="2" t="s">
        <v>654</v>
      </c>
      <c r="B367" s="2" t="s">
        <v>69</v>
      </c>
      <c r="C367" s="2" t="s">
        <v>70</v>
      </c>
      <c r="D367" s="2" t="s">
        <v>758</v>
      </c>
      <c r="E367" s="2" t="s">
        <v>855</v>
      </c>
      <c r="F367" s="2" t="s">
        <v>854</v>
      </c>
      <c r="G367" s="3">
        <v>46055</v>
      </c>
      <c r="H367" s="2" t="s">
        <v>753</v>
      </c>
      <c r="I367" s="2" t="s">
        <v>755</v>
      </c>
      <c r="J367" s="2" t="s">
        <v>754</v>
      </c>
      <c r="K367" s="2" t="s">
        <v>753</v>
      </c>
      <c r="L367" s="6">
        <v>10</v>
      </c>
      <c r="M367" s="2" t="s">
        <v>752</v>
      </c>
      <c r="N367" s="7">
        <v>53.2</v>
      </c>
      <c r="O367" s="4">
        <v>532</v>
      </c>
      <c r="P367" s="4">
        <v>532</v>
      </c>
      <c r="Q367" s="6">
        <v>0</v>
      </c>
    </row>
    <row r="368" spans="1:17" x14ac:dyDescent="0.25">
      <c r="A368" s="2" t="s">
        <v>622</v>
      </c>
      <c r="B368" s="2" t="s">
        <v>167</v>
      </c>
      <c r="C368" s="2" t="s">
        <v>168</v>
      </c>
      <c r="D368" s="2" t="s">
        <v>758</v>
      </c>
      <c r="E368" s="2" t="s">
        <v>794</v>
      </c>
      <c r="F368" s="2" t="s">
        <v>793</v>
      </c>
      <c r="G368" s="3">
        <v>46063</v>
      </c>
      <c r="H368" s="2" t="s">
        <v>770</v>
      </c>
      <c r="I368" s="2" t="s">
        <v>755</v>
      </c>
      <c r="J368" s="2" t="s">
        <v>754</v>
      </c>
      <c r="K368" s="2" t="s">
        <v>753</v>
      </c>
      <c r="L368" s="6">
        <v>392</v>
      </c>
      <c r="M368" s="2" t="s">
        <v>752</v>
      </c>
      <c r="N368" s="7">
        <v>35</v>
      </c>
      <c r="O368" s="4">
        <v>13720</v>
      </c>
      <c r="P368" s="4">
        <v>13720</v>
      </c>
      <c r="Q368" s="6">
        <v>0</v>
      </c>
    </row>
    <row r="369" spans="1:17" x14ac:dyDescent="0.25">
      <c r="A369" s="2" t="s">
        <v>622</v>
      </c>
      <c r="B369" s="2" t="s">
        <v>167</v>
      </c>
      <c r="C369" s="2" t="s">
        <v>168</v>
      </c>
      <c r="D369" s="2" t="s">
        <v>758</v>
      </c>
      <c r="E369" s="2" t="s">
        <v>766</v>
      </c>
      <c r="F369" s="2" t="s">
        <v>765</v>
      </c>
      <c r="G369" s="3">
        <v>46063</v>
      </c>
      <c r="H369" s="2" t="s">
        <v>770</v>
      </c>
      <c r="I369" s="2" t="s">
        <v>755</v>
      </c>
      <c r="J369" s="2" t="s">
        <v>754</v>
      </c>
      <c r="K369" s="2" t="s">
        <v>753</v>
      </c>
      <c r="L369" s="6">
        <v>56</v>
      </c>
      <c r="M369" s="2" t="s">
        <v>752</v>
      </c>
      <c r="N369" s="7">
        <v>39.65</v>
      </c>
      <c r="O369" s="4">
        <v>2220.4</v>
      </c>
      <c r="P369" s="4">
        <v>2220.4</v>
      </c>
      <c r="Q369" s="6">
        <v>0</v>
      </c>
    </row>
    <row r="370" spans="1:17" x14ac:dyDescent="0.25">
      <c r="A370" s="2" t="s">
        <v>1006</v>
      </c>
      <c r="B370" s="2" t="s">
        <v>760</v>
      </c>
      <c r="C370" s="2" t="s">
        <v>759</v>
      </c>
      <c r="D370" s="2" t="s">
        <v>758</v>
      </c>
      <c r="E370" s="2" t="s">
        <v>757</v>
      </c>
      <c r="F370" s="2" t="s">
        <v>756</v>
      </c>
      <c r="G370" s="3">
        <v>46045</v>
      </c>
      <c r="H370" s="2" t="s">
        <v>753</v>
      </c>
      <c r="I370" s="2" t="s">
        <v>755</v>
      </c>
      <c r="J370" s="2" t="s">
        <v>754</v>
      </c>
      <c r="K370" s="2" t="s">
        <v>753</v>
      </c>
      <c r="L370" s="6">
        <v>2</v>
      </c>
      <c r="M370" s="2" t="s">
        <v>752</v>
      </c>
      <c r="N370" s="7">
        <v>0</v>
      </c>
      <c r="O370" s="4">
        <v>0</v>
      </c>
      <c r="P370" s="4">
        <v>0</v>
      </c>
      <c r="Q370" s="6">
        <v>0</v>
      </c>
    </row>
    <row r="371" spans="1:17" x14ac:dyDescent="0.25">
      <c r="A371" s="2" t="s">
        <v>1005</v>
      </c>
      <c r="B371" s="2" t="s">
        <v>1000</v>
      </c>
      <c r="C371" s="2" t="s">
        <v>999</v>
      </c>
      <c r="D371" s="2" t="s">
        <v>758</v>
      </c>
      <c r="E371" s="2" t="s">
        <v>757</v>
      </c>
      <c r="F371" s="2" t="s">
        <v>756</v>
      </c>
      <c r="G371" s="3">
        <v>46049</v>
      </c>
      <c r="H371" s="2" t="s">
        <v>770</v>
      </c>
      <c r="I371" s="2" t="s">
        <v>755</v>
      </c>
      <c r="J371" s="2" t="s">
        <v>754</v>
      </c>
      <c r="K371" s="2" t="s">
        <v>753</v>
      </c>
      <c r="L371" s="6">
        <v>0</v>
      </c>
      <c r="M371" s="2" t="s">
        <v>752</v>
      </c>
      <c r="N371" s="7">
        <v>0</v>
      </c>
      <c r="O371" s="4">
        <v>0</v>
      </c>
      <c r="P371" s="4">
        <v>0</v>
      </c>
      <c r="Q371" s="6">
        <v>0</v>
      </c>
    </row>
    <row r="372" spans="1:17" x14ac:dyDescent="0.25">
      <c r="A372" s="2" t="s">
        <v>1005</v>
      </c>
      <c r="B372" s="2" t="s">
        <v>1000</v>
      </c>
      <c r="C372" s="2" t="s">
        <v>999</v>
      </c>
      <c r="D372" s="2" t="s">
        <v>758</v>
      </c>
      <c r="E372" s="2" t="s">
        <v>922</v>
      </c>
      <c r="F372" s="2" t="s">
        <v>921</v>
      </c>
      <c r="G372" s="3">
        <v>46049</v>
      </c>
      <c r="H372" s="2" t="s">
        <v>770</v>
      </c>
      <c r="I372" s="2" t="s">
        <v>755</v>
      </c>
      <c r="J372" s="2" t="s">
        <v>754</v>
      </c>
      <c r="K372" s="2" t="s">
        <v>753</v>
      </c>
      <c r="L372" s="6">
        <v>0</v>
      </c>
      <c r="M372" s="2" t="s">
        <v>752</v>
      </c>
      <c r="N372" s="7">
        <v>0</v>
      </c>
      <c r="O372" s="4">
        <v>0</v>
      </c>
      <c r="P372" s="4">
        <v>0</v>
      </c>
      <c r="Q372" s="6">
        <v>0</v>
      </c>
    </row>
    <row r="373" spans="1:17" x14ac:dyDescent="0.25">
      <c r="A373" s="2" t="s">
        <v>1005</v>
      </c>
      <c r="B373" s="2" t="s">
        <v>1000</v>
      </c>
      <c r="C373" s="2" t="s">
        <v>999</v>
      </c>
      <c r="D373" s="2" t="s">
        <v>758</v>
      </c>
      <c r="E373" s="2" t="s">
        <v>867</v>
      </c>
      <c r="F373" s="2" t="s">
        <v>866</v>
      </c>
      <c r="G373" s="3">
        <v>46049</v>
      </c>
      <c r="H373" s="2" t="s">
        <v>770</v>
      </c>
      <c r="I373" s="2" t="s">
        <v>755</v>
      </c>
      <c r="J373" s="2" t="s">
        <v>754</v>
      </c>
      <c r="K373" s="2" t="s">
        <v>753</v>
      </c>
      <c r="L373" s="6">
        <v>0</v>
      </c>
      <c r="M373" s="2" t="s">
        <v>752</v>
      </c>
      <c r="N373" s="7">
        <v>0</v>
      </c>
      <c r="O373" s="4">
        <v>0</v>
      </c>
      <c r="P373" s="4">
        <v>0</v>
      </c>
      <c r="Q373" s="6">
        <v>0</v>
      </c>
    </row>
    <row r="374" spans="1:17" x14ac:dyDescent="0.25">
      <c r="A374" s="2" t="s">
        <v>612</v>
      </c>
      <c r="B374" s="2" t="s">
        <v>55</v>
      </c>
      <c r="C374" s="2" t="s">
        <v>56</v>
      </c>
      <c r="D374" s="2" t="s">
        <v>758</v>
      </c>
      <c r="E374" s="2" t="s">
        <v>859</v>
      </c>
      <c r="F374" s="2" t="s">
        <v>858</v>
      </c>
      <c r="G374" s="3">
        <v>46065</v>
      </c>
      <c r="H374" s="2" t="s">
        <v>753</v>
      </c>
      <c r="I374" s="2" t="s">
        <v>755</v>
      </c>
      <c r="J374" s="2" t="s">
        <v>754</v>
      </c>
      <c r="K374" s="2" t="s">
        <v>753</v>
      </c>
      <c r="L374" s="6">
        <v>480</v>
      </c>
      <c r="M374" s="2" t="s">
        <v>752</v>
      </c>
      <c r="N374" s="7">
        <v>33.42</v>
      </c>
      <c r="O374" s="4">
        <v>16041.6</v>
      </c>
      <c r="P374" s="4">
        <v>16041.6</v>
      </c>
      <c r="Q374" s="6">
        <v>0</v>
      </c>
    </row>
    <row r="375" spans="1:17" x14ac:dyDescent="0.25">
      <c r="A375" s="2" t="s">
        <v>612</v>
      </c>
      <c r="B375" s="2" t="s">
        <v>55</v>
      </c>
      <c r="C375" s="2" t="s">
        <v>56</v>
      </c>
      <c r="D375" s="2" t="s">
        <v>758</v>
      </c>
      <c r="E375" s="2" t="s">
        <v>976</v>
      </c>
      <c r="F375" s="2" t="s">
        <v>975</v>
      </c>
      <c r="G375" s="3">
        <v>46065</v>
      </c>
      <c r="H375" s="2" t="s">
        <v>753</v>
      </c>
      <c r="I375" s="2" t="s">
        <v>755</v>
      </c>
      <c r="J375" s="2" t="s">
        <v>754</v>
      </c>
      <c r="K375" s="2" t="s">
        <v>753</v>
      </c>
      <c r="L375" s="6">
        <v>96</v>
      </c>
      <c r="M375" s="2" t="s">
        <v>752</v>
      </c>
      <c r="N375" s="7">
        <v>26.96</v>
      </c>
      <c r="O375" s="4">
        <v>2588.16</v>
      </c>
      <c r="P375" s="4">
        <v>2588.16</v>
      </c>
      <c r="Q375" s="6">
        <v>0</v>
      </c>
    </row>
    <row r="376" spans="1:17" x14ac:dyDescent="0.25">
      <c r="A376" s="2" t="s">
        <v>612</v>
      </c>
      <c r="B376" s="2" t="s">
        <v>55</v>
      </c>
      <c r="C376" s="2" t="s">
        <v>56</v>
      </c>
      <c r="D376" s="2" t="s">
        <v>758</v>
      </c>
      <c r="E376" s="2" t="s">
        <v>982</v>
      </c>
      <c r="F376" s="2" t="s">
        <v>981</v>
      </c>
      <c r="G376" s="3">
        <v>46065</v>
      </c>
      <c r="H376" s="2" t="s">
        <v>753</v>
      </c>
      <c r="I376" s="2" t="s">
        <v>755</v>
      </c>
      <c r="J376" s="2" t="s">
        <v>754</v>
      </c>
      <c r="K376" s="2" t="s">
        <v>753</v>
      </c>
      <c r="L376" s="6">
        <v>128</v>
      </c>
      <c r="M376" s="2" t="s">
        <v>752</v>
      </c>
      <c r="N376" s="7">
        <v>29.53</v>
      </c>
      <c r="O376" s="4">
        <v>3779.84</v>
      </c>
      <c r="P376" s="4">
        <v>3779.84</v>
      </c>
      <c r="Q376" s="6">
        <v>0</v>
      </c>
    </row>
    <row r="377" spans="1:17" x14ac:dyDescent="0.25">
      <c r="A377" s="2" t="s">
        <v>612</v>
      </c>
      <c r="B377" s="2" t="s">
        <v>55</v>
      </c>
      <c r="C377" s="2" t="s">
        <v>56</v>
      </c>
      <c r="D377" s="2" t="s">
        <v>758</v>
      </c>
      <c r="E377" s="2" t="s">
        <v>888</v>
      </c>
      <c r="F377" s="2" t="s">
        <v>887</v>
      </c>
      <c r="G377" s="3">
        <v>46065</v>
      </c>
      <c r="H377" s="2" t="s">
        <v>753</v>
      </c>
      <c r="I377" s="2" t="s">
        <v>755</v>
      </c>
      <c r="J377" s="2" t="s">
        <v>754</v>
      </c>
      <c r="K377" s="2" t="s">
        <v>753</v>
      </c>
      <c r="L377" s="6">
        <v>32</v>
      </c>
      <c r="M377" s="2" t="s">
        <v>752</v>
      </c>
      <c r="N377" s="7">
        <v>26.22</v>
      </c>
      <c r="O377" s="4">
        <v>839.04</v>
      </c>
      <c r="P377" s="4">
        <v>839.04</v>
      </c>
      <c r="Q377" s="6">
        <v>0</v>
      </c>
    </row>
    <row r="378" spans="1:17" x14ac:dyDescent="0.25">
      <c r="A378" s="2" t="s">
        <v>620</v>
      </c>
      <c r="B378" s="2" t="s">
        <v>45</v>
      </c>
      <c r="C378" s="2" t="s">
        <v>46</v>
      </c>
      <c r="D378" s="2" t="s">
        <v>758</v>
      </c>
      <c r="E378" s="2" t="s">
        <v>859</v>
      </c>
      <c r="F378" s="2" t="s">
        <v>858</v>
      </c>
      <c r="G378" s="3">
        <v>46063</v>
      </c>
      <c r="H378" s="2" t="s">
        <v>753</v>
      </c>
      <c r="I378" s="2" t="s">
        <v>755</v>
      </c>
      <c r="J378" s="2" t="s">
        <v>754</v>
      </c>
      <c r="K378" s="2" t="s">
        <v>753</v>
      </c>
      <c r="L378" s="6">
        <v>256</v>
      </c>
      <c r="M378" s="2" t="s">
        <v>752</v>
      </c>
      <c r="N378" s="7">
        <v>33.42</v>
      </c>
      <c r="O378" s="4">
        <v>8555.52</v>
      </c>
      <c r="P378" s="4">
        <v>8555.52</v>
      </c>
      <c r="Q378" s="6">
        <v>0</v>
      </c>
    </row>
    <row r="379" spans="1:17" x14ac:dyDescent="0.25">
      <c r="A379" s="2" t="s">
        <v>1004</v>
      </c>
      <c r="B379" s="2" t="s">
        <v>760</v>
      </c>
      <c r="C379" s="2" t="s">
        <v>759</v>
      </c>
      <c r="D379" s="2" t="s">
        <v>758</v>
      </c>
      <c r="E379" s="2" t="s">
        <v>877</v>
      </c>
      <c r="F379" s="2" t="s">
        <v>876</v>
      </c>
      <c r="G379" s="3">
        <v>46051</v>
      </c>
      <c r="H379" s="2" t="s">
        <v>753</v>
      </c>
      <c r="I379" s="2" t="s">
        <v>755</v>
      </c>
      <c r="J379" s="2" t="s">
        <v>754</v>
      </c>
      <c r="K379" s="2" t="s">
        <v>753</v>
      </c>
      <c r="L379" s="6">
        <v>3</v>
      </c>
      <c r="M379" s="2" t="s">
        <v>752</v>
      </c>
      <c r="N379" s="7">
        <v>0</v>
      </c>
      <c r="O379" s="4">
        <v>0</v>
      </c>
      <c r="P379" s="4">
        <v>0</v>
      </c>
      <c r="Q379" s="6">
        <v>0</v>
      </c>
    </row>
    <row r="380" spans="1:17" x14ac:dyDescent="0.25">
      <c r="A380" s="2" t="s">
        <v>600</v>
      </c>
      <c r="B380" s="2" t="s">
        <v>135</v>
      </c>
      <c r="C380" s="2" t="s">
        <v>136</v>
      </c>
      <c r="D380" s="2" t="s">
        <v>758</v>
      </c>
      <c r="E380" s="2" t="s">
        <v>813</v>
      </c>
      <c r="F380" s="2" t="s">
        <v>812</v>
      </c>
      <c r="G380" s="3">
        <v>46071</v>
      </c>
      <c r="H380" s="2" t="s">
        <v>753</v>
      </c>
      <c r="I380" s="2" t="s">
        <v>755</v>
      </c>
      <c r="J380" s="2" t="s">
        <v>754</v>
      </c>
      <c r="K380" s="2" t="s">
        <v>753</v>
      </c>
      <c r="L380" s="6">
        <v>28</v>
      </c>
      <c r="M380" s="2" t="s">
        <v>752</v>
      </c>
      <c r="N380" s="7">
        <v>46.25</v>
      </c>
      <c r="O380" s="4">
        <v>1295</v>
      </c>
      <c r="P380" s="4">
        <v>1295</v>
      </c>
      <c r="Q380" s="6">
        <v>0</v>
      </c>
    </row>
    <row r="381" spans="1:17" x14ac:dyDescent="0.25">
      <c r="A381" s="2" t="s">
        <v>600</v>
      </c>
      <c r="B381" s="2" t="s">
        <v>135</v>
      </c>
      <c r="C381" s="2" t="s">
        <v>136</v>
      </c>
      <c r="D381" s="2" t="s">
        <v>758</v>
      </c>
      <c r="E381" s="2" t="s">
        <v>763</v>
      </c>
      <c r="F381" s="2" t="s">
        <v>762</v>
      </c>
      <c r="G381" s="3">
        <v>46071</v>
      </c>
      <c r="H381" s="2" t="s">
        <v>753</v>
      </c>
      <c r="I381" s="2" t="s">
        <v>755</v>
      </c>
      <c r="J381" s="2" t="s">
        <v>754</v>
      </c>
      <c r="K381" s="2" t="s">
        <v>753</v>
      </c>
      <c r="L381" s="6">
        <v>108</v>
      </c>
      <c r="M381" s="2" t="s">
        <v>752</v>
      </c>
      <c r="N381" s="7">
        <v>42</v>
      </c>
      <c r="O381" s="4">
        <v>4536</v>
      </c>
      <c r="P381" s="4">
        <v>4536</v>
      </c>
      <c r="Q381" s="6">
        <v>0</v>
      </c>
    </row>
    <row r="382" spans="1:17" x14ac:dyDescent="0.25">
      <c r="A382" s="2" t="s">
        <v>600</v>
      </c>
      <c r="B382" s="2" t="s">
        <v>135</v>
      </c>
      <c r="C382" s="2" t="s">
        <v>136</v>
      </c>
      <c r="D382" s="2" t="s">
        <v>758</v>
      </c>
      <c r="E382" s="2" t="s">
        <v>788</v>
      </c>
      <c r="F382" s="2" t="s">
        <v>787</v>
      </c>
      <c r="G382" s="3">
        <v>46071</v>
      </c>
      <c r="H382" s="2" t="s">
        <v>753</v>
      </c>
      <c r="I382" s="2" t="s">
        <v>755</v>
      </c>
      <c r="J382" s="2" t="s">
        <v>754</v>
      </c>
      <c r="K382" s="2" t="s">
        <v>753</v>
      </c>
      <c r="L382" s="6">
        <v>336</v>
      </c>
      <c r="M382" s="2" t="s">
        <v>752</v>
      </c>
      <c r="N382" s="7">
        <v>38.299999999999997</v>
      </c>
      <c r="O382" s="4">
        <v>12868.8</v>
      </c>
      <c r="P382" s="4">
        <v>12868.8</v>
      </c>
      <c r="Q382" s="6">
        <v>0</v>
      </c>
    </row>
    <row r="383" spans="1:17" x14ac:dyDescent="0.25">
      <c r="A383" s="2" t="s">
        <v>600</v>
      </c>
      <c r="B383" s="2" t="s">
        <v>135</v>
      </c>
      <c r="C383" s="2" t="s">
        <v>136</v>
      </c>
      <c r="D383" s="2" t="s">
        <v>758</v>
      </c>
      <c r="E383" s="2" t="s">
        <v>786</v>
      </c>
      <c r="F383" s="2" t="s">
        <v>785</v>
      </c>
      <c r="G383" s="3">
        <v>46071</v>
      </c>
      <c r="H383" s="2" t="s">
        <v>753</v>
      </c>
      <c r="I383" s="2" t="s">
        <v>755</v>
      </c>
      <c r="J383" s="2" t="s">
        <v>754</v>
      </c>
      <c r="K383" s="2" t="s">
        <v>753</v>
      </c>
      <c r="L383" s="6">
        <v>56</v>
      </c>
      <c r="M383" s="2" t="s">
        <v>752</v>
      </c>
      <c r="N383" s="7">
        <v>36.47</v>
      </c>
      <c r="O383" s="4">
        <v>2042.32</v>
      </c>
      <c r="P383" s="4">
        <v>2042.32</v>
      </c>
      <c r="Q383" s="6">
        <v>0</v>
      </c>
    </row>
    <row r="384" spans="1:17" x14ac:dyDescent="0.25">
      <c r="A384" s="2" t="s">
        <v>600</v>
      </c>
      <c r="B384" s="2" t="s">
        <v>135</v>
      </c>
      <c r="C384" s="2" t="s">
        <v>136</v>
      </c>
      <c r="D384" s="2" t="s">
        <v>758</v>
      </c>
      <c r="E384" s="2" t="s">
        <v>925</v>
      </c>
      <c r="F384" s="2" t="s">
        <v>924</v>
      </c>
      <c r="G384" s="3">
        <v>46071</v>
      </c>
      <c r="H384" s="2" t="s">
        <v>753</v>
      </c>
      <c r="I384" s="2" t="s">
        <v>755</v>
      </c>
      <c r="J384" s="2" t="s">
        <v>754</v>
      </c>
      <c r="K384" s="2" t="s">
        <v>753</v>
      </c>
      <c r="L384" s="6">
        <v>60</v>
      </c>
      <c r="M384" s="2" t="s">
        <v>752</v>
      </c>
      <c r="N384" s="7">
        <v>35.75</v>
      </c>
      <c r="O384" s="4">
        <v>2145</v>
      </c>
      <c r="P384" s="4">
        <v>2145</v>
      </c>
      <c r="Q384" s="6">
        <v>0</v>
      </c>
    </row>
    <row r="385" spans="1:17" x14ac:dyDescent="0.25">
      <c r="A385" s="2" t="s">
        <v>600</v>
      </c>
      <c r="B385" s="2" t="s">
        <v>135</v>
      </c>
      <c r="C385" s="2" t="s">
        <v>136</v>
      </c>
      <c r="D385" s="2" t="s">
        <v>758</v>
      </c>
      <c r="E385" s="2" t="s">
        <v>894</v>
      </c>
      <c r="F385" s="2" t="s">
        <v>893</v>
      </c>
      <c r="G385" s="3">
        <v>46071</v>
      </c>
      <c r="H385" s="2" t="s">
        <v>753</v>
      </c>
      <c r="I385" s="2" t="s">
        <v>755</v>
      </c>
      <c r="J385" s="2" t="s">
        <v>754</v>
      </c>
      <c r="K385" s="2" t="s">
        <v>753</v>
      </c>
      <c r="L385" s="6">
        <v>12</v>
      </c>
      <c r="M385" s="2" t="s">
        <v>752</v>
      </c>
      <c r="N385" s="7">
        <v>33.25</v>
      </c>
      <c r="O385" s="4">
        <v>399</v>
      </c>
      <c r="P385" s="4">
        <v>399</v>
      </c>
      <c r="Q385" s="6">
        <v>0</v>
      </c>
    </row>
    <row r="386" spans="1:17" x14ac:dyDescent="0.25">
      <c r="A386" s="2" t="s">
        <v>600</v>
      </c>
      <c r="B386" s="2" t="s">
        <v>135</v>
      </c>
      <c r="C386" s="2" t="s">
        <v>136</v>
      </c>
      <c r="D386" s="2" t="s">
        <v>758</v>
      </c>
      <c r="E386" s="2" t="s">
        <v>890</v>
      </c>
      <c r="F386" s="2" t="s">
        <v>889</v>
      </c>
      <c r="G386" s="3">
        <v>46071</v>
      </c>
      <c r="H386" s="2" t="s">
        <v>753</v>
      </c>
      <c r="I386" s="2" t="s">
        <v>755</v>
      </c>
      <c r="J386" s="2" t="s">
        <v>754</v>
      </c>
      <c r="K386" s="2" t="s">
        <v>753</v>
      </c>
      <c r="L386" s="6">
        <v>14</v>
      </c>
      <c r="M386" s="2" t="s">
        <v>752</v>
      </c>
      <c r="N386" s="7">
        <v>46</v>
      </c>
      <c r="O386" s="4">
        <v>644</v>
      </c>
      <c r="P386" s="4">
        <v>644</v>
      </c>
      <c r="Q386" s="6">
        <v>0</v>
      </c>
    </row>
    <row r="387" spans="1:17" x14ac:dyDescent="0.25">
      <c r="A387" s="2" t="s">
        <v>628</v>
      </c>
      <c r="B387" s="2" t="s">
        <v>267</v>
      </c>
      <c r="C387" s="2" t="s">
        <v>268</v>
      </c>
      <c r="D387" s="2" t="s">
        <v>758</v>
      </c>
      <c r="E387" s="2" t="s">
        <v>763</v>
      </c>
      <c r="F387" s="2" t="s">
        <v>762</v>
      </c>
      <c r="G387" s="3">
        <v>46062</v>
      </c>
      <c r="H387" s="2" t="s">
        <v>753</v>
      </c>
      <c r="I387" s="2" t="s">
        <v>755</v>
      </c>
      <c r="J387" s="2" t="s">
        <v>754</v>
      </c>
      <c r="K387" s="2" t="s">
        <v>753</v>
      </c>
      <c r="L387" s="6">
        <v>644</v>
      </c>
      <c r="M387" s="2" t="s">
        <v>752</v>
      </c>
      <c r="N387" s="7">
        <v>44</v>
      </c>
      <c r="O387" s="4">
        <v>28336</v>
      </c>
      <c r="P387" s="4">
        <v>28336</v>
      </c>
      <c r="Q387" s="6">
        <v>0</v>
      </c>
    </row>
    <row r="388" spans="1:17" x14ac:dyDescent="0.25">
      <c r="A388" s="2" t="s">
        <v>1003</v>
      </c>
      <c r="B388" s="2" t="s">
        <v>1000</v>
      </c>
      <c r="C388" s="2" t="s">
        <v>999</v>
      </c>
      <c r="D388" s="2" t="s">
        <v>758</v>
      </c>
      <c r="E388" s="2" t="s">
        <v>757</v>
      </c>
      <c r="F388" s="2" t="s">
        <v>756</v>
      </c>
      <c r="G388" s="3">
        <v>46051</v>
      </c>
      <c r="H388" s="2" t="s">
        <v>770</v>
      </c>
      <c r="I388" s="2" t="s">
        <v>755</v>
      </c>
      <c r="J388" s="2" t="s">
        <v>754</v>
      </c>
      <c r="K388" s="2" t="s">
        <v>753</v>
      </c>
      <c r="L388" s="6">
        <v>0</v>
      </c>
      <c r="M388" s="2" t="s">
        <v>752</v>
      </c>
      <c r="N388" s="7">
        <v>0</v>
      </c>
      <c r="O388" s="4">
        <v>0</v>
      </c>
      <c r="P388" s="4">
        <v>0</v>
      </c>
      <c r="Q388" s="6">
        <v>0</v>
      </c>
    </row>
    <row r="389" spans="1:17" x14ac:dyDescent="0.25">
      <c r="A389" s="2" t="s">
        <v>1003</v>
      </c>
      <c r="B389" s="2" t="s">
        <v>1000</v>
      </c>
      <c r="C389" s="2" t="s">
        <v>999</v>
      </c>
      <c r="D389" s="2" t="s">
        <v>758</v>
      </c>
      <c r="E389" s="2" t="s">
        <v>922</v>
      </c>
      <c r="F389" s="2" t="s">
        <v>921</v>
      </c>
      <c r="G389" s="3">
        <v>46051</v>
      </c>
      <c r="H389" s="2" t="s">
        <v>770</v>
      </c>
      <c r="I389" s="2" t="s">
        <v>755</v>
      </c>
      <c r="J389" s="2" t="s">
        <v>754</v>
      </c>
      <c r="K389" s="2" t="s">
        <v>753</v>
      </c>
      <c r="L389" s="6">
        <v>0</v>
      </c>
      <c r="M389" s="2" t="s">
        <v>752</v>
      </c>
      <c r="N389" s="7">
        <v>0</v>
      </c>
      <c r="O389" s="4">
        <v>0</v>
      </c>
      <c r="P389" s="4">
        <v>0</v>
      </c>
      <c r="Q389" s="6">
        <v>0</v>
      </c>
    </row>
    <row r="390" spans="1:17" x14ac:dyDescent="0.25">
      <c r="A390" s="2" t="s">
        <v>1003</v>
      </c>
      <c r="B390" s="2" t="s">
        <v>1000</v>
      </c>
      <c r="C390" s="2" t="s">
        <v>999</v>
      </c>
      <c r="D390" s="2" t="s">
        <v>758</v>
      </c>
      <c r="E390" s="2" t="s">
        <v>867</v>
      </c>
      <c r="F390" s="2" t="s">
        <v>866</v>
      </c>
      <c r="G390" s="3">
        <v>46051</v>
      </c>
      <c r="H390" s="2" t="s">
        <v>770</v>
      </c>
      <c r="I390" s="2" t="s">
        <v>755</v>
      </c>
      <c r="J390" s="2" t="s">
        <v>754</v>
      </c>
      <c r="K390" s="2" t="s">
        <v>753</v>
      </c>
      <c r="L390" s="6">
        <v>0</v>
      </c>
      <c r="M390" s="2" t="s">
        <v>752</v>
      </c>
      <c r="N390" s="7">
        <v>0</v>
      </c>
      <c r="O390" s="4">
        <v>0</v>
      </c>
      <c r="P390" s="4">
        <v>0</v>
      </c>
      <c r="Q390" s="6">
        <v>0</v>
      </c>
    </row>
    <row r="391" spans="1:17" x14ac:dyDescent="0.25">
      <c r="A391" s="2" t="s">
        <v>556</v>
      </c>
      <c r="B391" s="2" t="s">
        <v>103</v>
      </c>
      <c r="C391" s="2" t="s">
        <v>104</v>
      </c>
      <c r="D391" s="2" t="s">
        <v>758</v>
      </c>
      <c r="E391" s="2" t="s">
        <v>859</v>
      </c>
      <c r="F391" s="2" t="s">
        <v>858</v>
      </c>
      <c r="G391" s="3">
        <v>46085</v>
      </c>
      <c r="H391" s="2" t="s">
        <v>753</v>
      </c>
      <c r="I391" s="2" t="s">
        <v>755</v>
      </c>
      <c r="J391" s="2" t="s">
        <v>754</v>
      </c>
      <c r="K391" s="2" t="s">
        <v>753</v>
      </c>
      <c r="L391" s="6">
        <v>392</v>
      </c>
      <c r="M391" s="2" t="s">
        <v>752</v>
      </c>
      <c r="N391" s="7">
        <v>33.42</v>
      </c>
      <c r="O391" s="4">
        <v>13100.64</v>
      </c>
      <c r="P391" s="4">
        <v>13100.64</v>
      </c>
      <c r="Q391" s="6">
        <v>0</v>
      </c>
    </row>
    <row r="392" spans="1:17" x14ac:dyDescent="0.25">
      <c r="A392" s="2" t="s">
        <v>610</v>
      </c>
      <c r="B392" s="2" t="s">
        <v>29</v>
      </c>
      <c r="C392" s="2" t="s">
        <v>30</v>
      </c>
      <c r="D392" s="2" t="s">
        <v>758</v>
      </c>
      <c r="E392" s="2" t="s">
        <v>817</v>
      </c>
      <c r="F392" s="2" t="s">
        <v>937</v>
      </c>
      <c r="G392" s="3">
        <v>46065</v>
      </c>
      <c r="H392" s="2" t="s">
        <v>753</v>
      </c>
      <c r="I392" s="2" t="s">
        <v>755</v>
      </c>
      <c r="J392" s="2" t="s">
        <v>754</v>
      </c>
      <c r="K392" s="2" t="s">
        <v>753</v>
      </c>
      <c r="L392" s="6">
        <v>84</v>
      </c>
      <c r="M392" s="2" t="s">
        <v>752</v>
      </c>
      <c r="N392" s="7">
        <v>31.42</v>
      </c>
      <c r="O392" s="4">
        <v>2639.28</v>
      </c>
      <c r="P392" s="4">
        <v>2639.28</v>
      </c>
      <c r="Q392" s="6">
        <v>0</v>
      </c>
    </row>
    <row r="393" spans="1:17" x14ac:dyDescent="0.25">
      <c r="A393" s="2" t="s">
        <v>610</v>
      </c>
      <c r="B393" s="2" t="s">
        <v>29</v>
      </c>
      <c r="C393" s="2" t="s">
        <v>30</v>
      </c>
      <c r="D393" s="2" t="s">
        <v>758</v>
      </c>
      <c r="E393" s="2" t="s">
        <v>815</v>
      </c>
      <c r="F393" s="2" t="s">
        <v>814</v>
      </c>
      <c r="G393" s="3">
        <v>46065</v>
      </c>
      <c r="H393" s="2" t="s">
        <v>753</v>
      </c>
      <c r="I393" s="2" t="s">
        <v>755</v>
      </c>
      <c r="J393" s="2" t="s">
        <v>754</v>
      </c>
      <c r="K393" s="2" t="s">
        <v>753</v>
      </c>
      <c r="L393" s="6">
        <v>112</v>
      </c>
      <c r="M393" s="2" t="s">
        <v>752</v>
      </c>
      <c r="N393" s="7">
        <v>34</v>
      </c>
      <c r="O393" s="4">
        <v>3808</v>
      </c>
      <c r="P393" s="4">
        <v>3808</v>
      </c>
      <c r="Q393" s="6">
        <v>0</v>
      </c>
    </row>
    <row r="394" spans="1:17" x14ac:dyDescent="0.25">
      <c r="A394" s="2" t="s">
        <v>610</v>
      </c>
      <c r="B394" s="2" t="s">
        <v>29</v>
      </c>
      <c r="C394" s="2" t="s">
        <v>30</v>
      </c>
      <c r="D394" s="2" t="s">
        <v>758</v>
      </c>
      <c r="E394" s="2" t="s">
        <v>813</v>
      </c>
      <c r="F394" s="2" t="s">
        <v>812</v>
      </c>
      <c r="G394" s="3">
        <v>46065</v>
      </c>
      <c r="H394" s="2" t="s">
        <v>753</v>
      </c>
      <c r="I394" s="2" t="s">
        <v>755</v>
      </c>
      <c r="J394" s="2" t="s">
        <v>754</v>
      </c>
      <c r="K394" s="2" t="s">
        <v>753</v>
      </c>
      <c r="L394" s="6">
        <v>24</v>
      </c>
      <c r="M394" s="2" t="s">
        <v>752</v>
      </c>
      <c r="N394" s="7">
        <v>43.26</v>
      </c>
      <c r="O394" s="4">
        <v>1038.24</v>
      </c>
      <c r="P394" s="4">
        <v>1038.24</v>
      </c>
      <c r="Q394" s="6">
        <v>0</v>
      </c>
    </row>
    <row r="395" spans="1:17" x14ac:dyDescent="0.25">
      <c r="A395" s="2" t="s">
        <v>610</v>
      </c>
      <c r="B395" s="2" t="s">
        <v>29</v>
      </c>
      <c r="C395" s="2" t="s">
        <v>30</v>
      </c>
      <c r="D395" s="2" t="s">
        <v>758</v>
      </c>
      <c r="E395" s="2" t="s">
        <v>811</v>
      </c>
      <c r="F395" s="2" t="s">
        <v>810</v>
      </c>
      <c r="G395" s="3">
        <v>46065</v>
      </c>
      <c r="H395" s="2" t="s">
        <v>753</v>
      </c>
      <c r="I395" s="2" t="s">
        <v>755</v>
      </c>
      <c r="J395" s="2" t="s">
        <v>754</v>
      </c>
      <c r="K395" s="2" t="s">
        <v>753</v>
      </c>
      <c r="L395" s="6">
        <v>20</v>
      </c>
      <c r="M395" s="2" t="s">
        <v>752</v>
      </c>
      <c r="N395" s="7">
        <v>43.26</v>
      </c>
      <c r="O395" s="4">
        <v>865.2</v>
      </c>
      <c r="P395" s="4">
        <v>865.2</v>
      </c>
      <c r="Q395" s="6">
        <v>0</v>
      </c>
    </row>
    <row r="396" spans="1:17" x14ac:dyDescent="0.25">
      <c r="A396" s="2" t="s">
        <v>610</v>
      </c>
      <c r="B396" s="2" t="s">
        <v>29</v>
      </c>
      <c r="C396" s="2" t="s">
        <v>30</v>
      </c>
      <c r="D396" s="2" t="s">
        <v>758</v>
      </c>
      <c r="E396" s="2" t="s">
        <v>763</v>
      </c>
      <c r="F396" s="2" t="s">
        <v>762</v>
      </c>
      <c r="G396" s="3">
        <v>46065</v>
      </c>
      <c r="H396" s="2" t="s">
        <v>753</v>
      </c>
      <c r="I396" s="2" t="s">
        <v>755</v>
      </c>
      <c r="J396" s="2" t="s">
        <v>754</v>
      </c>
      <c r="K396" s="2" t="s">
        <v>753</v>
      </c>
      <c r="L396" s="6">
        <v>56</v>
      </c>
      <c r="M396" s="2" t="s">
        <v>752</v>
      </c>
      <c r="N396" s="7">
        <v>43.36</v>
      </c>
      <c r="O396" s="4">
        <v>2428.16</v>
      </c>
      <c r="P396" s="4">
        <v>2428.16</v>
      </c>
      <c r="Q396" s="6">
        <v>0</v>
      </c>
    </row>
    <row r="397" spans="1:17" x14ac:dyDescent="0.25">
      <c r="A397" s="2" t="s">
        <v>610</v>
      </c>
      <c r="B397" s="2" t="s">
        <v>29</v>
      </c>
      <c r="C397" s="2" t="s">
        <v>30</v>
      </c>
      <c r="D397" s="2" t="s">
        <v>758</v>
      </c>
      <c r="E397" s="2" t="s">
        <v>873</v>
      </c>
      <c r="F397" s="2" t="s">
        <v>872</v>
      </c>
      <c r="G397" s="3">
        <v>46065</v>
      </c>
      <c r="H397" s="2" t="s">
        <v>753</v>
      </c>
      <c r="I397" s="2" t="s">
        <v>755</v>
      </c>
      <c r="J397" s="2" t="s">
        <v>754</v>
      </c>
      <c r="K397" s="2" t="s">
        <v>753</v>
      </c>
      <c r="L397" s="6">
        <v>16</v>
      </c>
      <c r="M397" s="2" t="s">
        <v>752</v>
      </c>
      <c r="N397" s="7">
        <v>36.979999999999997</v>
      </c>
      <c r="O397" s="4">
        <v>591.67999999999995</v>
      </c>
      <c r="P397" s="4">
        <v>591.67999999999995</v>
      </c>
      <c r="Q397" s="6">
        <v>0</v>
      </c>
    </row>
    <row r="398" spans="1:17" x14ac:dyDescent="0.25">
      <c r="A398" s="2" t="s">
        <v>610</v>
      </c>
      <c r="B398" s="2" t="s">
        <v>29</v>
      </c>
      <c r="C398" s="2" t="s">
        <v>30</v>
      </c>
      <c r="D398" s="2" t="s">
        <v>758</v>
      </c>
      <c r="E398" s="2" t="s">
        <v>776</v>
      </c>
      <c r="F398" s="2" t="s">
        <v>775</v>
      </c>
      <c r="G398" s="3">
        <v>46065</v>
      </c>
      <c r="H398" s="2" t="s">
        <v>753</v>
      </c>
      <c r="I398" s="2" t="s">
        <v>755</v>
      </c>
      <c r="J398" s="2" t="s">
        <v>754</v>
      </c>
      <c r="K398" s="2" t="s">
        <v>753</v>
      </c>
      <c r="L398" s="6">
        <v>20</v>
      </c>
      <c r="M398" s="2" t="s">
        <v>752</v>
      </c>
      <c r="N398" s="7">
        <v>41.2</v>
      </c>
      <c r="O398" s="4">
        <v>824</v>
      </c>
      <c r="P398" s="4">
        <v>824</v>
      </c>
      <c r="Q398" s="6">
        <v>0</v>
      </c>
    </row>
    <row r="399" spans="1:17" x14ac:dyDescent="0.25">
      <c r="A399" s="2" t="s">
        <v>610</v>
      </c>
      <c r="B399" s="2" t="s">
        <v>29</v>
      </c>
      <c r="C399" s="2" t="s">
        <v>30</v>
      </c>
      <c r="D399" s="2" t="s">
        <v>758</v>
      </c>
      <c r="E399" s="2" t="s">
        <v>805</v>
      </c>
      <c r="F399" s="2" t="s">
        <v>804</v>
      </c>
      <c r="G399" s="3">
        <v>46065</v>
      </c>
      <c r="H399" s="2" t="s">
        <v>753</v>
      </c>
      <c r="I399" s="2" t="s">
        <v>755</v>
      </c>
      <c r="J399" s="2" t="s">
        <v>754</v>
      </c>
      <c r="K399" s="2" t="s">
        <v>753</v>
      </c>
      <c r="L399" s="6">
        <v>20</v>
      </c>
      <c r="M399" s="2" t="s">
        <v>752</v>
      </c>
      <c r="N399" s="7">
        <v>41</v>
      </c>
      <c r="O399" s="4">
        <v>820</v>
      </c>
      <c r="P399" s="4">
        <v>820</v>
      </c>
      <c r="Q399" s="6">
        <v>0</v>
      </c>
    </row>
    <row r="400" spans="1:17" x14ac:dyDescent="0.25">
      <c r="A400" s="2" t="s">
        <v>608</v>
      </c>
      <c r="B400" s="2" t="s">
        <v>103</v>
      </c>
      <c r="C400" s="2" t="s">
        <v>104</v>
      </c>
      <c r="D400" s="2" t="s">
        <v>758</v>
      </c>
      <c r="E400" s="2" t="s">
        <v>859</v>
      </c>
      <c r="F400" s="2" t="s">
        <v>858</v>
      </c>
      <c r="G400" s="3">
        <v>46065</v>
      </c>
      <c r="H400" s="2" t="s">
        <v>753</v>
      </c>
      <c r="I400" s="2" t="s">
        <v>755</v>
      </c>
      <c r="J400" s="2" t="s">
        <v>754</v>
      </c>
      <c r="K400" s="2" t="s">
        <v>753</v>
      </c>
      <c r="L400" s="6">
        <v>336</v>
      </c>
      <c r="M400" s="2" t="s">
        <v>752</v>
      </c>
      <c r="N400" s="7">
        <v>33.42</v>
      </c>
      <c r="O400" s="4">
        <v>11229.12</v>
      </c>
      <c r="P400" s="4">
        <v>11229.12</v>
      </c>
      <c r="Q400" s="6">
        <v>0</v>
      </c>
    </row>
    <row r="401" spans="1:17" x14ac:dyDescent="0.25">
      <c r="A401" s="2" t="s">
        <v>604</v>
      </c>
      <c r="B401" s="2" t="s">
        <v>99</v>
      </c>
      <c r="C401" s="2" t="s">
        <v>100</v>
      </c>
      <c r="D401" s="2" t="s">
        <v>758</v>
      </c>
      <c r="E401" s="2" t="s">
        <v>863</v>
      </c>
      <c r="F401" s="2" t="s">
        <v>862</v>
      </c>
      <c r="G401" s="3">
        <v>46070</v>
      </c>
      <c r="H401" s="2" t="s">
        <v>770</v>
      </c>
      <c r="I401" s="2" t="s">
        <v>755</v>
      </c>
      <c r="J401" s="2" t="s">
        <v>754</v>
      </c>
      <c r="K401" s="2" t="s">
        <v>753</v>
      </c>
      <c r="L401" s="6">
        <v>128</v>
      </c>
      <c r="M401" s="2" t="s">
        <v>752</v>
      </c>
      <c r="N401" s="7">
        <v>33.299999999999997</v>
      </c>
      <c r="O401" s="4">
        <v>4262.3999999999996</v>
      </c>
      <c r="P401" s="4">
        <v>4262.3999999999996</v>
      </c>
      <c r="Q401" s="6">
        <v>0</v>
      </c>
    </row>
    <row r="402" spans="1:17" x14ac:dyDescent="0.25">
      <c r="A402" s="2" t="s">
        <v>604</v>
      </c>
      <c r="B402" s="2" t="s">
        <v>99</v>
      </c>
      <c r="C402" s="2" t="s">
        <v>100</v>
      </c>
      <c r="D402" s="2" t="s">
        <v>758</v>
      </c>
      <c r="E402" s="2" t="s">
        <v>763</v>
      </c>
      <c r="F402" s="2" t="s">
        <v>762</v>
      </c>
      <c r="G402" s="3">
        <v>46070</v>
      </c>
      <c r="H402" s="2" t="s">
        <v>770</v>
      </c>
      <c r="I402" s="2" t="s">
        <v>755</v>
      </c>
      <c r="J402" s="2" t="s">
        <v>754</v>
      </c>
      <c r="K402" s="2" t="s">
        <v>753</v>
      </c>
      <c r="L402" s="6">
        <v>320</v>
      </c>
      <c r="M402" s="2" t="s">
        <v>752</v>
      </c>
      <c r="N402" s="7">
        <v>36.82</v>
      </c>
      <c r="O402" s="4">
        <v>11782.4</v>
      </c>
      <c r="P402" s="4">
        <v>11782.4</v>
      </c>
      <c r="Q402" s="6">
        <v>0</v>
      </c>
    </row>
    <row r="403" spans="1:17" x14ac:dyDescent="0.25">
      <c r="A403" s="2" t="s">
        <v>604</v>
      </c>
      <c r="B403" s="2" t="s">
        <v>99</v>
      </c>
      <c r="C403" s="2" t="s">
        <v>100</v>
      </c>
      <c r="D403" s="2" t="s">
        <v>758</v>
      </c>
      <c r="E403" s="2" t="s">
        <v>861</v>
      </c>
      <c r="F403" s="2" t="s">
        <v>860</v>
      </c>
      <c r="G403" s="3">
        <v>46070</v>
      </c>
      <c r="H403" s="2" t="s">
        <v>770</v>
      </c>
      <c r="I403" s="2" t="s">
        <v>755</v>
      </c>
      <c r="J403" s="2" t="s">
        <v>754</v>
      </c>
      <c r="K403" s="2" t="s">
        <v>753</v>
      </c>
      <c r="L403" s="6">
        <v>144</v>
      </c>
      <c r="M403" s="2" t="s">
        <v>752</v>
      </c>
      <c r="N403" s="7">
        <v>39.700000000000003</v>
      </c>
      <c r="O403" s="4">
        <v>5716.8</v>
      </c>
      <c r="P403" s="4">
        <v>5716.8</v>
      </c>
      <c r="Q403" s="6">
        <v>0</v>
      </c>
    </row>
    <row r="404" spans="1:17" x14ac:dyDescent="0.25">
      <c r="A404" s="2" t="s">
        <v>604</v>
      </c>
      <c r="B404" s="2" t="s">
        <v>99</v>
      </c>
      <c r="C404" s="2" t="s">
        <v>100</v>
      </c>
      <c r="D404" s="2" t="s">
        <v>758</v>
      </c>
      <c r="E404" s="2" t="s">
        <v>757</v>
      </c>
      <c r="F404" s="2" t="s">
        <v>756</v>
      </c>
      <c r="G404" s="3">
        <v>46070</v>
      </c>
      <c r="H404" s="2" t="s">
        <v>770</v>
      </c>
      <c r="I404" s="2" t="s">
        <v>755</v>
      </c>
      <c r="J404" s="2" t="s">
        <v>754</v>
      </c>
      <c r="K404" s="2" t="s">
        <v>753</v>
      </c>
      <c r="L404" s="6">
        <v>240</v>
      </c>
      <c r="M404" s="2" t="s">
        <v>752</v>
      </c>
      <c r="N404" s="7">
        <v>39.700000000000003</v>
      </c>
      <c r="O404" s="4">
        <v>9528</v>
      </c>
      <c r="P404" s="4">
        <v>9528</v>
      </c>
      <c r="Q404" s="6">
        <v>0</v>
      </c>
    </row>
    <row r="405" spans="1:17" x14ac:dyDescent="0.25">
      <c r="A405" s="2" t="s">
        <v>606</v>
      </c>
      <c r="B405" s="2" t="s">
        <v>21</v>
      </c>
      <c r="C405" s="2" t="s">
        <v>22</v>
      </c>
      <c r="D405" s="2" t="s">
        <v>758</v>
      </c>
      <c r="E405" s="2" t="s">
        <v>763</v>
      </c>
      <c r="F405" s="2" t="s">
        <v>762</v>
      </c>
      <c r="G405" s="3">
        <v>46065</v>
      </c>
      <c r="H405" s="2" t="s">
        <v>753</v>
      </c>
      <c r="I405" s="2" t="s">
        <v>755</v>
      </c>
      <c r="J405" s="2" t="s">
        <v>754</v>
      </c>
      <c r="K405" s="2" t="s">
        <v>753</v>
      </c>
      <c r="L405" s="6">
        <v>364</v>
      </c>
      <c r="M405" s="2" t="s">
        <v>752</v>
      </c>
      <c r="N405" s="7">
        <v>42.6</v>
      </c>
      <c r="O405" s="4">
        <v>15506.4</v>
      </c>
      <c r="P405" s="4">
        <v>15506.4</v>
      </c>
      <c r="Q405" s="6">
        <v>0</v>
      </c>
    </row>
    <row r="406" spans="1:17" x14ac:dyDescent="0.25">
      <c r="A406" s="2" t="s">
        <v>606</v>
      </c>
      <c r="B406" s="2" t="s">
        <v>21</v>
      </c>
      <c r="C406" s="2" t="s">
        <v>22</v>
      </c>
      <c r="D406" s="2" t="s">
        <v>758</v>
      </c>
      <c r="E406" s="2" t="s">
        <v>794</v>
      </c>
      <c r="F406" s="2" t="s">
        <v>793</v>
      </c>
      <c r="G406" s="3">
        <v>46065</v>
      </c>
      <c r="H406" s="2" t="s">
        <v>753</v>
      </c>
      <c r="I406" s="2" t="s">
        <v>755</v>
      </c>
      <c r="J406" s="2" t="s">
        <v>754</v>
      </c>
      <c r="K406" s="2" t="s">
        <v>753</v>
      </c>
      <c r="L406" s="6">
        <v>28</v>
      </c>
      <c r="M406" s="2" t="s">
        <v>752</v>
      </c>
      <c r="N406" s="7">
        <v>40.619999999999997</v>
      </c>
      <c r="O406" s="4">
        <v>1137.3599999999999</v>
      </c>
      <c r="P406" s="4">
        <v>1137.3599999999999</v>
      </c>
      <c r="Q406" s="6">
        <v>0</v>
      </c>
    </row>
    <row r="407" spans="1:17" x14ac:dyDescent="0.25">
      <c r="A407" s="2" t="s">
        <v>606</v>
      </c>
      <c r="B407" s="2" t="s">
        <v>21</v>
      </c>
      <c r="C407" s="2" t="s">
        <v>22</v>
      </c>
      <c r="D407" s="2" t="s">
        <v>758</v>
      </c>
      <c r="E407" s="2" t="s">
        <v>790</v>
      </c>
      <c r="F407" s="2" t="s">
        <v>789</v>
      </c>
      <c r="G407" s="3">
        <v>46065</v>
      </c>
      <c r="H407" s="2" t="s">
        <v>753</v>
      </c>
      <c r="I407" s="2" t="s">
        <v>755</v>
      </c>
      <c r="J407" s="2" t="s">
        <v>754</v>
      </c>
      <c r="K407" s="2" t="s">
        <v>753</v>
      </c>
      <c r="L407" s="6">
        <v>56</v>
      </c>
      <c r="M407" s="2" t="s">
        <v>752</v>
      </c>
      <c r="N407" s="7">
        <v>39.25</v>
      </c>
      <c r="O407" s="4">
        <v>2198</v>
      </c>
      <c r="P407" s="4">
        <v>2198</v>
      </c>
      <c r="Q407" s="6">
        <v>0</v>
      </c>
    </row>
    <row r="408" spans="1:17" x14ac:dyDescent="0.25">
      <c r="A408" s="2" t="s">
        <v>606</v>
      </c>
      <c r="B408" s="2" t="s">
        <v>21</v>
      </c>
      <c r="C408" s="2" t="s">
        <v>22</v>
      </c>
      <c r="D408" s="2" t="s">
        <v>758</v>
      </c>
      <c r="E408" s="2" t="s">
        <v>772</v>
      </c>
      <c r="F408" s="2" t="s">
        <v>771</v>
      </c>
      <c r="G408" s="3">
        <v>46065</v>
      </c>
      <c r="H408" s="2" t="s">
        <v>753</v>
      </c>
      <c r="I408" s="2" t="s">
        <v>755</v>
      </c>
      <c r="J408" s="2" t="s">
        <v>754</v>
      </c>
      <c r="K408" s="2" t="s">
        <v>753</v>
      </c>
      <c r="L408" s="6">
        <v>0</v>
      </c>
      <c r="M408" s="2" t="s">
        <v>752</v>
      </c>
      <c r="N408" s="7">
        <v>34.5</v>
      </c>
      <c r="O408" s="4">
        <v>0</v>
      </c>
      <c r="P408" s="4">
        <v>0</v>
      </c>
      <c r="Q408" s="6">
        <v>0</v>
      </c>
    </row>
    <row r="409" spans="1:17" x14ac:dyDescent="0.25">
      <c r="A409" s="2" t="s">
        <v>606</v>
      </c>
      <c r="B409" s="2" t="s">
        <v>21</v>
      </c>
      <c r="C409" s="2" t="s">
        <v>22</v>
      </c>
      <c r="D409" s="2" t="s">
        <v>758</v>
      </c>
      <c r="E409" s="2" t="s">
        <v>786</v>
      </c>
      <c r="F409" s="2" t="s">
        <v>785</v>
      </c>
      <c r="G409" s="3">
        <v>46065</v>
      </c>
      <c r="H409" s="2" t="s">
        <v>753</v>
      </c>
      <c r="I409" s="2" t="s">
        <v>755</v>
      </c>
      <c r="J409" s="2" t="s">
        <v>754</v>
      </c>
      <c r="K409" s="2" t="s">
        <v>753</v>
      </c>
      <c r="L409" s="6">
        <v>112</v>
      </c>
      <c r="M409" s="2" t="s">
        <v>752</v>
      </c>
      <c r="N409" s="7">
        <v>35</v>
      </c>
      <c r="O409" s="4">
        <v>3920</v>
      </c>
      <c r="P409" s="4">
        <v>3920</v>
      </c>
      <c r="Q409" s="6">
        <v>0</v>
      </c>
    </row>
    <row r="410" spans="1:17" x14ac:dyDescent="0.25">
      <c r="A410" s="2" t="s">
        <v>606</v>
      </c>
      <c r="B410" s="2" t="s">
        <v>21</v>
      </c>
      <c r="C410" s="2" t="s">
        <v>22</v>
      </c>
      <c r="D410" s="2" t="s">
        <v>758</v>
      </c>
      <c r="E410" s="2" t="s">
        <v>776</v>
      </c>
      <c r="F410" s="2" t="s">
        <v>775</v>
      </c>
      <c r="G410" s="3">
        <v>46065</v>
      </c>
      <c r="H410" s="2" t="s">
        <v>753</v>
      </c>
      <c r="I410" s="2" t="s">
        <v>755</v>
      </c>
      <c r="J410" s="2" t="s">
        <v>754</v>
      </c>
      <c r="K410" s="2" t="s">
        <v>753</v>
      </c>
      <c r="L410" s="6">
        <v>16</v>
      </c>
      <c r="M410" s="2" t="s">
        <v>752</v>
      </c>
      <c r="N410" s="7">
        <v>43.82</v>
      </c>
      <c r="O410" s="4">
        <v>701.12</v>
      </c>
      <c r="P410" s="4">
        <v>701.12</v>
      </c>
      <c r="Q410" s="6">
        <v>0</v>
      </c>
    </row>
    <row r="411" spans="1:17" x14ac:dyDescent="0.25">
      <c r="A411" s="2" t="s">
        <v>606</v>
      </c>
      <c r="B411" s="2" t="s">
        <v>21</v>
      </c>
      <c r="C411" s="2" t="s">
        <v>22</v>
      </c>
      <c r="D411" s="2" t="s">
        <v>758</v>
      </c>
      <c r="E411" s="2" t="s">
        <v>788</v>
      </c>
      <c r="F411" s="2" t="s">
        <v>787</v>
      </c>
      <c r="G411" s="3">
        <v>46065</v>
      </c>
      <c r="H411" s="2" t="s">
        <v>753</v>
      </c>
      <c r="I411" s="2" t="s">
        <v>755</v>
      </c>
      <c r="J411" s="2" t="s">
        <v>754</v>
      </c>
      <c r="K411" s="2" t="s">
        <v>753</v>
      </c>
      <c r="L411" s="6">
        <v>24</v>
      </c>
      <c r="M411" s="2" t="s">
        <v>752</v>
      </c>
      <c r="N411" s="7">
        <v>38.299999999999997</v>
      </c>
      <c r="O411" s="4">
        <v>919.2</v>
      </c>
      <c r="P411" s="4">
        <v>919.2</v>
      </c>
      <c r="Q411" s="6">
        <v>0</v>
      </c>
    </row>
    <row r="412" spans="1:17" x14ac:dyDescent="0.25">
      <c r="A412" s="2" t="s">
        <v>1002</v>
      </c>
      <c r="B412" s="2" t="s">
        <v>760</v>
      </c>
      <c r="C412" s="2" t="s">
        <v>759</v>
      </c>
      <c r="D412" s="2" t="s">
        <v>758</v>
      </c>
      <c r="E412" s="2" t="s">
        <v>757</v>
      </c>
      <c r="F412" s="2" t="s">
        <v>756</v>
      </c>
      <c r="G412" s="3">
        <v>46062</v>
      </c>
      <c r="H412" s="2" t="s">
        <v>753</v>
      </c>
      <c r="I412" s="2" t="s">
        <v>755</v>
      </c>
      <c r="J412" s="2" t="s">
        <v>754</v>
      </c>
      <c r="K412" s="2" t="s">
        <v>753</v>
      </c>
      <c r="L412" s="6">
        <v>9</v>
      </c>
      <c r="M412" s="2" t="s">
        <v>752</v>
      </c>
      <c r="N412" s="7">
        <v>0.01</v>
      </c>
      <c r="O412" s="4">
        <v>0</v>
      </c>
      <c r="P412" s="4">
        <v>0</v>
      </c>
      <c r="Q412" s="6">
        <v>100</v>
      </c>
    </row>
    <row r="413" spans="1:17" x14ac:dyDescent="0.25">
      <c r="A413" s="2" t="s">
        <v>1002</v>
      </c>
      <c r="B413" s="2" t="s">
        <v>760</v>
      </c>
      <c r="C413" s="2" t="s">
        <v>759</v>
      </c>
      <c r="D413" s="2" t="s">
        <v>758</v>
      </c>
      <c r="E413" s="2" t="s">
        <v>778</v>
      </c>
      <c r="F413" s="2" t="s">
        <v>997</v>
      </c>
      <c r="G413" s="3">
        <v>46062</v>
      </c>
      <c r="H413" s="2" t="s">
        <v>753</v>
      </c>
      <c r="I413" s="2" t="s">
        <v>755</v>
      </c>
      <c r="J413" s="2" t="s">
        <v>754</v>
      </c>
      <c r="K413" s="2" t="s">
        <v>753</v>
      </c>
      <c r="L413" s="6">
        <v>4</v>
      </c>
      <c r="M413" s="2" t="s">
        <v>752</v>
      </c>
      <c r="N413" s="7">
        <v>0</v>
      </c>
      <c r="O413" s="4">
        <v>0</v>
      </c>
      <c r="P413" s="4">
        <v>0</v>
      </c>
      <c r="Q413" s="6">
        <v>0</v>
      </c>
    </row>
    <row r="414" spans="1:17" x14ac:dyDescent="0.25">
      <c r="A414" s="2" t="s">
        <v>1001</v>
      </c>
      <c r="B414" s="2" t="s">
        <v>1000</v>
      </c>
      <c r="C414" s="2" t="s">
        <v>999</v>
      </c>
      <c r="D414" s="2" t="s">
        <v>758</v>
      </c>
      <c r="E414" s="2" t="s">
        <v>757</v>
      </c>
      <c r="F414" s="2" t="s">
        <v>756</v>
      </c>
      <c r="G414" s="3">
        <v>46056</v>
      </c>
      <c r="H414" s="2" t="s">
        <v>770</v>
      </c>
      <c r="I414" s="2" t="s">
        <v>755</v>
      </c>
      <c r="J414" s="2" t="s">
        <v>754</v>
      </c>
      <c r="K414" s="2" t="s">
        <v>753</v>
      </c>
      <c r="L414" s="6">
        <v>0</v>
      </c>
      <c r="M414" s="2" t="s">
        <v>752</v>
      </c>
      <c r="N414" s="7">
        <v>0</v>
      </c>
      <c r="O414" s="4">
        <v>0</v>
      </c>
      <c r="P414" s="4">
        <v>0</v>
      </c>
      <c r="Q414" s="6">
        <v>0</v>
      </c>
    </row>
    <row r="415" spans="1:17" x14ac:dyDescent="0.25">
      <c r="A415" s="2" t="s">
        <v>1001</v>
      </c>
      <c r="B415" s="2" t="s">
        <v>1000</v>
      </c>
      <c r="C415" s="2" t="s">
        <v>999</v>
      </c>
      <c r="D415" s="2" t="s">
        <v>758</v>
      </c>
      <c r="E415" s="2" t="s">
        <v>867</v>
      </c>
      <c r="F415" s="2" t="s">
        <v>866</v>
      </c>
      <c r="G415" s="3">
        <v>46056</v>
      </c>
      <c r="H415" s="2" t="s">
        <v>770</v>
      </c>
      <c r="I415" s="2" t="s">
        <v>755</v>
      </c>
      <c r="J415" s="2" t="s">
        <v>754</v>
      </c>
      <c r="K415" s="2" t="s">
        <v>753</v>
      </c>
      <c r="L415" s="6">
        <v>0</v>
      </c>
      <c r="M415" s="2" t="s">
        <v>752</v>
      </c>
      <c r="N415" s="7">
        <v>0</v>
      </c>
      <c r="O415" s="4">
        <v>0</v>
      </c>
      <c r="P415" s="4">
        <v>0</v>
      </c>
      <c r="Q415" s="6">
        <v>0</v>
      </c>
    </row>
    <row r="416" spans="1:17" x14ac:dyDescent="0.25">
      <c r="A416" s="2" t="s">
        <v>594</v>
      </c>
      <c r="B416" s="2" t="s">
        <v>595</v>
      </c>
      <c r="C416" s="2" t="s">
        <v>998</v>
      </c>
      <c r="D416" s="2" t="s">
        <v>758</v>
      </c>
      <c r="E416" s="2" t="s">
        <v>920</v>
      </c>
      <c r="F416" s="2" t="s">
        <v>919</v>
      </c>
      <c r="G416" s="3">
        <v>46072</v>
      </c>
      <c r="H416" s="2" t="s">
        <v>753</v>
      </c>
      <c r="I416" s="2" t="s">
        <v>755</v>
      </c>
      <c r="J416" s="2" t="s">
        <v>754</v>
      </c>
      <c r="K416" s="2" t="s">
        <v>753</v>
      </c>
      <c r="L416" s="6">
        <v>24</v>
      </c>
      <c r="M416" s="2" t="s">
        <v>752</v>
      </c>
      <c r="N416" s="7">
        <v>28.88</v>
      </c>
      <c r="O416" s="4">
        <v>693.12</v>
      </c>
      <c r="P416" s="4">
        <v>693.12</v>
      </c>
      <c r="Q416" s="6">
        <v>0</v>
      </c>
    </row>
    <row r="417" spans="1:17" x14ac:dyDescent="0.25">
      <c r="A417" s="2" t="s">
        <v>594</v>
      </c>
      <c r="B417" s="2" t="s">
        <v>595</v>
      </c>
      <c r="C417" s="2" t="s">
        <v>998</v>
      </c>
      <c r="D417" s="2" t="s">
        <v>758</v>
      </c>
      <c r="E417" s="2" t="s">
        <v>894</v>
      </c>
      <c r="F417" s="2" t="s">
        <v>893</v>
      </c>
      <c r="G417" s="3">
        <v>46072</v>
      </c>
      <c r="H417" s="2" t="s">
        <v>753</v>
      </c>
      <c r="I417" s="2" t="s">
        <v>755</v>
      </c>
      <c r="J417" s="2" t="s">
        <v>754</v>
      </c>
      <c r="K417" s="2" t="s">
        <v>753</v>
      </c>
      <c r="L417" s="6">
        <v>196</v>
      </c>
      <c r="M417" s="2" t="s">
        <v>752</v>
      </c>
      <c r="N417" s="7">
        <v>28.33</v>
      </c>
      <c r="O417" s="4">
        <v>5552.68</v>
      </c>
      <c r="P417" s="4">
        <v>5552.68</v>
      </c>
      <c r="Q417" s="6">
        <v>0</v>
      </c>
    </row>
    <row r="418" spans="1:17" x14ac:dyDescent="0.25">
      <c r="A418" s="2" t="s">
        <v>594</v>
      </c>
      <c r="B418" s="2" t="s">
        <v>595</v>
      </c>
      <c r="C418" s="2" t="s">
        <v>998</v>
      </c>
      <c r="D418" s="2" t="s">
        <v>758</v>
      </c>
      <c r="E418" s="2" t="s">
        <v>794</v>
      </c>
      <c r="F418" s="2" t="s">
        <v>793</v>
      </c>
      <c r="G418" s="3">
        <v>46072</v>
      </c>
      <c r="H418" s="2" t="s">
        <v>753</v>
      </c>
      <c r="I418" s="2" t="s">
        <v>755</v>
      </c>
      <c r="J418" s="2" t="s">
        <v>754</v>
      </c>
      <c r="K418" s="2" t="s">
        <v>753</v>
      </c>
      <c r="L418" s="6">
        <v>240</v>
      </c>
      <c r="M418" s="2" t="s">
        <v>752</v>
      </c>
      <c r="N418" s="7">
        <v>28.49</v>
      </c>
      <c r="O418" s="4">
        <v>6837.6</v>
      </c>
      <c r="P418" s="4">
        <v>6837.6</v>
      </c>
      <c r="Q418" s="6">
        <v>0</v>
      </c>
    </row>
    <row r="419" spans="1:17" x14ac:dyDescent="0.25">
      <c r="A419" s="2" t="s">
        <v>594</v>
      </c>
      <c r="B419" s="2" t="s">
        <v>595</v>
      </c>
      <c r="C419" s="2" t="s">
        <v>998</v>
      </c>
      <c r="D419" s="2" t="s">
        <v>758</v>
      </c>
      <c r="E419" s="2" t="s">
        <v>845</v>
      </c>
      <c r="F419" s="2" t="s">
        <v>844</v>
      </c>
      <c r="G419" s="3">
        <v>46072</v>
      </c>
      <c r="H419" s="2" t="s">
        <v>753</v>
      </c>
      <c r="I419" s="2" t="s">
        <v>755</v>
      </c>
      <c r="J419" s="2" t="s">
        <v>754</v>
      </c>
      <c r="K419" s="2" t="s">
        <v>753</v>
      </c>
      <c r="L419" s="6">
        <v>84</v>
      </c>
      <c r="M419" s="2" t="s">
        <v>752</v>
      </c>
      <c r="N419" s="7">
        <v>28.49</v>
      </c>
      <c r="O419" s="4">
        <v>2393.16</v>
      </c>
      <c r="P419" s="4">
        <v>2393.16</v>
      </c>
      <c r="Q419" s="6">
        <v>0</v>
      </c>
    </row>
    <row r="420" spans="1:17" x14ac:dyDescent="0.25">
      <c r="A420" s="2" t="s">
        <v>594</v>
      </c>
      <c r="B420" s="2" t="s">
        <v>595</v>
      </c>
      <c r="C420" s="2" t="s">
        <v>998</v>
      </c>
      <c r="D420" s="2" t="s">
        <v>758</v>
      </c>
      <c r="E420" s="2" t="s">
        <v>843</v>
      </c>
      <c r="F420" s="2" t="s">
        <v>842</v>
      </c>
      <c r="G420" s="3">
        <v>46072</v>
      </c>
      <c r="H420" s="2" t="s">
        <v>753</v>
      </c>
      <c r="I420" s="2" t="s">
        <v>755</v>
      </c>
      <c r="J420" s="2" t="s">
        <v>754</v>
      </c>
      <c r="K420" s="2" t="s">
        <v>753</v>
      </c>
      <c r="L420" s="6">
        <v>32</v>
      </c>
      <c r="M420" s="2" t="s">
        <v>752</v>
      </c>
      <c r="N420" s="7">
        <v>28.49</v>
      </c>
      <c r="O420" s="4">
        <v>911.68</v>
      </c>
      <c r="P420" s="4">
        <v>911.68</v>
      </c>
      <c r="Q420" s="6">
        <v>0</v>
      </c>
    </row>
    <row r="421" spans="1:17" x14ac:dyDescent="0.25">
      <c r="A421" s="2" t="s">
        <v>594</v>
      </c>
      <c r="B421" s="2" t="s">
        <v>595</v>
      </c>
      <c r="C421" s="2" t="s">
        <v>998</v>
      </c>
      <c r="D421" s="2" t="s">
        <v>758</v>
      </c>
      <c r="E421" s="2" t="s">
        <v>841</v>
      </c>
      <c r="F421" s="2" t="s">
        <v>840</v>
      </c>
      <c r="G421" s="3">
        <v>46072</v>
      </c>
      <c r="H421" s="2" t="s">
        <v>753</v>
      </c>
      <c r="I421" s="2" t="s">
        <v>755</v>
      </c>
      <c r="J421" s="2" t="s">
        <v>754</v>
      </c>
      <c r="K421" s="2" t="s">
        <v>753</v>
      </c>
      <c r="L421" s="6">
        <v>64</v>
      </c>
      <c r="M421" s="2" t="s">
        <v>752</v>
      </c>
      <c r="N421" s="7">
        <v>28.49</v>
      </c>
      <c r="O421" s="4">
        <v>1823.36</v>
      </c>
      <c r="P421" s="4">
        <v>1823.36</v>
      </c>
      <c r="Q421" s="6">
        <v>0</v>
      </c>
    </row>
    <row r="422" spans="1:17" x14ac:dyDescent="0.25">
      <c r="A422" s="2" t="s">
        <v>594</v>
      </c>
      <c r="B422" s="2" t="s">
        <v>595</v>
      </c>
      <c r="C422" s="2" t="s">
        <v>998</v>
      </c>
      <c r="D422" s="2" t="s">
        <v>758</v>
      </c>
      <c r="E422" s="2" t="s">
        <v>786</v>
      </c>
      <c r="F422" s="2" t="s">
        <v>785</v>
      </c>
      <c r="G422" s="3">
        <v>46072</v>
      </c>
      <c r="H422" s="2" t="s">
        <v>753</v>
      </c>
      <c r="I422" s="2" t="s">
        <v>755</v>
      </c>
      <c r="J422" s="2" t="s">
        <v>754</v>
      </c>
      <c r="K422" s="2" t="s">
        <v>753</v>
      </c>
      <c r="L422" s="6">
        <v>168</v>
      </c>
      <c r="M422" s="2" t="s">
        <v>752</v>
      </c>
      <c r="N422" s="7">
        <v>25.25</v>
      </c>
      <c r="O422" s="4">
        <v>4242</v>
      </c>
      <c r="P422" s="4">
        <v>4242</v>
      </c>
      <c r="Q422" s="6">
        <v>0</v>
      </c>
    </row>
    <row r="423" spans="1:17" x14ac:dyDescent="0.25">
      <c r="A423" s="2" t="s">
        <v>594</v>
      </c>
      <c r="B423" s="2" t="s">
        <v>595</v>
      </c>
      <c r="C423" s="2" t="s">
        <v>998</v>
      </c>
      <c r="D423" s="2" t="s">
        <v>758</v>
      </c>
      <c r="E423" s="2" t="s">
        <v>776</v>
      </c>
      <c r="F423" s="2" t="s">
        <v>775</v>
      </c>
      <c r="G423" s="3">
        <v>46072</v>
      </c>
      <c r="H423" s="2" t="s">
        <v>753</v>
      </c>
      <c r="I423" s="2" t="s">
        <v>755</v>
      </c>
      <c r="J423" s="2" t="s">
        <v>754</v>
      </c>
      <c r="K423" s="2" t="s">
        <v>753</v>
      </c>
      <c r="L423" s="6">
        <v>24</v>
      </c>
      <c r="M423" s="2" t="s">
        <v>752</v>
      </c>
      <c r="N423" s="7">
        <v>37.950000000000003</v>
      </c>
      <c r="O423" s="4">
        <v>910.8</v>
      </c>
      <c r="P423" s="4">
        <v>910.8</v>
      </c>
      <c r="Q423" s="6">
        <v>0</v>
      </c>
    </row>
    <row r="424" spans="1:17" x14ac:dyDescent="0.25">
      <c r="A424" s="2" t="s">
        <v>614</v>
      </c>
      <c r="B424" s="2" t="s">
        <v>25</v>
      </c>
      <c r="C424" s="2" t="s">
        <v>26</v>
      </c>
      <c r="D424" s="2" t="s">
        <v>758</v>
      </c>
      <c r="E424" s="2" t="s">
        <v>865</v>
      </c>
      <c r="F424" s="2" t="s">
        <v>864</v>
      </c>
      <c r="G424" s="3">
        <v>46064</v>
      </c>
      <c r="H424" s="2" t="s">
        <v>753</v>
      </c>
      <c r="I424" s="2" t="s">
        <v>755</v>
      </c>
      <c r="J424" s="2" t="s">
        <v>754</v>
      </c>
      <c r="K424" s="2" t="s">
        <v>753</v>
      </c>
      <c r="L424" s="6">
        <v>76</v>
      </c>
      <c r="M424" s="2" t="s">
        <v>752</v>
      </c>
      <c r="N424" s="7">
        <v>39</v>
      </c>
      <c r="O424" s="4">
        <v>2964</v>
      </c>
      <c r="P424" s="4">
        <v>2964</v>
      </c>
      <c r="Q424" s="6">
        <v>0</v>
      </c>
    </row>
    <row r="425" spans="1:17" x14ac:dyDescent="0.25">
      <c r="A425" s="2" t="s">
        <v>614</v>
      </c>
      <c r="B425" s="2" t="s">
        <v>25</v>
      </c>
      <c r="C425" s="2" t="s">
        <v>26</v>
      </c>
      <c r="D425" s="2" t="s">
        <v>758</v>
      </c>
      <c r="E425" s="2" t="s">
        <v>835</v>
      </c>
      <c r="F425" s="2" t="s">
        <v>834</v>
      </c>
      <c r="G425" s="3">
        <v>46064</v>
      </c>
      <c r="H425" s="2" t="s">
        <v>753</v>
      </c>
      <c r="I425" s="2" t="s">
        <v>755</v>
      </c>
      <c r="J425" s="2" t="s">
        <v>754</v>
      </c>
      <c r="K425" s="2" t="s">
        <v>753</v>
      </c>
      <c r="L425" s="6">
        <v>12</v>
      </c>
      <c r="M425" s="2" t="s">
        <v>752</v>
      </c>
      <c r="N425" s="7">
        <v>64</v>
      </c>
      <c r="O425" s="4">
        <v>768</v>
      </c>
      <c r="P425" s="4">
        <v>768</v>
      </c>
      <c r="Q425" s="6">
        <v>0</v>
      </c>
    </row>
    <row r="426" spans="1:17" x14ac:dyDescent="0.25">
      <c r="A426" s="2" t="s">
        <v>614</v>
      </c>
      <c r="B426" s="2" t="s">
        <v>25</v>
      </c>
      <c r="C426" s="2" t="s">
        <v>26</v>
      </c>
      <c r="D426" s="2" t="s">
        <v>758</v>
      </c>
      <c r="E426" s="2" t="s">
        <v>831</v>
      </c>
      <c r="F426" s="2" t="s">
        <v>830</v>
      </c>
      <c r="G426" s="3">
        <v>46064</v>
      </c>
      <c r="H426" s="2" t="s">
        <v>753</v>
      </c>
      <c r="I426" s="2" t="s">
        <v>755</v>
      </c>
      <c r="J426" s="2" t="s">
        <v>754</v>
      </c>
      <c r="K426" s="2" t="s">
        <v>753</v>
      </c>
      <c r="L426" s="6">
        <v>48</v>
      </c>
      <c r="M426" s="2" t="s">
        <v>752</v>
      </c>
      <c r="N426" s="7">
        <v>56</v>
      </c>
      <c r="O426" s="4">
        <v>2688</v>
      </c>
      <c r="P426" s="4">
        <v>2688</v>
      </c>
      <c r="Q426" s="6">
        <v>0</v>
      </c>
    </row>
    <row r="427" spans="1:17" x14ac:dyDescent="0.25">
      <c r="A427" s="2" t="s">
        <v>614</v>
      </c>
      <c r="B427" s="2" t="s">
        <v>25</v>
      </c>
      <c r="C427" s="2" t="s">
        <v>26</v>
      </c>
      <c r="D427" s="2" t="s">
        <v>758</v>
      </c>
      <c r="E427" s="2" t="s">
        <v>786</v>
      </c>
      <c r="F427" s="2" t="s">
        <v>785</v>
      </c>
      <c r="G427" s="3">
        <v>46064</v>
      </c>
      <c r="H427" s="2" t="s">
        <v>753</v>
      </c>
      <c r="I427" s="2" t="s">
        <v>755</v>
      </c>
      <c r="J427" s="2" t="s">
        <v>754</v>
      </c>
      <c r="K427" s="2" t="s">
        <v>753</v>
      </c>
      <c r="L427" s="6">
        <v>16</v>
      </c>
      <c r="M427" s="2" t="s">
        <v>752</v>
      </c>
      <c r="N427" s="7">
        <v>39</v>
      </c>
      <c r="O427" s="4">
        <v>624</v>
      </c>
      <c r="P427" s="4">
        <v>624</v>
      </c>
      <c r="Q427" s="6">
        <v>0</v>
      </c>
    </row>
    <row r="428" spans="1:17" x14ac:dyDescent="0.25">
      <c r="A428" s="2" t="s">
        <v>614</v>
      </c>
      <c r="B428" s="2" t="s">
        <v>25</v>
      </c>
      <c r="C428" s="2" t="s">
        <v>26</v>
      </c>
      <c r="D428" s="2" t="s">
        <v>758</v>
      </c>
      <c r="E428" s="2" t="s">
        <v>890</v>
      </c>
      <c r="F428" s="2" t="s">
        <v>889</v>
      </c>
      <c r="G428" s="3">
        <v>46064</v>
      </c>
      <c r="H428" s="2" t="s">
        <v>753</v>
      </c>
      <c r="I428" s="2" t="s">
        <v>755</v>
      </c>
      <c r="J428" s="2" t="s">
        <v>754</v>
      </c>
      <c r="K428" s="2" t="s">
        <v>753</v>
      </c>
      <c r="L428" s="6">
        <v>60</v>
      </c>
      <c r="M428" s="2" t="s">
        <v>752</v>
      </c>
      <c r="N428" s="7">
        <v>46</v>
      </c>
      <c r="O428" s="4">
        <v>2760</v>
      </c>
      <c r="P428" s="4">
        <v>2760</v>
      </c>
      <c r="Q428" s="6">
        <v>0</v>
      </c>
    </row>
    <row r="429" spans="1:17" x14ac:dyDescent="0.25">
      <c r="A429" s="2" t="s">
        <v>614</v>
      </c>
      <c r="B429" s="2" t="s">
        <v>25</v>
      </c>
      <c r="C429" s="2" t="s">
        <v>26</v>
      </c>
      <c r="D429" s="2" t="s">
        <v>758</v>
      </c>
      <c r="E429" s="2" t="s">
        <v>945</v>
      </c>
      <c r="F429" s="2" t="s">
        <v>944</v>
      </c>
      <c r="G429" s="3">
        <v>46064</v>
      </c>
      <c r="H429" s="2" t="s">
        <v>753</v>
      </c>
      <c r="I429" s="2" t="s">
        <v>755</v>
      </c>
      <c r="J429" s="2" t="s">
        <v>754</v>
      </c>
      <c r="K429" s="2" t="s">
        <v>753</v>
      </c>
      <c r="L429" s="6">
        <v>16</v>
      </c>
      <c r="M429" s="2" t="s">
        <v>752</v>
      </c>
      <c r="N429" s="7">
        <v>48.06</v>
      </c>
      <c r="O429" s="4">
        <v>768.96</v>
      </c>
      <c r="P429" s="4">
        <v>768.96</v>
      </c>
      <c r="Q429" s="6">
        <v>0</v>
      </c>
    </row>
    <row r="430" spans="1:17" x14ac:dyDescent="0.25">
      <c r="A430" s="2" t="s">
        <v>614</v>
      </c>
      <c r="B430" s="2" t="s">
        <v>25</v>
      </c>
      <c r="C430" s="2" t="s">
        <v>26</v>
      </c>
      <c r="D430" s="2" t="s">
        <v>758</v>
      </c>
      <c r="E430" s="2" t="s">
        <v>757</v>
      </c>
      <c r="F430" s="2" t="s">
        <v>756</v>
      </c>
      <c r="G430" s="3">
        <v>46064</v>
      </c>
      <c r="H430" s="2" t="s">
        <v>753</v>
      </c>
      <c r="I430" s="2" t="s">
        <v>755</v>
      </c>
      <c r="J430" s="2" t="s">
        <v>754</v>
      </c>
      <c r="K430" s="2" t="s">
        <v>753</v>
      </c>
      <c r="L430" s="6">
        <v>60</v>
      </c>
      <c r="M430" s="2" t="s">
        <v>752</v>
      </c>
      <c r="N430" s="7">
        <v>44</v>
      </c>
      <c r="O430" s="4">
        <v>2640</v>
      </c>
      <c r="P430" s="4">
        <v>2640</v>
      </c>
      <c r="Q430" s="6">
        <v>0</v>
      </c>
    </row>
    <row r="431" spans="1:17" x14ac:dyDescent="0.25">
      <c r="A431" s="2" t="s">
        <v>614</v>
      </c>
      <c r="B431" s="2" t="s">
        <v>25</v>
      </c>
      <c r="C431" s="2" t="s">
        <v>26</v>
      </c>
      <c r="D431" s="2" t="s">
        <v>758</v>
      </c>
      <c r="E431" s="2" t="s">
        <v>763</v>
      </c>
      <c r="F431" s="2" t="s">
        <v>762</v>
      </c>
      <c r="G431" s="3">
        <v>46064</v>
      </c>
      <c r="H431" s="2" t="s">
        <v>753</v>
      </c>
      <c r="I431" s="2" t="s">
        <v>755</v>
      </c>
      <c r="J431" s="2" t="s">
        <v>754</v>
      </c>
      <c r="K431" s="2" t="s">
        <v>753</v>
      </c>
      <c r="L431" s="6">
        <v>24</v>
      </c>
      <c r="M431" s="2" t="s">
        <v>752</v>
      </c>
      <c r="N431" s="7">
        <v>43.5</v>
      </c>
      <c r="O431" s="4">
        <v>1044</v>
      </c>
      <c r="P431" s="4">
        <v>1044</v>
      </c>
      <c r="Q431" s="6">
        <v>0</v>
      </c>
    </row>
    <row r="432" spans="1:17" x14ac:dyDescent="0.25">
      <c r="A432" s="2" t="s">
        <v>614</v>
      </c>
      <c r="B432" s="2" t="s">
        <v>25</v>
      </c>
      <c r="C432" s="2" t="s">
        <v>26</v>
      </c>
      <c r="D432" s="2" t="s">
        <v>758</v>
      </c>
      <c r="E432" s="2" t="s">
        <v>813</v>
      </c>
      <c r="F432" s="2" t="s">
        <v>812</v>
      </c>
      <c r="G432" s="3">
        <v>46064</v>
      </c>
      <c r="H432" s="2" t="s">
        <v>753</v>
      </c>
      <c r="I432" s="2" t="s">
        <v>755</v>
      </c>
      <c r="J432" s="2" t="s">
        <v>754</v>
      </c>
      <c r="K432" s="2" t="s">
        <v>753</v>
      </c>
      <c r="L432" s="6">
        <v>12</v>
      </c>
      <c r="M432" s="2" t="s">
        <v>752</v>
      </c>
      <c r="N432" s="7">
        <v>54</v>
      </c>
      <c r="O432" s="4">
        <v>648</v>
      </c>
      <c r="P432" s="4">
        <v>648</v>
      </c>
      <c r="Q432" s="6">
        <v>0</v>
      </c>
    </row>
    <row r="433" spans="1:17" x14ac:dyDescent="0.25">
      <c r="A433" s="2" t="s">
        <v>614</v>
      </c>
      <c r="B433" s="2" t="s">
        <v>25</v>
      </c>
      <c r="C433" s="2" t="s">
        <v>26</v>
      </c>
      <c r="D433" s="2" t="s">
        <v>758</v>
      </c>
      <c r="E433" s="2" t="s">
        <v>931</v>
      </c>
      <c r="F433" s="2" t="s">
        <v>930</v>
      </c>
      <c r="G433" s="3">
        <v>46064</v>
      </c>
      <c r="H433" s="2" t="s">
        <v>753</v>
      </c>
      <c r="I433" s="2" t="s">
        <v>755</v>
      </c>
      <c r="J433" s="2" t="s">
        <v>754</v>
      </c>
      <c r="K433" s="2" t="s">
        <v>753</v>
      </c>
      <c r="L433" s="6">
        <v>48</v>
      </c>
      <c r="M433" s="2" t="s">
        <v>752</v>
      </c>
      <c r="N433" s="7">
        <v>50.05</v>
      </c>
      <c r="O433" s="4">
        <v>2402.4</v>
      </c>
      <c r="P433" s="4">
        <v>2402.4</v>
      </c>
      <c r="Q433" s="6">
        <v>0</v>
      </c>
    </row>
    <row r="434" spans="1:17" x14ac:dyDescent="0.25">
      <c r="A434" s="2" t="s">
        <v>592</v>
      </c>
      <c r="B434" s="2" t="s">
        <v>55</v>
      </c>
      <c r="C434" s="2" t="s">
        <v>56</v>
      </c>
      <c r="D434" s="2" t="s">
        <v>758</v>
      </c>
      <c r="E434" s="2" t="s">
        <v>859</v>
      </c>
      <c r="F434" s="2" t="s">
        <v>858</v>
      </c>
      <c r="G434" s="3">
        <v>46072</v>
      </c>
      <c r="H434" s="2" t="s">
        <v>753</v>
      </c>
      <c r="I434" s="2" t="s">
        <v>755</v>
      </c>
      <c r="J434" s="2" t="s">
        <v>754</v>
      </c>
      <c r="K434" s="2" t="s">
        <v>753</v>
      </c>
      <c r="L434" s="6">
        <v>576</v>
      </c>
      <c r="M434" s="2" t="s">
        <v>752</v>
      </c>
      <c r="N434" s="7">
        <v>33.42</v>
      </c>
      <c r="O434" s="4">
        <v>19249.919999999998</v>
      </c>
      <c r="P434" s="4">
        <v>19249.919999999998</v>
      </c>
      <c r="Q434" s="6">
        <v>0</v>
      </c>
    </row>
    <row r="435" spans="1:17" x14ac:dyDescent="0.25">
      <c r="A435" s="2" t="s">
        <v>592</v>
      </c>
      <c r="B435" s="2" t="s">
        <v>55</v>
      </c>
      <c r="C435" s="2" t="s">
        <v>56</v>
      </c>
      <c r="D435" s="2" t="s">
        <v>758</v>
      </c>
      <c r="E435" s="2" t="s">
        <v>976</v>
      </c>
      <c r="F435" s="2" t="s">
        <v>975</v>
      </c>
      <c r="G435" s="3">
        <v>46072</v>
      </c>
      <c r="H435" s="2" t="s">
        <v>753</v>
      </c>
      <c r="I435" s="2" t="s">
        <v>755</v>
      </c>
      <c r="J435" s="2" t="s">
        <v>754</v>
      </c>
      <c r="K435" s="2" t="s">
        <v>753</v>
      </c>
      <c r="L435" s="6">
        <v>32</v>
      </c>
      <c r="M435" s="2" t="s">
        <v>752</v>
      </c>
      <c r="N435" s="7">
        <v>26.96</v>
      </c>
      <c r="O435" s="4">
        <v>862.72</v>
      </c>
      <c r="P435" s="4">
        <v>862.72</v>
      </c>
      <c r="Q435" s="6">
        <v>0</v>
      </c>
    </row>
    <row r="436" spans="1:17" x14ac:dyDescent="0.25">
      <c r="A436" s="2" t="s">
        <v>592</v>
      </c>
      <c r="B436" s="2" t="s">
        <v>55</v>
      </c>
      <c r="C436" s="2" t="s">
        <v>56</v>
      </c>
      <c r="D436" s="2" t="s">
        <v>758</v>
      </c>
      <c r="E436" s="2" t="s">
        <v>982</v>
      </c>
      <c r="F436" s="2" t="s">
        <v>981</v>
      </c>
      <c r="G436" s="3">
        <v>46072</v>
      </c>
      <c r="H436" s="2" t="s">
        <v>753</v>
      </c>
      <c r="I436" s="2" t="s">
        <v>755</v>
      </c>
      <c r="J436" s="2" t="s">
        <v>754</v>
      </c>
      <c r="K436" s="2" t="s">
        <v>753</v>
      </c>
      <c r="L436" s="6">
        <v>64</v>
      </c>
      <c r="M436" s="2" t="s">
        <v>752</v>
      </c>
      <c r="N436" s="7">
        <v>29.53</v>
      </c>
      <c r="O436" s="4">
        <v>1889.92</v>
      </c>
      <c r="P436" s="4">
        <v>1889.92</v>
      </c>
      <c r="Q436" s="6">
        <v>0</v>
      </c>
    </row>
    <row r="437" spans="1:17" x14ac:dyDescent="0.25">
      <c r="A437" s="2" t="s">
        <v>592</v>
      </c>
      <c r="B437" s="2" t="s">
        <v>55</v>
      </c>
      <c r="C437" s="2" t="s">
        <v>56</v>
      </c>
      <c r="D437" s="2" t="s">
        <v>758</v>
      </c>
      <c r="E437" s="2" t="s">
        <v>888</v>
      </c>
      <c r="F437" s="2" t="s">
        <v>887</v>
      </c>
      <c r="G437" s="3">
        <v>46072</v>
      </c>
      <c r="H437" s="2" t="s">
        <v>753</v>
      </c>
      <c r="I437" s="2" t="s">
        <v>755</v>
      </c>
      <c r="J437" s="2" t="s">
        <v>754</v>
      </c>
      <c r="K437" s="2" t="s">
        <v>753</v>
      </c>
      <c r="L437" s="6">
        <v>32</v>
      </c>
      <c r="M437" s="2" t="s">
        <v>752</v>
      </c>
      <c r="N437" s="7">
        <v>26.22</v>
      </c>
      <c r="O437" s="4">
        <v>839.04</v>
      </c>
      <c r="P437" s="4">
        <v>839.04</v>
      </c>
      <c r="Q437" s="6">
        <v>0</v>
      </c>
    </row>
    <row r="438" spans="1:17" x14ac:dyDescent="0.25">
      <c r="A438" s="2" t="s">
        <v>640</v>
      </c>
      <c r="B438" s="2" t="s">
        <v>199</v>
      </c>
      <c r="C438" s="2" t="s">
        <v>200</v>
      </c>
      <c r="D438" s="2" t="s">
        <v>758</v>
      </c>
      <c r="E438" s="2" t="s">
        <v>817</v>
      </c>
      <c r="F438" s="2" t="s">
        <v>937</v>
      </c>
      <c r="G438" s="3">
        <v>46057</v>
      </c>
      <c r="H438" s="2" t="s">
        <v>753</v>
      </c>
      <c r="I438" s="2" t="s">
        <v>755</v>
      </c>
      <c r="J438" s="2" t="s">
        <v>754</v>
      </c>
      <c r="K438" s="2" t="s">
        <v>753</v>
      </c>
      <c r="L438" s="6">
        <v>248</v>
      </c>
      <c r="M438" s="2" t="s">
        <v>752</v>
      </c>
      <c r="N438" s="7">
        <v>32.5</v>
      </c>
      <c r="O438" s="4">
        <v>8060</v>
      </c>
      <c r="P438" s="4">
        <v>8060</v>
      </c>
      <c r="Q438" s="6">
        <v>0</v>
      </c>
    </row>
    <row r="439" spans="1:17" x14ac:dyDescent="0.25">
      <c r="A439" s="2" t="s">
        <v>640</v>
      </c>
      <c r="B439" s="2" t="s">
        <v>199</v>
      </c>
      <c r="C439" s="2" t="s">
        <v>200</v>
      </c>
      <c r="D439" s="2" t="s">
        <v>758</v>
      </c>
      <c r="E439" s="2" t="s">
        <v>879</v>
      </c>
      <c r="F439" s="2" t="s">
        <v>878</v>
      </c>
      <c r="G439" s="3">
        <v>46057</v>
      </c>
      <c r="H439" s="2" t="s">
        <v>753</v>
      </c>
      <c r="I439" s="2" t="s">
        <v>755</v>
      </c>
      <c r="J439" s="2" t="s">
        <v>754</v>
      </c>
      <c r="K439" s="2" t="s">
        <v>753</v>
      </c>
      <c r="L439" s="6">
        <v>28</v>
      </c>
      <c r="M439" s="2" t="s">
        <v>752</v>
      </c>
      <c r="N439" s="7">
        <v>42.75</v>
      </c>
      <c r="O439" s="4">
        <v>1197</v>
      </c>
      <c r="P439" s="4">
        <v>1197</v>
      </c>
      <c r="Q439" s="6">
        <v>0</v>
      </c>
    </row>
    <row r="440" spans="1:17" x14ac:dyDescent="0.25">
      <c r="A440" s="2" t="s">
        <v>602</v>
      </c>
      <c r="B440" s="2" t="s">
        <v>77</v>
      </c>
      <c r="C440" s="2" t="s">
        <v>78</v>
      </c>
      <c r="D440" s="2" t="s">
        <v>758</v>
      </c>
      <c r="E440" s="2" t="s">
        <v>879</v>
      </c>
      <c r="F440" s="2" t="s">
        <v>878</v>
      </c>
      <c r="G440" s="3">
        <v>46070</v>
      </c>
      <c r="H440" s="2" t="s">
        <v>753</v>
      </c>
      <c r="I440" s="2" t="s">
        <v>755</v>
      </c>
      <c r="J440" s="2" t="s">
        <v>754</v>
      </c>
      <c r="K440" s="2" t="s">
        <v>753</v>
      </c>
      <c r="L440" s="6">
        <v>224</v>
      </c>
      <c r="M440" s="2" t="s">
        <v>752</v>
      </c>
      <c r="N440" s="7">
        <v>30</v>
      </c>
      <c r="O440" s="4">
        <v>6720</v>
      </c>
      <c r="P440" s="4">
        <v>6720</v>
      </c>
      <c r="Q440" s="6">
        <v>0</v>
      </c>
    </row>
    <row r="441" spans="1:17" x14ac:dyDescent="0.25">
      <c r="A441" s="2" t="s">
        <v>586</v>
      </c>
      <c r="B441" s="2" t="s">
        <v>295</v>
      </c>
      <c r="C441" s="2" t="s">
        <v>296</v>
      </c>
      <c r="D441" s="2" t="s">
        <v>758</v>
      </c>
      <c r="E441" s="2" t="s">
        <v>763</v>
      </c>
      <c r="F441" s="2" t="s">
        <v>762</v>
      </c>
      <c r="G441" s="3">
        <v>46076</v>
      </c>
      <c r="H441" s="2" t="s">
        <v>753</v>
      </c>
      <c r="I441" s="2" t="s">
        <v>755</v>
      </c>
      <c r="J441" s="2" t="s">
        <v>754</v>
      </c>
      <c r="K441" s="2" t="s">
        <v>753</v>
      </c>
      <c r="L441" s="6">
        <v>168</v>
      </c>
      <c r="M441" s="2" t="s">
        <v>752</v>
      </c>
      <c r="N441" s="7">
        <v>46.6</v>
      </c>
      <c r="O441" s="4">
        <v>7828.8</v>
      </c>
      <c r="P441" s="4">
        <v>7828.8</v>
      </c>
      <c r="Q441" s="6">
        <v>0</v>
      </c>
    </row>
    <row r="442" spans="1:17" x14ac:dyDescent="0.25">
      <c r="A442" s="2" t="s">
        <v>598</v>
      </c>
      <c r="B442" s="2" t="s">
        <v>25</v>
      </c>
      <c r="C442" s="2" t="s">
        <v>26</v>
      </c>
      <c r="D442" s="2" t="s">
        <v>758</v>
      </c>
      <c r="E442" s="2" t="s">
        <v>825</v>
      </c>
      <c r="F442" s="2" t="s">
        <v>989</v>
      </c>
      <c r="G442" s="3">
        <v>46071</v>
      </c>
      <c r="H442" s="2" t="s">
        <v>753</v>
      </c>
      <c r="I442" s="2" t="s">
        <v>755</v>
      </c>
      <c r="J442" s="2" t="s">
        <v>754</v>
      </c>
      <c r="K442" s="2" t="s">
        <v>753</v>
      </c>
      <c r="L442" s="6">
        <v>8</v>
      </c>
      <c r="M442" s="2" t="s">
        <v>752</v>
      </c>
      <c r="N442" s="7">
        <v>47.2</v>
      </c>
      <c r="O442" s="4">
        <v>377.6</v>
      </c>
      <c r="P442" s="4">
        <v>377.6</v>
      </c>
      <c r="Q442" s="6">
        <v>0</v>
      </c>
    </row>
    <row r="443" spans="1:17" x14ac:dyDescent="0.25">
      <c r="A443" s="2" t="s">
        <v>598</v>
      </c>
      <c r="B443" s="2" t="s">
        <v>25</v>
      </c>
      <c r="C443" s="2" t="s">
        <v>26</v>
      </c>
      <c r="D443" s="2" t="s">
        <v>758</v>
      </c>
      <c r="E443" s="2" t="s">
        <v>823</v>
      </c>
      <c r="F443" s="2" t="s">
        <v>822</v>
      </c>
      <c r="G443" s="3">
        <v>46071</v>
      </c>
      <c r="H443" s="2" t="s">
        <v>753</v>
      </c>
      <c r="I443" s="2" t="s">
        <v>755</v>
      </c>
      <c r="J443" s="2" t="s">
        <v>754</v>
      </c>
      <c r="K443" s="2" t="s">
        <v>753</v>
      </c>
      <c r="L443" s="6">
        <v>48</v>
      </c>
      <c r="M443" s="2" t="s">
        <v>752</v>
      </c>
      <c r="N443" s="7">
        <v>52</v>
      </c>
      <c r="O443" s="4">
        <v>2496</v>
      </c>
      <c r="P443" s="4">
        <v>2496</v>
      </c>
      <c r="Q443" s="6">
        <v>0</v>
      </c>
    </row>
    <row r="444" spans="1:17" x14ac:dyDescent="0.25">
      <c r="A444" s="2" t="s">
        <v>598</v>
      </c>
      <c r="B444" s="2" t="s">
        <v>25</v>
      </c>
      <c r="C444" s="2" t="s">
        <v>26</v>
      </c>
      <c r="D444" s="2" t="s">
        <v>758</v>
      </c>
      <c r="E444" s="2" t="s">
        <v>763</v>
      </c>
      <c r="F444" s="2" t="s">
        <v>762</v>
      </c>
      <c r="G444" s="3">
        <v>46071</v>
      </c>
      <c r="H444" s="2" t="s">
        <v>753</v>
      </c>
      <c r="I444" s="2" t="s">
        <v>755</v>
      </c>
      <c r="J444" s="2" t="s">
        <v>754</v>
      </c>
      <c r="K444" s="2" t="s">
        <v>753</v>
      </c>
      <c r="L444" s="6">
        <v>52</v>
      </c>
      <c r="M444" s="2" t="s">
        <v>752</v>
      </c>
      <c r="N444" s="7">
        <v>43.5</v>
      </c>
      <c r="O444" s="4">
        <v>2262</v>
      </c>
      <c r="P444" s="4">
        <v>2262</v>
      </c>
      <c r="Q444" s="6">
        <v>0</v>
      </c>
    </row>
    <row r="445" spans="1:17" x14ac:dyDescent="0.25">
      <c r="A445" s="2" t="s">
        <v>598</v>
      </c>
      <c r="B445" s="2" t="s">
        <v>25</v>
      </c>
      <c r="C445" s="2" t="s">
        <v>26</v>
      </c>
      <c r="D445" s="2" t="s">
        <v>758</v>
      </c>
      <c r="E445" s="2" t="s">
        <v>821</v>
      </c>
      <c r="F445" s="2" t="s">
        <v>820</v>
      </c>
      <c r="G445" s="3">
        <v>46071</v>
      </c>
      <c r="H445" s="2" t="s">
        <v>753</v>
      </c>
      <c r="I445" s="2" t="s">
        <v>755</v>
      </c>
      <c r="J445" s="2" t="s">
        <v>754</v>
      </c>
      <c r="K445" s="2" t="s">
        <v>753</v>
      </c>
      <c r="L445" s="6">
        <v>16</v>
      </c>
      <c r="M445" s="2" t="s">
        <v>752</v>
      </c>
      <c r="N445" s="7">
        <v>52</v>
      </c>
      <c r="O445" s="4">
        <v>832</v>
      </c>
      <c r="P445" s="4">
        <v>832</v>
      </c>
      <c r="Q445" s="6">
        <v>0</v>
      </c>
    </row>
    <row r="446" spans="1:17" x14ac:dyDescent="0.25">
      <c r="A446" s="2" t="s">
        <v>598</v>
      </c>
      <c r="B446" s="2" t="s">
        <v>25</v>
      </c>
      <c r="C446" s="2" t="s">
        <v>26</v>
      </c>
      <c r="D446" s="2" t="s">
        <v>758</v>
      </c>
      <c r="E446" s="2" t="s">
        <v>819</v>
      </c>
      <c r="F446" s="2" t="s">
        <v>818</v>
      </c>
      <c r="G446" s="3">
        <v>46071</v>
      </c>
      <c r="H446" s="2" t="s">
        <v>753</v>
      </c>
      <c r="I446" s="2" t="s">
        <v>755</v>
      </c>
      <c r="J446" s="2" t="s">
        <v>754</v>
      </c>
      <c r="K446" s="2" t="s">
        <v>753</v>
      </c>
      <c r="L446" s="6">
        <v>16</v>
      </c>
      <c r="M446" s="2" t="s">
        <v>752</v>
      </c>
      <c r="N446" s="7">
        <v>38.25</v>
      </c>
      <c r="O446" s="4">
        <v>612</v>
      </c>
      <c r="P446" s="4">
        <v>612</v>
      </c>
      <c r="Q446" s="6">
        <v>0</v>
      </c>
    </row>
    <row r="447" spans="1:17" x14ac:dyDescent="0.25">
      <c r="A447" s="2" t="s">
        <v>598</v>
      </c>
      <c r="B447" s="2" t="s">
        <v>25</v>
      </c>
      <c r="C447" s="2" t="s">
        <v>26</v>
      </c>
      <c r="D447" s="2" t="s">
        <v>758</v>
      </c>
      <c r="E447" s="2" t="s">
        <v>827</v>
      </c>
      <c r="F447" s="2" t="s">
        <v>826</v>
      </c>
      <c r="G447" s="3">
        <v>46071</v>
      </c>
      <c r="H447" s="2" t="s">
        <v>753</v>
      </c>
      <c r="I447" s="2" t="s">
        <v>755</v>
      </c>
      <c r="J447" s="2" t="s">
        <v>754</v>
      </c>
      <c r="K447" s="2" t="s">
        <v>753</v>
      </c>
      <c r="L447" s="6">
        <v>4</v>
      </c>
      <c r="M447" s="2" t="s">
        <v>752</v>
      </c>
      <c r="N447" s="7">
        <v>41.85</v>
      </c>
      <c r="O447" s="4">
        <v>167.4</v>
      </c>
      <c r="P447" s="4">
        <v>167.4</v>
      </c>
      <c r="Q447" s="6">
        <v>0</v>
      </c>
    </row>
    <row r="448" spans="1:17" x14ac:dyDescent="0.25">
      <c r="A448" s="2" t="s">
        <v>590</v>
      </c>
      <c r="B448" s="2" t="s">
        <v>29</v>
      </c>
      <c r="C448" s="2" t="s">
        <v>30</v>
      </c>
      <c r="D448" s="2" t="s">
        <v>758</v>
      </c>
      <c r="E448" s="2" t="s">
        <v>817</v>
      </c>
      <c r="F448" s="2" t="s">
        <v>937</v>
      </c>
      <c r="G448" s="3">
        <v>46072</v>
      </c>
      <c r="H448" s="2" t="s">
        <v>753</v>
      </c>
      <c r="I448" s="2" t="s">
        <v>755</v>
      </c>
      <c r="J448" s="2" t="s">
        <v>754</v>
      </c>
      <c r="K448" s="2" t="s">
        <v>753</v>
      </c>
      <c r="L448" s="6">
        <v>56</v>
      </c>
      <c r="M448" s="2" t="s">
        <v>752</v>
      </c>
      <c r="N448" s="7">
        <v>31.42</v>
      </c>
      <c r="O448" s="4">
        <v>1759.52</v>
      </c>
      <c r="P448" s="4">
        <v>1759.52</v>
      </c>
      <c r="Q448" s="6">
        <v>0</v>
      </c>
    </row>
    <row r="449" spans="1:17" x14ac:dyDescent="0.25">
      <c r="A449" s="2" t="s">
        <v>590</v>
      </c>
      <c r="B449" s="2" t="s">
        <v>29</v>
      </c>
      <c r="C449" s="2" t="s">
        <v>30</v>
      </c>
      <c r="D449" s="2" t="s">
        <v>758</v>
      </c>
      <c r="E449" s="2" t="s">
        <v>815</v>
      </c>
      <c r="F449" s="2" t="s">
        <v>814</v>
      </c>
      <c r="G449" s="3">
        <v>46072</v>
      </c>
      <c r="H449" s="2" t="s">
        <v>753</v>
      </c>
      <c r="I449" s="2" t="s">
        <v>755</v>
      </c>
      <c r="J449" s="2" t="s">
        <v>754</v>
      </c>
      <c r="K449" s="2" t="s">
        <v>753</v>
      </c>
      <c r="L449" s="6">
        <v>112</v>
      </c>
      <c r="M449" s="2" t="s">
        <v>752</v>
      </c>
      <c r="N449" s="7">
        <v>34</v>
      </c>
      <c r="O449" s="4">
        <v>3808</v>
      </c>
      <c r="P449" s="4">
        <v>3808</v>
      </c>
      <c r="Q449" s="6">
        <v>0</v>
      </c>
    </row>
    <row r="450" spans="1:17" x14ac:dyDescent="0.25">
      <c r="A450" s="2" t="s">
        <v>590</v>
      </c>
      <c r="B450" s="2" t="s">
        <v>29</v>
      </c>
      <c r="C450" s="2" t="s">
        <v>30</v>
      </c>
      <c r="D450" s="2" t="s">
        <v>758</v>
      </c>
      <c r="E450" s="2" t="s">
        <v>813</v>
      </c>
      <c r="F450" s="2" t="s">
        <v>812</v>
      </c>
      <c r="G450" s="3">
        <v>46072</v>
      </c>
      <c r="H450" s="2" t="s">
        <v>753</v>
      </c>
      <c r="I450" s="2" t="s">
        <v>755</v>
      </c>
      <c r="J450" s="2" t="s">
        <v>754</v>
      </c>
      <c r="K450" s="2" t="s">
        <v>753</v>
      </c>
      <c r="L450" s="6">
        <v>12</v>
      </c>
      <c r="M450" s="2" t="s">
        <v>752</v>
      </c>
      <c r="N450" s="7">
        <v>43.26</v>
      </c>
      <c r="O450" s="4">
        <v>519.12</v>
      </c>
      <c r="P450" s="4">
        <v>519.12</v>
      </c>
      <c r="Q450" s="6">
        <v>0</v>
      </c>
    </row>
    <row r="451" spans="1:17" x14ac:dyDescent="0.25">
      <c r="A451" s="2" t="s">
        <v>590</v>
      </c>
      <c r="B451" s="2" t="s">
        <v>29</v>
      </c>
      <c r="C451" s="2" t="s">
        <v>30</v>
      </c>
      <c r="D451" s="2" t="s">
        <v>758</v>
      </c>
      <c r="E451" s="2" t="s">
        <v>811</v>
      </c>
      <c r="F451" s="2" t="s">
        <v>810</v>
      </c>
      <c r="G451" s="3">
        <v>46072</v>
      </c>
      <c r="H451" s="2" t="s">
        <v>753</v>
      </c>
      <c r="I451" s="2" t="s">
        <v>755</v>
      </c>
      <c r="J451" s="2" t="s">
        <v>754</v>
      </c>
      <c r="K451" s="2" t="s">
        <v>753</v>
      </c>
      <c r="L451" s="6">
        <v>20</v>
      </c>
      <c r="M451" s="2" t="s">
        <v>752</v>
      </c>
      <c r="N451" s="7">
        <v>43.26</v>
      </c>
      <c r="O451" s="4">
        <v>865.2</v>
      </c>
      <c r="P451" s="4">
        <v>865.2</v>
      </c>
      <c r="Q451" s="6">
        <v>0</v>
      </c>
    </row>
    <row r="452" spans="1:17" x14ac:dyDescent="0.25">
      <c r="A452" s="2" t="s">
        <v>590</v>
      </c>
      <c r="B452" s="2" t="s">
        <v>29</v>
      </c>
      <c r="C452" s="2" t="s">
        <v>30</v>
      </c>
      <c r="D452" s="2" t="s">
        <v>758</v>
      </c>
      <c r="E452" s="2" t="s">
        <v>763</v>
      </c>
      <c r="F452" s="2" t="s">
        <v>762</v>
      </c>
      <c r="G452" s="3">
        <v>46072</v>
      </c>
      <c r="H452" s="2" t="s">
        <v>753</v>
      </c>
      <c r="I452" s="2" t="s">
        <v>755</v>
      </c>
      <c r="J452" s="2" t="s">
        <v>754</v>
      </c>
      <c r="K452" s="2" t="s">
        <v>753</v>
      </c>
      <c r="L452" s="6">
        <v>56</v>
      </c>
      <c r="M452" s="2" t="s">
        <v>752</v>
      </c>
      <c r="N452" s="7">
        <v>43.36</v>
      </c>
      <c r="O452" s="4">
        <v>2428.16</v>
      </c>
      <c r="P452" s="4">
        <v>2428.16</v>
      </c>
      <c r="Q452" s="6">
        <v>0</v>
      </c>
    </row>
    <row r="453" spans="1:17" x14ac:dyDescent="0.25">
      <c r="A453" s="2" t="s">
        <v>590</v>
      </c>
      <c r="B453" s="2" t="s">
        <v>29</v>
      </c>
      <c r="C453" s="2" t="s">
        <v>30</v>
      </c>
      <c r="D453" s="2" t="s">
        <v>758</v>
      </c>
      <c r="E453" s="2" t="s">
        <v>952</v>
      </c>
      <c r="F453" s="2" t="s">
        <v>951</v>
      </c>
      <c r="G453" s="3">
        <v>46072</v>
      </c>
      <c r="H453" s="2" t="s">
        <v>753</v>
      </c>
      <c r="I453" s="2" t="s">
        <v>755</v>
      </c>
      <c r="J453" s="2" t="s">
        <v>754</v>
      </c>
      <c r="K453" s="2" t="s">
        <v>753</v>
      </c>
      <c r="L453" s="6">
        <v>5</v>
      </c>
      <c r="M453" s="2" t="s">
        <v>752</v>
      </c>
      <c r="N453" s="7">
        <v>44.77</v>
      </c>
      <c r="O453" s="4">
        <v>223.85</v>
      </c>
      <c r="P453" s="4">
        <v>223.85</v>
      </c>
      <c r="Q453" s="6">
        <v>0</v>
      </c>
    </row>
    <row r="454" spans="1:17" x14ac:dyDescent="0.25">
      <c r="A454" s="2" t="s">
        <v>590</v>
      </c>
      <c r="B454" s="2" t="s">
        <v>29</v>
      </c>
      <c r="C454" s="2" t="s">
        <v>30</v>
      </c>
      <c r="D454" s="2" t="s">
        <v>758</v>
      </c>
      <c r="E454" s="2" t="s">
        <v>776</v>
      </c>
      <c r="F454" s="2" t="s">
        <v>775</v>
      </c>
      <c r="G454" s="3">
        <v>46072</v>
      </c>
      <c r="H454" s="2" t="s">
        <v>753</v>
      </c>
      <c r="I454" s="2" t="s">
        <v>755</v>
      </c>
      <c r="J454" s="2" t="s">
        <v>754</v>
      </c>
      <c r="K454" s="2" t="s">
        <v>753</v>
      </c>
      <c r="L454" s="6">
        <v>20</v>
      </c>
      <c r="M454" s="2" t="s">
        <v>752</v>
      </c>
      <c r="N454" s="7">
        <v>41.2</v>
      </c>
      <c r="O454" s="4">
        <v>824</v>
      </c>
      <c r="P454" s="4">
        <v>824</v>
      </c>
      <c r="Q454" s="6">
        <v>0</v>
      </c>
    </row>
    <row r="455" spans="1:17" x14ac:dyDescent="0.25">
      <c r="A455" s="2" t="s">
        <v>590</v>
      </c>
      <c r="B455" s="2" t="s">
        <v>29</v>
      </c>
      <c r="C455" s="2" t="s">
        <v>30</v>
      </c>
      <c r="D455" s="2" t="s">
        <v>758</v>
      </c>
      <c r="E455" s="2" t="s">
        <v>985</v>
      </c>
      <c r="F455" s="2" t="s">
        <v>984</v>
      </c>
      <c r="G455" s="3">
        <v>46072</v>
      </c>
      <c r="H455" s="2" t="s">
        <v>753</v>
      </c>
      <c r="I455" s="2" t="s">
        <v>755</v>
      </c>
      <c r="J455" s="2" t="s">
        <v>754</v>
      </c>
      <c r="K455" s="2" t="s">
        <v>753</v>
      </c>
      <c r="L455" s="6">
        <v>1</v>
      </c>
      <c r="M455" s="2" t="s">
        <v>752</v>
      </c>
      <c r="N455" s="7">
        <v>39.869999999999997</v>
      </c>
      <c r="O455" s="4">
        <v>39.869999999999997</v>
      </c>
      <c r="P455" s="4">
        <v>39.869999999999997</v>
      </c>
      <c r="Q455" s="6">
        <v>0</v>
      </c>
    </row>
    <row r="456" spans="1:17" x14ac:dyDescent="0.25">
      <c r="A456" s="2" t="s">
        <v>590</v>
      </c>
      <c r="B456" s="2" t="s">
        <v>29</v>
      </c>
      <c r="C456" s="2" t="s">
        <v>30</v>
      </c>
      <c r="D456" s="2" t="s">
        <v>758</v>
      </c>
      <c r="E456" s="2" t="s">
        <v>805</v>
      </c>
      <c r="F456" s="2" t="s">
        <v>804</v>
      </c>
      <c r="G456" s="3">
        <v>46072</v>
      </c>
      <c r="H456" s="2" t="s">
        <v>753</v>
      </c>
      <c r="I456" s="2" t="s">
        <v>755</v>
      </c>
      <c r="J456" s="2" t="s">
        <v>754</v>
      </c>
      <c r="K456" s="2" t="s">
        <v>753</v>
      </c>
      <c r="L456" s="6">
        <v>20</v>
      </c>
      <c r="M456" s="2" t="s">
        <v>752</v>
      </c>
      <c r="N456" s="7">
        <v>41</v>
      </c>
      <c r="O456" s="4">
        <v>820</v>
      </c>
      <c r="P456" s="4">
        <v>820</v>
      </c>
      <c r="Q456" s="6">
        <v>0</v>
      </c>
    </row>
    <row r="457" spans="1:17" x14ac:dyDescent="0.25">
      <c r="A457" s="2" t="s">
        <v>554</v>
      </c>
      <c r="B457" s="2" t="s">
        <v>37</v>
      </c>
      <c r="C457" s="2" t="s">
        <v>38</v>
      </c>
      <c r="D457" s="2" t="s">
        <v>758</v>
      </c>
      <c r="E457" s="2" t="s">
        <v>865</v>
      </c>
      <c r="F457" s="2" t="s">
        <v>864</v>
      </c>
      <c r="G457" s="3">
        <v>46085</v>
      </c>
      <c r="H457" s="2" t="s">
        <v>753</v>
      </c>
      <c r="I457" s="2" t="s">
        <v>755</v>
      </c>
      <c r="J457" s="2" t="s">
        <v>754</v>
      </c>
      <c r="K457" s="2" t="s">
        <v>753</v>
      </c>
      <c r="L457" s="6">
        <v>112</v>
      </c>
      <c r="M457" s="2" t="s">
        <v>752</v>
      </c>
      <c r="N457" s="7">
        <v>37</v>
      </c>
      <c r="O457" s="4">
        <v>4144</v>
      </c>
      <c r="P457" s="4">
        <v>4144</v>
      </c>
      <c r="Q457" s="6">
        <v>0</v>
      </c>
    </row>
    <row r="458" spans="1:17" x14ac:dyDescent="0.25">
      <c r="A458" s="2" t="s">
        <v>554</v>
      </c>
      <c r="B458" s="2" t="s">
        <v>37</v>
      </c>
      <c r="C458" s="2" t="s">
        <v>38</v>
      </c>
      <c r="D458" s="2" t="s">
        <v>758</v>
      </c>
      <c r="E458" s="2" t="s">
        <v>827</v>
      </c>
      <c r="F458" s="2" t="s">
        <v>826</v>
      </c>
      <c r="G458" s="3">
        <v>46085</v>
      </c>
      <c r="H458" s="2" t="s">
        <v>753</v>
      </c>
      <c r="I458" s="2" t="s">
        <v>755</v>
      </c>
      <c r="J458" s="2" t="s">
        <v>754</v>
      </c>
      <c r="K458" s="2" t="s">
        <v>753</v>
      </c>
      <c r="L458" s="6">
        <v>28</v>
      </c>
      <c r="M458" s="2" t="s">
        <v>752</v>
      </c>
      <c r="N458" s="7">
        <v>42</v>
      </c>
      <c r="O458" s="4">
        <v>1176</v>
      </c>
      <c r="P458" s="4">
        <v>1176</v>
      </c>
      <c r="Q458" s="6">
        <v>0</v>
      </c>
    </row>
    <row r="459" spans="1:17" x14ac:dyDescent="0.25">
      <c r="A459" s="2" t="s">
        <v>554</v>
      </c>
      <c r="B459" s="2" t="s">
        <v>37</v>
      </c>
      <c r="C459" s="2" t="s">
        <v>38</v>
      </c>
      <c r="D459" s="2" t="s">
        <v>758</v>
      </c>
      <c r="E459" s="2" t="s">
        <v>763</v>
      </c>
      <c r="F459" s="2" t="s">
        <v>762</v>
      </c>
      <c r="G459" s="3">
        <v>46085</v>
      </c>
      <c r="H459" s="2" t="s">
        <v>753</v>
      </c>
      <c r="I459" s="2" t="s">
        <v>755</v>
      </c>
      <c r="J459" s="2" t="s">
        <v>754</v>
      </c>
      <c r="K459" s="2" t="s">
        <v>753</v>
      </c>
      <c r="L459" s="6">
        <v>140</v>
      </c>
      <c r="M459" s="2" t="s">
        <v>752</v>
      </c>
      <c r="N459" s="7">
        <v>42</v>
      </c>
      <c r="O459" s="4">
        <v>5880</v>
      </c>
      <c r="P459" s="4">
        <v>5880</v>
      </c>
      <c r="Q459" s="6">
        <v>0</v>
      </c>
    </row>
    <row r="460" spans="1:17" x14ac:dyDescent="0.25">
      <c r="A460" s="2" t="s">
        <v>554</v>
      </c>
      <c r="B460" s="2" t="s">
        <v>37</v>
      </c>
      <c r="C460" s="2" t="s">
        <v>38</v>
      </c>
      <c r="D460" s="2" t="s">
        <v>758</v>
      </c>
      <c r="E460" s="2" t="s">
        <v>847</v>
      </c>
      <c r="F460" s="2" t="s">
        <v>846</v>
      </c>
      <c r="G460" s="3">
        <v>46085</v>
      </c>
      <c r="H460" s="2" t="s">
        <v>753</v>
      </c>
      <c r="I460" s="2" t="s">
        <v>755</v>
      </c>
      <c r="J460" s="2" t="s">
        <v>754</v>
      </c>
      <c r="K460" s="2" t="s">
        <v>753</v>
      </c>
      <c r="L460" s="6">
        <v>280</v>
      </c>
      <c r="M460" s="2" t="s">
        <v>752</v>
      </c>
      <c r="N460" s="7">
        <v>38.08</v>
      </c>
      <c r="O460" s="4">
        <v>10662.4</v>
      </c>
      <c r="P460" s="4">
        <v>10662.4</v>
      </c>
      <c r="Q460" s="6">
        <v>0</v>
      </c>
    </row>
    <row r="461" spans="1:17" x14ac:dyDescent="0.25">
      <c r="A461" s="2" t="s">
        <v>588</v>
      </c>
      <c r="B461" s="2" t="s">
        <v>21</v>
      </c>
      <c r="C461" s="2" t="s">
        <v>22</v>
      </c>
      <c r="D461" s="2" t="s">
        <v>758</v>
      </c>
      <c r="E461" s="2" t="s">
        <v>763</v>
      </c>
      <c r="F461" s="2" t="s">
        <v>762</v>
      </c>
      <c r="G461" s="3">
        <v>46072</v>
      </c>
      <c r="H461" s="2" t="s">
        <v>753</v>
      </c>
      <c r="I461" s="2" t="s">
        <v>755</v>
      </c>
      <c r="J461" s="2" t="s">
        <v>754</v>
      </c>
      <c r="K461" s="2" t="s">
        <v>753</v>
      </c>
      <c r="L461" s="6">
        <v>196</v>
      </c>
      <c r="M461" s="2" t="s">
        <v>752</v>
      </c>
      <c r="N461" s="7">
        <v>42.6</v>
      </c>
      <c r="O461" s="4">
        <v>8349.6</v>
      </c>
      <c r="P461" s="4">
        <v>8349.6</v>
      </c>
      <c r="Q461" s="6">
        <v>0</v>
      </c>
    </row>
    <row r="462" spans="1:17" x14ac:dyDescent="0.25">
      <c r="A462" s="2" t="s">
        <v>588</v>
      </c>
      <c r="B462" s="2" t="s">
        <v>21</v>
      </c>
      <c r="C462" s="2" t="s">
        <v>22</v>
      </c>
      <c r="D462" s="2" t="s">
        <v>758</v>
      </c>
      <c r="E462" s="2" t="s">
        <v>794</v>
      </c>
      <c r="F462" s="2" t="s">
        <v>793</v>
      </c>
      <c r="G462" s="3">
        <v>46072</v>
      </c>
      <c r="H462" s="2" t="s">
        <v>753</v>
      </c>
      <c r="I462" s="2" t="s">
        <v>755</v>
      </c>
      <c r="J462" s="2" t="s">
        <v>754</v>
      </c>
      <c r="K462" s="2" t="s">
        <v>753</v>
      </c>
      <c r="L462" s="6">
        <v>28</v>
      </c>
      <c r="M462" s="2" t="s">
        <v>752</v>
      </c>
      <c r="N462" s="7">
        <v>40.619999999999997</v>
      </c>
      <c r="O462" s="4">
        <v>1137.3599999999999</v>
      </c>
      <c r="P462" s="4">
        <v>1137.3599999999999</v>
      </c>
      <c r="Q462" s="6">
        <v>0</v>
      </c>
    </row>
    <row r="463" spans="1:17" x14ac:dyDescent="0.25">
      <c r="A463" s="2" t="s">
        <v>588</v>
      </c>
      <c r="B463" s="2" t="s">
        <v>21</v>
      </c>
      <c r="C463" s="2" t="s">
        <v>22</v>
      </c>
      <c r="D463" s="2" t="s">
        <v>758</v>
      </c>
      <c r="E463" s="2" t="s">
        <v>790</v>
      </c>
      <c r="F463" s="2" t="s">
        <v>789</v>
      </c>
      <c r="G463" s="3">
        <v>46072</v>
      </c>
      <c r="H463" s="2" t="s">
        <v>753</v>
      </c>
      <c r="I463" s="2" t="s">
        <v>755</v>
      </c>
      <c r="J463" s="2" t="s">
        <v>754</v>
      </c>
      <c r="K463" s="2" t="s">
        <v>753</v>
      </c>
      <c r="L463" s="6">
        <v>28</v>
      </c>
      <c r="M463" s="2" t="s">
        <v>752</v>
      </c>
      <c r="N463" s="7">
        <v>39.25</v>
      </c>
      <c r="O463" s="4">
        <v>1099</v>
      </c>
      <c r="P463" s="4">
        <v>1099</v>
      </c>
      <c r="Q463" s="6">
        <v>0</v>
      </c>
    </row>
    <row r="464" spans="1:17" x14ac:dyDescent="0.25">
      <c r="A464" s="2" t="s">
        <v>588</v>
      </c>
      <c r="B464" s="2" t="s">
        <v>21</v>
      </c>
      <c r="C464" s="2" t="s">
        <v>22</v>
      </c>
      <c r="D464" s="2" t="s">
        <v>758</v>
      </c>
      <c r="E464" s="2" t="s">
        <v>788</v>
      </c>
      <c r="F464" s="2" t="s">
        <v>787</v>
      </c>
      <c r="G464" s="3">
        <v>46072</v>
      </c>
      <c r="H464" s="2" t="s">
        <v>753</v>
      </c>
      <c r="I464" s="2" t="s">
        <v>755</v>
      </c>
      <c r="J464" s="2" t="s">
        <v>754</v>
      </c>
      <c r="K464" s="2" t="s">
        <v>753</v>
      </c>
      <c r="L464" s="6">
        <v>8</v>
      </c>
      <c r="M464" s="2" t="s">
        <v>752</v>
      </c>
      <c r="N464" s="7">
        <v>38.299999999999997</v>
      </c>
      <c r="O464" s="4">
        <v>306.39999999999998</v>
      </c>
      <c r="P464" s="4">
        <v>306.39999999999998</v>
      </c>
      <c r="Q464" s="6">
        <v>0</v>
      </c>
    </row>
    <row r="465" spans="1:17" x14ac:dyDescent="0.25">
      <c r="A465" s="2" t="s">
        <v>588</v>
      </c>
      <c r="B465" s="2" t="s">
        <v>21</v>
      </c>
      <c r="C465" s="2" t="s">
        <v>22</v>
      </c>
      <c r="D465" s="2" t="s">
        <v>758</v>
      </c>
      <c r="E465" s="2" t="s">
        <v>772</v>
      </c>
      <c r="F465" s="2" t="s">
        <v>771</v>
      </c>
      <c r="G465" s="3">
        <v>46072</v>
      </c>
      <c r="H465" s="2" t="s">
        <v>753</v>
      </c>
      <c r="I465" s="2" t="s">
        <v>755</v>
      </c>
      <c r="J465" s="2" t="s">
        <v>754</v>
      </c>
      <c r="K465" s="2" t="s">
        <v>753</v>
      </c>
      <c r="L465" s="6">
        <v>116</v>
      </c>
      <c r="M465" s="2" t="s">
        <v>752</v>
      </c>
      <c r="N465" s="7">
        <v>34.5</v>
      </c>
      <c r="O465" s="4">
        <v>4002</v>
      </c>
      <c r="P465" s="4">
        <v>4002</v>
      </c>
      <c r="Q465" s="6">
        <v>0</v>
      </c>
    </row>
    <row r="466" spans="1:17" x14ac:dyDescent="0.25">
      <c r="A466" s="2" t="s">
        <v>588</v>
      </c>
      <c r="B466" s="2" t="s">
        <v>21</v>
      </c>
      <c r="C466" s="2" t="s">
        <v>22</v>
      </c>
      <c r="D466" s="2" t="s">
        <v>758</v>
      </c>
      <c r="E466" s="2" t="s">
        <v>786</v>
      </c>
      <c r="F466" s="2" t="s">
        <v>785</v>
      </c>
      <c r="G466" s="3">
        <v>46072</v>
      </c>
      <c r="H466" s="2" t="s">
        <v>753</v>
      </c>
      <c r="I466" s="2" t="s">
        <v>755</v>
      </c>
      <c r="J466" s="2" t="s">
        <v>754</v>
      </c>
      <c r="K466" s="2" t="s">
        <v>753</v>
      </c>
      <c r="L466" s="6">
        <v>28</v>
      </c>
      <c r="M466" s="2" t="s">
        <v>752</v>
      </c>
      <c r="N466" s="7">
        <v>35</v>
      </c>
      <c r="O466" s="4">
        <v>980</v>
      </c>
      <c r="P466" s="4">
        <v>980</v>
      </c>
      <c r="Q466" s="6">
        <v>0</v>
      </c>
    </row>
    <row r="467" spans="1:17" x14ac:dyDescent="0.25">
      <c r="A467" s="2" t="s">
        <v>588</v>
      </c>
      <c r="B467" s="2" t="s">
        <v>21</v>
      </c>
      <c r="C467" s="2" t="s">
        <v>22</v>
      </c>
      <c r="D467" s="2" t="s">
        <v>758</v>
      </c>
      <c r="E467" s="2" t="s">
        <v>780</v>
      </c>
      <c r="F467" s="2" t="s">
        <v>779</v>
      </c>
      <c r="G467" s="3">
        <v>46072</v>
      </c>
      <c r="H467" s="2" t="s">
        <v>753</v>
      </c>
      <c r="I467" s="2" t="s">
        <v>755</v>
      </c>
      <c r="J467" s="2" t="s">
        <v>754</v>
      </c>
      <c r="K467" s="2" t="s">
        <v>753</v>
      </c>
      <c r="L467" s="6">
        <v>8</v>
      </c>
      <c r="M467" s="2" t="s">
        <v>752</v>
      </c>
      <c r="N467" s="7">
        <v>36.07</v>
      </c>
      <c r="O467" s="4">
        <v>288.56</v>
      </c>
      <c r="P467" s="4">
        <v>288.56</v>
      </c>
      <c r="Q467" s="6">
        <v>0</v>
      </c>
    </row>
    <row r="468" spans="1:17" x14ac:dyDescent="0.25">
      <c r="A468" s="2" t="s">
        <v>580</v>
      </c>
      <c r="B468" s="2" t="s">
        <v>81</v>
      </c>
      <c r="C468" s="2" t="s">
        <v>82</v>
      </c>
      <c r="D468" s="2" t="s">
        <v>758</v>
      </c>
      <c r="E468" s="2" t="s">
        <v>805</v>
      </c>
      <c r="F468" s="2" t="s">
        <v>804</v>
      </c>
      <c r="G468" s="3">
        <v>46079</v>
      </c>
      <c r="H468" s="2" t="s">
        <v>753</v>
      </c>
      <c r="I468" s="2" t="s">
        <v>755</v>
      </c>
      <c r="J468" s="2" t="s">
        <v>754</v>
      </c>
      <c r="K468" s="2" t="s">
        <v>753</v>
      </c>
      <c r="L468" s="6">
        <v>252</v>
      </c>
      <c r="M468" s="2" t="s">
        <v>752</v>
      </c>
      <c r="N468" s="7">
        <v>45</v>
      </c>
      <c r="O468" s="4">
        <v>11340</v>
      </c>
      <c r="P468" s="4">
        <v>11340</v>
      </c>
      <c r="Q468" s="6">
        <v>0</v>
      </c>
    </row>
    <row r="469" spans="1:17" x14ac:dyDescent="0.25">
      <c r="A469" s="2" t="s">
        <v>584</v>
      </c>
      <c r="B469" s="2" t="s">
        <v>177</v>
      </c>
      <c r="C469" s="2" t="s">
        <v>178</v>
      </c>
      <c r="D469" s="2" t="s">
        <v>758</v>
      </c>
      <c r="E469" s="2" t="s">
        <v>763</v>
      </c>
      <c r="F469" s="2" t="s">
        <v>762</v>
      </c>
      <c r="G469" s="3">
        <v>46076</v>
      </c>
      <c r="H469" s="2" t="s">
        <v>753</v>
      </c>
      <c r="I469" s="2" t="s">
        <v>755</v>
      </c>
      <c r="J469" s="2" t="s">
        <v>754</v>
      </c>
      <c r="K469" s="2" t="s">
        <v>753</v>
      </c>
      <c r="L469" s="6">
        <v>52</v>
      </c>
      <c r="M469" s="2" t="s">
        <v>752</v>
      </c>
      <c r="N469" s="7">
        <v>42.6</v>
      </c>
      <c r="O469" s="4">
        <v>2215.1999999999998</v>
      </c>
      <c r="P469" s="4">
        <v>2215.1999999999998</v>
      </c>
      <c r="Q469" s="6">
        <v>0</v>
      </c>
    </row>
    <row r="470" spans="1:17" x14ac:dyDescent="0.25">
      <c r="A470" s="2" t="s">
        <v>584</v>
      </c>
      <c r="B470" s="2" t="s">
        <v>177</v>
      </c>
      <c r="C470" s="2" t="s">
        <v>178</v>
      </c>
      <c r="D470" s="2" t="s">
        <v>758</v>
      </c>
      <c r="E470" s="2" t="s">
        <v>881</v>
      </c>
      <c r="F470" s="2" t="s">
        <v>880</v>
      </c>
      <c r="G470" s="3">
        <v>46076</v>
      </c>
      <c r="H470" s="2" t="s">
        <v>753</v>
      </c>
      <c r="I470" s="2" t="s">
        <v>755</v>
      </c>
      <c r="J470" s="2" t="s">
        <v>754</v>
      </c>
      <c r="K470" s="2" t="s">
        <v>753</v>
      </c>
      <c r="L470" s="6">
        <v>28</v>
      </c>
      <c r="M470" s="2" t="s">
        <v>752</v>
      </c>
      <c r="N470" s="7">
        <v>41.15</v>
      </c>
      <c r="O470" s="4">
        <v>1152.2</v>
      </c>
      <c r="P470" s="4">
        <v>1152.2</v>
      </c>
      <c r="Q470" s="6">
        <v>0</v>
      </c>
    </row>
    <row r="471" spans="1:17" x14ac:dyDescent="0.25">
      <c r="A471" s="2" t="s">
        <v>584</v>
      </c>
      <c r="B471" s="2" t="s">
        <v>177</v>
      </c>
      <c r="C471" s="2" t="s">
        <v>178</v>
      </c>
      <c r="D471" s="2" t="s">
        <v>758</v>
      </c>
      <c r="E471" s="2" t="s">
        <v>914</v>
      </c>
      <c r="F471" s="2" t="s">
        <v>913</v>
      </c>
      <c r="G471" s="3">
        <v>46076</v>
      </c>
      <c r="H471" s="2" t="s">
        <v>753</v>
      </c>
      <c r="I471" s="2" t="s">
        <v>755</v>
      </c>
      <c r="J471" s="2" t="s">
        <v>754</v>
      </c>
      <c r="K471" s="2" t="s">
        <v>753</v>
      </c>
      <c r="L471" s="6">
        <v>8</v>
      </c>
      <c r="M471" s="2" t="s">
        <v>752</v>
      </c>
      <c r="N471" s="7">
        <v>41.6</v>
      </c>
      <c r="O471" s="4">
        <v>332.8</v>
      </c>
      <c r="P471" s="4">
        <v>332.8</v>
      </c>
      <c r="Q471" s="6">
        <v>0</v>
      </c>
    </row>
    <row r="472" spans="1:17" x14ac:dyDescent="0.25">
      <c r="A472" s="2" t="s">
        <v>584</v>
      </c>
      <c r="B472" s="2" t="s">
        <v>177</v>
      </c>
      <c r="C472" s="2" t="s">
        <v>178</v>
      </c>
      <c r="D472" s="2" t="s">
        <v>758</v>
      </c>
      <c r="E472" s="2" t="s">
        <v>780</v>
      </c>
      <c r="F472" s="2" t="s">
        <v>779</v>
      </c>
      <c r="G472" s="3">
        <v>46076</v>
      </c>
      <c r="H472" s="2" t="s">
        <v>753</v>
      </c>
      <c r="I472" s="2" t="s">
        <v>755</v>
      </c>
      <c r="J472" s="2" t="s">
        <v>754</v>
      </c>
      <c r="K472" s="2" t="s">
        <v>753</v>
      </c>
      <c r="L472" s="6">
        <v>24</v>
      </c>
      <c r="M472" s="2" t="s">
        <v>752</v>
      </c>
      <c r="N472" s="7">
        <v>35</v>
      </c>
      <c r="O472" s="4">
        <v>840</v>
      </c>
      <c r="P472" s="4">
        <v>840</v>
      </c>
      <c r="Q472" s="6">
        <v>0</v>
      </c>
    </row>
    <row r="473" spans="1:17" x14ac:dyDescent="0.25">
      <c r="A473" s="2" t="s">
        <v>572</v>
      </c>
      <c r="B473" s="2" t="s">
        <v>55</v>
      </c>
      <c r="C473" s="2" t="s">
        <v>56</v>
      </c>
      <c r="D473" s="2" t="s">
        <v>758</v>
      </c>
      <c r="E473" s="2" t="s">
        <v>859</v>
      </c>
      <c r="F473" s="2" t="s">
        <v>858</v>
      </c>
      <c r="G473" s="3">
        <v>46080</v>
      </c>
      <c r="H473" s="2" t="s">
        <v>753</v>
      </c>
      <c r="I473" s="2" t="s">
        <v>755</v>
      </c>
      <c r="J473" s="2" t="s">
        <v>754</v>
      </c>
      <c r="K473" s="2" t="s">
        <v>753</v>
      </c>
      <c r="L473" s="6">
        <v>576</v>
      </c>
      <c r="M473" s="2" t="s">
        <v>752</v>
      </c>
      <c r="N473" s="7">
        <v>33.42</v>
      </c>
      <c r="O473" s="4">
        <v>19249.919999999998</v>
      </c>
      <c r="P473" s="4">
        <v>19249.919999999998</v>
      </c>
      <c r="Q473" s="6">
        <v>0</v>
      </c>
    </row>
    <row r="474" spans="1:17" x14ac:dyDescent="0.25">
      <c r="A474" s="2" t="s">
        <v>572</v>
      </c>
      <c r="B474" s="2" t="s">
        <v>55</v>
      </c>
      <c r="C474" s="2" t="s">
        <v>56</v>
      </c>
      <c r="D474" s="2" t="s">
        <v>758</v>
      </c>
      <c r="E474" s="2" t="s">
        <v>976</v>
      </c>
      <c r="F474" s="2" t="s">
        <v>975</v>
      </c>
      <c r="G474" s="3">
        <v>46080</v>
      </c>
      <c r="H474" s="2" t="s">
        <v>753</v>
      </c>
      <c r="I474" s="2" t="s">
        <v>755</v>
      </c>
      <c r="J474" s="2" t="s">
        <v>754</v>
      </c>
      <c r="K474" s="2" t="s">
        <v>753</v>
      </c>
      <c r="L474" s="6">
        <v>12</v>
      </c>
      <c r="M474" s="2" t="s">
        <v>752</v>
      </c>
      <c r="N474" s="7">
        <v>26.96</v>
      </c>
      <c r="O474" s="4">
        <v>323.52</v>
      </c>
      <c r="P474" s="4">
        <v>323.52</v>
      </c>
      <c r="Q474" s="6">
        <v>0</v>
      </c>
    </row>
    <row r="475" spans="1:17" x14ac:dyDescent="0.25">
      <c r="A475" s="2" t="s">
        <v>572</v>
      </c>
      <c r="B475" s="2" t="s">
        <v>55</v>
      </c>
      <c r="C475" s="2" t="s">
        <v>56</v>
      </c>
      <c r="D475" s="2" t="s">
        <v>758</v>
      </c>
      <c r="E475" s="2" t="s">
        <v>982</v>
      </c>
      <c r="F475" s="2" t="s">
        <v>981</v>
      </c>
      <c r="G475" s="3">
        <v>46080</v>
      </c>
      <c r="H475" s="2" t="s">
        <v>753</v>
      </c>
      <c r="I475" s="2" t="s">
        <v>755</v>
      </c>
      <c r="J475" s="2" t="s">
        <v>754</v>
      </c>
      <c r="K475" s="2" t="s">
        <v>753</v>
      </c>
      <c r="L475" s="6">
        <v>32</v>
      </c>
      <c r="M475" s="2" t="s">
        <v>752</v>
      </c>
      <c r="N475" s="7">
        <v>29.53</v>
      </c>
      <c r="O475" s="4">
        <v>944.96</v>
      </c>
      <c r="P475" s="4">
        <v>944.96</v>
      </c>
      <c r="Q475" s="6">
        <v>0</v>
      </c>
    </row>
    <row r="476" spans="1:17" x14ac:dyDescent="0.25">
      <c r="A476" s="2" t="s">
        <v>572</v>
      </c>
      <c r="B476" s="2" t="s">
        <v>55</v>
      </c>
      <c r="C476" s="2" t="s">
        <v>56</v>
      </c>
      <c r="D476" s="2" t="s">
        <v>758</v>
      </c>
      <c r="E476" s="2" t="s">
        <v>888</v>
      </c>
      <c r="F476" s="2" t="s">
        <v>887</v>
      </c>
      <c r="G476" s="3">
        <v>46080</v>
      </c>
      <c r="H476" s="2" t="s">
        <v>753</v>
      </c>
      <c r="I476" s="2" t="s">
        <v>755</v>
      </c>
      <c r="J476" s="2" t="s">
        <v>754</v>
      </c>
      <c r="K476" s="2" t="s">
        <v>753</v>
      </c>
      <c r="L476" s="6">
        <v>3</v>
      </c>
      <c r="M476" s="2" t="s">
        <v>752</v>
      </c>
      <c r="N476" s="7">
        <v>26.22</v>
      </c>
      <c r="O476" s="4">
        <v>78.66</v>
      </c>
      <c r="P476" s="4">
        <v>78.66</v>
      </c>
      <c r="Q476" s="6">
        <v>0</v>
      </c>
    </row>
    <row r="477" spans="1:17" x14ac:dyDescent="0.25">
      <c r="A477" s="2" t="s">
        <v>570</v>
      </c>
      <c r="B477" s="2" t="s">
        <v>55</v>
      </c>
      <c r="C477" s="2" t="s">
        <v>56</v>
      </c>
      <c r="D477" s="2" t="s">
        <v>758</v>
      </c>
      <c r="E477" s="2" t="s">
        <v>859</v>
      </c>
      <c r="F477" s="2" t="s">
        <v>858</v>
      </c>
      <c r="G477" s="3">
        <v>46080</v>
      </c>
      <c r="H477" s="2" t="s">
        <v>753</v>
      </c>
      <c r="I477" s="2" t="s">
        <v>755</v>
      </c>
      <c r="J477" s="2" t="s">
        <v>754</v>
      </c>
      <c r="K477" s="2" t="s">
        <v>753</v>
      </c>
      <c r="L477" s="6">
        <v>384</v>
      </c>
      <c r="M477" s="2" t="s">
        <v>752</v>
      </c>
      <c r="N477" s="7">
        <v>33.42</v>
      </c>
      <c r="O477" s="4">
        <v>12833.28</v>
      </c>
      <c r="P477" s="4">
        <v>12833.28</v>
      </c>
      <c r="Q477" s="6">
        <v>0</v>
      </c>
    </row>
    <row r="478" spans="1:17" x14ac:dyDescent="0.25">
      <c r="A478" s="2" t="s">
        <v>618</v>
      </c>
      <c r="B478" s="2" t="s">
        <v>69</v>
      </c>
      <c r="C478" s="2" t="s">
        <v>70</v>
      </c>
      <c r="D478" s="2" t="s">
        <v>758</v>
      </c>
      <c r="E478" s="2" t="s">
        <v>847</v>
      </c>
      <c r="F478" s="2" t="s">
        <v>846</v>
      </c>
      <c r="G478" s="3">
        <v>46063</v>
      </c>
      <c r="H478" s="2" t="s">
        <v>753</v>
      </c>
      <c r="I478" s="2" t="s">
        <v>755</v>
      </c>
      <c r="J478" s="2" t="s">
        <v>754</v>
      </c>
      <c r="K478" s="2" t="s">
        <v>753</v>
      </c>
      <c r="L478" s="6">
        <v>15</v>
      </c>
      <c r="M478" s="2" t="s">
        <v>752</v>
      </c>
      <c r="N478" s="7">
        <v>30.32</v>
      </c>
      <c r="O478" s="4">
        <v>454.8</v>
      </c>
      <c r="P478" s="4">
        <v>454.8</v>
      </c>
      <c r="Q478" s="6">
        <v>0</v>
      </c>
    </row>
    <row r="479" spans="1:17" x14ac:dyDescent="0.25">
      <c r="A479" s="2" t="s">
        <v>618</v>
      </c>
      <c r="B479" s="2" t="s">
        <v>69</v>
      </c>
      <c r="C479" s="2" t="s">
        <v>70</v>
      </c>
      <c r="D479" s="2" t="s">
        <v>758</v>
      </c>
      <c r="E479" s="2" t="s">
        <v>857</v>
      </c>
      <c r="F479" s="2" t="s">
        <v>856</v>
      </c>
      <c r="G479" s="3">
        <v>46063</v>
      </c>
      <c r="H479" s="2" t="s">
        <v>753</v>
      </c>
      <c r="I479" s="2" t="s">
        <v>755</v>
      </c>
      <c r="J479" s="2" t="s">
        <v>754</v>
      </c>
      <c r="K479" s="2" t="s">
        <v>753</v>
      </c>
      <c r="L479" s="6">
        <v>25</v>
      </c>
      <c r="M479" s="2" t="s">
        <v>752</v>
      </c>
      <c r="N479" s="7">
        <v>34.18</v>
      </c>
      <c r="O479" s="4">
        <v>854.5</v>
      </c>
      <c r="P479" s="4">
        <v>854.5</v>
      </c>
      <c r="Q479" s="6">
        <v>0</v>
      </c>
    </row>
    <row r="480" spans="1:17" x14ac:dyDescent="0.25">
      <c r="A480" s="2" t="s">
        <v>618</v>
      </c>
      <c r="B480" s="2" t="s">
        <v>69</v>
      </c>
      <c r="C480" s="2" t="s">
        <v>70</v>
      </c>
      <c r="D480" s="2" t="s">
        <v>758</v>
      </c>
      <c r="E480" s="2" t="s">
        <v>855</v>
      </c>
      <c r="F480" s="2" t="s">
        <v>854</v>
      </c>
      <c r="G480" s="3">
        <v>46063</v>
      </c>
      <c r="H480" s="2" t="s">
        <v>753</v>
      </c>
      <c r="I480" s="2" t="s">
        <v>755</v>
      </c>
      <c r="J480" s="2" t="s">
        <v>754</v>
      </c>
      <c r="K480" s="2" t="s">
        <v>753</v>
      </c>
      <c r="L480" s="6">
        <v>12</v>
      </c>
      <c r="M480" s="2" t="s">
        <v>752</v>
      </c>
      <c r="N480" s="7">
        <v>53.2</v>
      </c>
      <c r="O480" s="4">
        <v>638.4</v>
      </c>
      <c r="P480" s="4">
        <v>638.4</v>
      </c>
      <c r="Q480" s="6">
        <v>0</v>
      </c>
    </row>
    <row r="481" spans="1:17" x14ac:dyDescent="0.25">
      <c r="A481" s="2" t="s">
        <v>568</v>
      </c>
      <c r="B481" s="2" t="s">
        <v>95</v>
      </c>
      <c r="C481" s="2" t="s">
        <v>96</v>
      </c>
      <c r="D481" s="2" t="s">
        <v>758</v>
      </c>
      <c r="E481" s="2" t="s">
        <v>871</v>
      </c>
      <c r="F481" s="2" t="s">
        <v>870</v>
      </c>
      <c r="G481" s="3">
        <v>46083</v>
      </c>
      <c r="H481" s="2" t="s">
        <v>753</v>
      </c>
      <c r="I481" s="2" t="s">
        <v>755</v>
      </c>
      <c r="J481" s="2" t="s">
        <v>754</v>
      </c>
      <c r="K481" s="2" t="s">
        <v>753</v>
      </c>
      <c r="L481" s="6">
        <v>600</v>
      </c>
      <c r="M481" s="2" t="s">
        <v>752</v>
      </c>
      <c r="N481" s="7">
        <v>41.66</v>
      </c>
      <c r="O481" s="4">
        <v>24996</v>
      </c>
      <c r="P481" s="4">
        <v>24996</v>
      </c>
      <c r="Q481" s="6">
        <v>0</v>
      </c>
    </row>
    <row r="482" spans="1:17" x14ac:dyDescent="0.25">
      <c r="A482" s="2" t="s">
        <v>568</v>
      </c>
      <c r="B482" s="2" t="s">
        <v>95</v>
      </c>
      <c r="C482" s="2" t="s">
        <v>96</v>
      </c>
      <c r="D482" s="2" t="s">
        <v>758</v>
      </c>
      <c r="E482" s="2" t="s">
        <v>918</v>
      </c>
      <c r="F482" s="2" t="s">
        <v>917</v>
      </c>
      <c r="G482" s="3">
        <v>46083</v>
      </c>
      <c r="H482" s="2" t="s">
        <v>753</v>
      </c>
      <c r="I482" s="2" t="s">
        <v>755</v>
      </c>
      <c r="J482" s="2" t="s">
        <v>754</v>
      </c>
      <c r="K482" s="2" t="s">
        <v>753</v>
      </c>
      <c r="L482" s="6">
        <v>16</v>
      </c>
      <c r="M482" s="2" t="s">
        <v>752</v>
      </c>
      <c r="N482" s="7">
        <v>42.53</v>
      </c>
      <c r="O482" s="4">
        <v>680.48</v>
      </c>
      <c r="P482" s="4">
        <v>680.48</v>
      </c>
      <c r="Q482" s="6">
        <v>0</v>
      </c>
    </row>
    <row r="483" spans="1:17" x14ac:dyDescent="0.25">
      <c r="A483" s="2" t="s">
        <v>568</v>
      </c>
      <c r="B483" s="2" t="s">
        <v>95</v>
      </c>
      <c r="C483" s="2" t="s">
        <v>96</v>
      </c>
      <c r="D483" s="2" t="s">
        <v>758</v>
      </c>
      <c r="E483" s="2" t="s">
        <v>778</v>
      </c>
      <c r="F483" s="2" t="s">
        <v>997</v>
      </c>
      <c r="G483" s="3">
        <v>46083</v>
      </c>
      <c r="H483" s="2" t="s">
        <v>753</v>
      </c>
      <c r="I483" s="2" t="s">
        <v>755</v>
      </c>
      <c r="J483" s="2" t="s">
        <v>754</v>
      </c>
      <c r="K483" s="2" t="s">
        <v>753</v>
      </c>
      <c r="L483" s="6">
        <v>16</v>
      </c>
      <c r="M483" s="2" t="s">
        <v>752</v>
      </c>
      <c r="N483" s="7">
        <v>39.96</v>
      </c>
      <c r="O483" s="4">
        <v>639.36</v>
      </c>
      <c r="P483" s="4">
        <v>639.36</v>
      </c>
      <c r="Q483" s="6">
        <v>0</v>
      </c>
    </row>
    <row r="484" spans="1:17" x14ac:dyDescent="0.25">
      <c r="A484" s="2" t="s">
        <v>568</v>
      </c>
      <c r="B484" s="2" t="s">
        <v>95</v>
      </c>
      <c r="C484" s="2" t="s">
        <v>96</v>
      </c>
      <c r="D484" s="2" t="s">
        <v>758</v>
      </c>
      <c r="E484" s="2" t="s">
        <v>894</v>
      </c>
      <c r="F484" s="2" t="s">
        <v>893</v>
      </c>
      <c r="G484" s="3">
        <v>46083</v>
      </c>
      <c r="H484" s="2" t="s">
        <v>753</v>
      </c>
      <c r="I484" s="2" t="s">
        <v>755</v>
      </c>
      <c r="J484" s="2" t="s">
        <v>754</v>
      </c>
      <c r="K484" s="2" t="s">
        <v>753</v>
      </c>
      <c r="L484" s="6">
        <v>64</v>
      </c>
      <c r="M484" s="2" t="s">
        <v>752</v>
      </c>
      <c r="N484" s="7">
        <v>33.5</v>
      </c>
      <c r="O484" s="4">
        <v>2144</v>
      </c>
      <c r="P484" s="4">
        <v>2144</v>
      </c>
      <c r="Q484" s="6">
        <v>0</v>
      </c>
    </row>
    <row r="485" spans="1:17" x14ac:dyDescent="0.25">
      <c r="A485" s="2" t="s">
        <v>578</v>
      </c>
      <c r="B485" s="2" t="s">
        <v>29</v>
      </c>
      <c r="C485" s="2" t="s">
        <v>30</v>
      </c>
      <c r="D485" s="2" t="s">
        <v>758</v>
      </c>
      <c r="E485" s="2" t="s">
        <v>817</v>
      </c>
      <c r="F485" s="2" t="s">
        <v>937</v>
      </c>
      <c r="G485" s="3">
        <v>46079</v>
      </c>
      <c r="H485" s="2" t="s">
        <v>753</v>
      </c>
      <c r="I485" s="2" t="s">
        <v>755</v>
      </c>
      <c r="J485" s="2" t="s">
        <v>754</v>
      </c>
      <c r="K485" s="2" t="s">
        <v>753</v>
      </c>
      <c r="L485" s="6">
        <v>56</v>
      </c>
      <c r="M485" s="2" t="s">
        <v>752</v>
      </c>
      <c r="N485" s="7">
        <v>31.42</v>
      </c>
      <c r="O485" s="4">
        <v>1759.52</v>
      </c>
      <c r="P485" s="4">
        <v>1759.52</v>
      </c>
      <c r="Q485" s="6">
        <v>0</v>
      </c>
    </row>
    <row r="486" spans="1:17" x14ac:dyDescent="0.25">
      <c r="A486" s="2" t="s">
        <v>578</v>
      </c>
      <c r="B486" s="2" t="s">
        <v>29</v>
      </c>
      <c r="C486" s="2" t="s">
        <v>30</v>
      </c>
      <c r="D486" s="2" t="s">
        <v>758</v>
      </c>
      <c r="E486" s="2" t="s">
        <v>815</v>
      </c>
      <c r="F486" s="2" t="s">
        <v>814</v>
      </c>
      <c r="G486" s="3">
        <v>46079</v>
      </c>
      <c r="H486" s="2" t="s">
        <v>753</v>
      </c>
      <c r="I486" s="2" t="s">
        <v>755</v>
      </c>
      <c r="J486" s="2" t="s">
        <v>754</v>
      </c>
      <c r="K486" s="2" t="s">
        <v>753</v>
      </c>
      <c r="L486" s="6">
        <v>168</v>
      </c>
      <c r="M486" s="2" t="s">
        <v>752</v>
      </c>
      <c r="N486" s="7">
        <v>34</v>
      </c>
      <c r="O486" s="4">
        <v>5712</v>
      </c>
      <c r="P486" s="4">
        <v>5712</v>
      </c>
      <c r="Q486" s="6">
        <v>0</v>
      </c>
    </row>
    <row r="487" spans="1:17" x14ac:dyDescent="0.25">
      <c r="A487" s="2" t="s">
        <v>578</v>
      </c>
      <c r="B487" s="2" t="s">
        <v>29</v>
      </c>
      <c r="C487" s="2" t="s">
        <v>30</v>
      </c>
      <c r="D487" s="2" t="s">
        <v>758</v>
      </c>
      <c r="E487" s="2" t="s">
        <v>813</v>
      </c>
      <c r="F487" s="2" t="s">
        <v>812</v>
      </c>
      <c r="G487" s="3">
        <v>46079</v>
      </c>
      <c r="H487" s="2" t="s">
        <v>753</v>
      </c>
      <c r="I487" s="2" t="s">
        <v>755</v>
      </c>
      <c r="J487" s="2" t="s">
        <v>754</v>
      </c>
      <c r="K487" s="2" t="s">
        <v>753</v>
      </c>
      <c r="L487" s="6">
        <v>12</v>
      </c>
      <c r="M487" s="2" t="s">
        <v>752</v>
      </c>
      <c r="N487" s="7">
        <v>43.26</v>
      </c>
      <c r="O487" s="4">
        <v>519.12</v>
      </c>
      <c r="P487" s="4">
        <v>519.12</v>
      </c>
      <c r="Q487" s="6">
        <v>0</v>
      </c>
    </row>
    <row r="488" spans="1:17" x14ac:dyDescent="0.25">
      <c r="A488" s="2" t="s">
        <v>578</v>
      </c>
      <c r="B488" s="2" t="s">
        <v>29</v>
      </c>
      <c r="C488" s="2" t="s">
        <v>30</v>
      </c>
      <c r="D488" s="2" t="s">
        <v>758</v>
      </c>
      <c r="E488" s="2" t="s">
        <v>811</v>
      </c>
      <c r="F488" s="2" t="s">
        <v>810</v>
      </c>
      <c r="G488" s="3">
        <v>46079</v>
      </c>
      <c r="H488" s="2" t="s">
        <v>753</v>
      </c>
      <c r="I488" s="2" t="s">
        <v>755</v>
      </c>
      <c r="J488" s="2" t="s">
        <v>754</v>
      </c>
      <c r="K488" s="2" t="s">
        <v>753</v>
      </c>
      <c r="L488" s="6">
        <v>40</v>
      </c>
      <c r="M488" s="2" t="s">
        <v>752</v>
      </c>
      <c r="N488" s="7">
        <v>43.26</v>
      </c>
      <c r="O488" s="4">
        <v>1730.4</v>
      </c>
      <c r="P488" s="4">
        <v>1730.4</v>
      </c>
      <c r="Q488" s="6">
        <v>0</v>
      </c>
    </row>
    <row r="489" spans="1:17" x14ac:dyDescent="0.25">
      <c r="A489" s="2" t="s">
        <v>578</v>
      </c>
      <c r="B489" s="2" t="s">
        <v>29</v>
      </c>
      <c r="C489" s="2" t="s">
        <v>30</v>
      </c>
      <c r="D489" s="2" t="s">
        <v>758</v>
      </c>
      <c r="E489" s="2" t="s">
        <v>763</v>
      </c>
      <c r="F489" s="2" t="s">
        <v>762</v>
      </c>
      <c r="G489" s="3">
        <v>46079</v>
      </c>
      <c r="H489" s="2" t="s">
        <v>753</v>
      </c>
      <c r="I489" s="2" t="s">
        <v>755</v>
      </c>
      <c r="J489" s="2" t="s">
        <v>754</v>
      </c>
      <c r="K489" s="2" t="s">
        <v>753</v>
      </c>
      <c r="L489" s="6">
        <v>112</v>
      </c>
      <c r="M489" s="2" t="s">
        <v>752</v>
      </c>
      <c r="N489" s="7">
        <v>43.36</v>
      </c>
      <c r="O489" s="4">
        <v>4856.32</v>
      </c>
      <c r="P489" s="4">
        <v>4856.32</v>
      </c>
      <c r="Q489" s="6">
        <v>0</v>
      </c>
    </row>
    <row r="490" spans="1:17" x14ac:dyDescent="0.25">
      <c r="A490" s="2" t="s">
        <v>578</v>
      </c>
      <c r="B490" s="2" t="s">
        <v>29</v>
      </c>
      <c r="C490" s="2" t="s">
        <v>30</v>
      </c>
      <c r="D490" s="2" t="s">
        <v>758</v>
      </c>
      <c r="E490" s="2" t="s">
        <v>776</v>
      </c>
      <c r="F490" s="2" t="s">
        <v>775</v>
      </c>
      <c r="G490" s="3">
        <v>46079</v>
      </c>
      <c r="H490" s="2" t="s">
        <v>753</v>
      </c>
      <c r="I490" s="2" t="s">
        <v>755</v>
      </c>
      <c r="J490" s="2" t="s">
        <v>754</v>
      </c>
      <c r="K490" s="2" t="s">
        <v>753</v>
      </c>
      <c r="L490" s="6">
        <v>20</v>
      </c>
      <c r="M490" s="2" t="s">
        <v>752</v>
      </c>
      <c r="N490" s="7">
        <v>41.2</v>
      </c>
      <c r="O490" s="4">
        <v>824</v>
      </c>
      <c r="P490" s="4">
        <v>824</v>
      </c>
      <c r="Q490" s="6">
        <v>0</v>
      </c>
    </row>
    <row r="491" spans="1:17" x14ac:dyDescent="0.25">
      <c r="A491" s="2" t="s">
        <v>578</v>
      </c>
      <c r="B491" s="2" t="s">
        <v>29</v>
      </c>
      <c r="C491" s="2" t="s">
        <v>30</v>
      </c>
      <c r="D491" s="2" t="s">
        <v>758</v>
      </c>
      <c r="E491" s="2" t="s">
        <v>847</v>
      </c>
      <c r="F491" s="2" t="s">
        <v>846</v>
      </c>
      <c r="G491" s="3">
        <v>46079</v>
      </c>
      <c r="H491" s="2" t="s">
        <v>753</v>
      </c>
      <c r="I491" s="2" t="s">
        <v>755</v>
      </c>
      <c r="J491" s="2" t="s">
        <v>754</v>
      </c>
      <c r="K491" s="2" t="s">
        <v>753</v>
      </c>
      <c r="L491" s="6">
        <v>28</v>
      </c>
      <c r="M491" s="2" t="s">
        <v>752</v>
      </c>
      <c r="N491" s="7">
        <v>38.19</v>
      </c>
      <c r="O491" s="4">
        <v>1069.32</v>
      </c>
      <c r="P491" s="4">
        <v>1069.32</v>
      </c>
      <c r="Q491" s="6">
        <v>0</v>
      </c>
    </row>
    <row r="492" spans="1:17" x14ac:dyDescent="0.25">
      <c r="A492" s="2" t="s">
        <v>578</v>
      </c>
      <c r="B492" s="2" t="s">
        <v>29</v>
      </c>
      <c r="C492" s="2" t="s">
        <v>30</v>
      </c>
      <c r="D492" s="2" t="s">
        <v>758</v>
      </c>
      <c r="E492" s="2" t="s">
        <v>927</v>
      </c>
      <c r="F492" s="2" t="s">
        <v>926</v>
      </c>
      <c r="G492" s="3">
        <v>46079</v>
      </c>
      <c r="H492" s="2" t="s">
        <v>753</v>
      </c>
      <c r="I492" s="2" t="s">
        <v>755</v>
      </c>
      <c r="J492" s="2" t="s">
        <v>754</v>
      </c>
      <c r="K492" s="2" t="s">
        <v>753</v>
      </c>
      <c r="L492" s="6">
        <v>8</v>
      </c>
      <c r="M492" s="2" t="s">
        <v>752</v>
      </c>
      <c r="N492" s="7">
        <v>45.84</v>
      </c>
      <c r="O492" s="4">
        <v>366.72</v>
      </c>
      <c r="P492" s="4">
        <v>366.72</v>
      </c>
      <c r="Q492" s="6">
        <v>0</v>
      </c>
    </row>
    <row r="493" spans="1:17" x14ac:dyDescent="0.25">
      <c r="A493" s="2" t="s">
        <v>578</v>
      </c>
      <c r="B493" s="2" t="s">
        <v>29</v>
      </c>
      <c r="C493" s="2" t="s">
        <v>30</v>
      </c>
      <c r="D493" s="2" t="s">
        <v>758</v>
      </c>
      <c r="E493" s="2" t="s">
        <v>807</v>
      </c>
      <c r="F493" s="2" t="s">
        <v>806</v>
      </c>
      <c r="G493" s="3">
        <v>46079</v>
      </c>
      <c r="H493" s="2" t="s">
        <v>753</v>
      </c>
      <c r="I493" s="2" t="s">
        <v>755</v>
      </c>
      <c r="J493" s="2" t="s">
        <v>754</v>
      </c>
      <c r="K493" s="2" t="s">
        <v>753</v>
      </c>
      <c r="L493" s="6">
        <v>12</v>
      </c>
      <c r="M493" s="2" t="s">
        <v>752</v>
      </c>
      <c r="N493" s="7">
        <v>42.02</v>
      </c>
      <c r="O493" s="4">
        <v>504.24</v>
      </c>
      <c r="P493" s="4">
        <v>504.24</v>
      </c>
      <c r="Q493" s="6">
        <v>0</v>
      </c>
    </row>
    <row r="494" spans="1:17" x14ac:dyDescent="0.25">
      <c r="A494" s="2" t="s">
        <v>578</v>
      </c>
      <c r="B494" s="2" t="s">
        <v>29</v>
      </c>
      <c r="C494" s="2" t="s">
        <v>30</v>
      </c>
      <c r="D494" s="2" t="s">
        <v>758</v>
      </c>
      <c r="E494" s="2" t="s">
        <v>805</v>
      </c>
      <c r="F494" s="2" t="s">
        <v>804</v>
      </c>
      <c r="G494" s="3">
        <v>46079</v>
      </c>
      <c r="H494" s="2" t="s">
        <v>753</v>
      </c>
      <c r="I494" s="2" t="s">
        <v>755</v>
      </c>
      <c r="J494" s="2" t="s">
        <v>754</v>
      </c>
      <c r="K494" s="2" t="s">
        <v>753</v>
      </c>
      <c r="L494" s="6">
        <v>80</v>
      </c>
      <c r="M494" s="2" t="s">
        <v>752</v>
      </c>
      <c r="N494" s="7">
        <v>41</v>
      </c>
      <c r="O494" s="4">
        <v>3280</v>
      </c>
      <c r="P494" s="4">
        <v>3280</v>
      </c>
      <c r="Q494" s="6">
        <v>0</v>
      </c>
    </row>
    <row r="495" spans="1:17" x14ac:dyDescent="0.25">
      <c r="A495" s="2" t="s">
        <v>576</v>
      </c>
      <c r="B495" s="2" t="s">
        <v>99</v>
      </c>
      <c r="C495" s="2" t="s">
        <v>100</v>
      </c>
      <c r="D495" s="2" t="s">
        <v>758</v>
      </c>
      <c r="E495" s="2" t="s">
        <v>763</v>
      </c>
      <c r="F495" s="2" t="s">
        <v>762</v>
      </c>
      <c r="G495" s="3">
        <v>46079</v>
      </c>
      <c r="H495" s="2" t="s">
        <v>770</v>
      </c>
      <c r="I495" s="2" t="s">
        <v>755</v>
      </c>
      <c r="J495" s="2" t="s">
        <v>754</v>
      </c>
      <c r="K495" s="2" t="s">
        <v>753</v>
      </c>
      <c r="L495" s="6">
        <v>288</v>
      </c>
      <c r="M495" s="2" t="s">
        <v>752</v>
      </c>
      <c r="N495" s="7">
        <v>36.82</v>
      </c>
      <c r="O495" s="4">
        <v>10604.16</v>
      </c>
      <c r="P495" s="4">
        <v>10604.16</v>
      </c>
      <c r="Q495" s="6">
        <v>0</v>
      </c>
    </row>
    <row r="496" spans="1:17" x14ac:dyDescent="0.25">
      <c r="A496" s="2" t="s">
        <v>576</v>
      </c>
      <c r="B496" s="2" t="s">
        <v>99</v>
      </c>
      <c r="C496" s="2" t="s">
        <v>100</v>
      </c>
      <c r="D496" s="2" t="s">
        <v>758</v>
      </c>
      <c r="E496" s="2" t="s">
        <v>861</v>
      </c>
      <c r="F496" s="2" t="s">
        <v>860</v>
      </c>
      <c r="G496" s="3">
        <v>46079</v>
      </c>
      <c r="H496" s="2" t="s">
        <v>770</v>
      </c>
      <c r="I496" s="2" t="s">
        <v>755</v>
      </c>
      <c r="J496" s="2" t="s">
        <v>754</v>
      </c>
      <c r="K496" s="2" t="s">
        <v>753</v>
      </c>
      <c r="L496" s="6">
        <v>112</v>
      </c>
      <c r="M496" s="2" t="s">
        <v>752</v>
      </c>
      <c r="N496" s="7">
        <v>39.700000000000003</v>
      </c>
      <c r="O496" s="4">
        <v>4446.3999999999996</v>
      </c>
      <c r="P496" s="4">
        <v>4446.3999999999996</v>
      </c>
      <c r="Q496" s="6">
        <v>0</v>
      </c>
    </row>
    <row r="497" spans="1:17" x14ac:dyDescent="0.25">
      <c r="A497" s="2" t="s">
        <v>576</v>
      </c>
      <c r="B497" s="2" t="s">
        <v>99</v>
      </c>
      <c r="C497" s="2" t="s">
        <v>100</v>
      </c>
      <c r="D497" s="2" t="s">
        <v>758</v>
      </c>
      <c r="E497" s="2" t="s">
        <v>757</v>
      </c>
      <c r="F497" s="2" t="s">
        <v>756</v>
      </c>
      <c r="G497" s="3">
        <v>46079</v>
      </c>
      <c r="H497" s="2" t="s">
        <v>770</v>
      </c>
      <c r="I497" s="2" t="s">
        <v>755</v>
      </c>
      <c r="J497" s="2" t="s">
        <v>754</v>
      </c>
      <c r="K497" s="2" t="s">
        <v>753</v>
      </c>
      <c r="L497" s="6">
        <v>440</v>
      </c>
      <c r="M497" s="2" t="s">
        <v>752</v>
      </c>
      <c r="N497" s="7">
        <v>39.700000000000003</v>
      </c>
      <c r="O497" s="4">
        <v>17468</v>
      </c>
      <c r="P497" s="4">
        <v>17468</v>
      </c>
      <c r="Q497" s="6">
        <v>0</v>
      </c>
    </row>
    <row r="498" spans="1:17" x14ac:dyDescent="0.25">
      <c r="A498" s="2" t="s">
        <v>996</v>
      </c>
      <c r="B498" s="2" t="s">
        <v>760</v>
      </c>
      <c r="C498" s="2" t="s">
        <v>759</v>
      </c>
      <c r="D498" s="2" t="s">
        <v>758</v>
      </c>
      <c r="E498" s="2" t="s">
        <v>995</v>
      </c>
      <c r="F498" s="2" t="s">
        <v>994</v>
      </c>
      <c r="G498" s="3">
        <v>46065</v>
      </c>
      <c r="H498" s="2" t="s">
        <v>753</v>
      </c>
      <c r="I498" s="2" t="s">
        <v>755</v>
      </c>
      <c r="J498" s="2" t="s">
        <v>754</v>
      </c>
      <c r="K498" s="2" t="s">
        <v>753</v>
      </c>
      <c r="L498" s="6">
        <v>1</v>
      </c>
      <c r="M498" s="2" t="s">
        <v>752</v>
      </c>
      <c r="N498" s="7">
        <v>0</v>
      </c>
      <c r="O498" s="4">
        <v>0</v>
      </c>
      <c r="P498" s="4">
        <v>0</v>
      </c>
      <c r="Q498" s="6">
        <v>0</v>
      </c>
    </row>
    <row r="499" spans="1:17" x14ac:dyDescent="0.25">
      <c r="A499" s="2" t="s">
        <v>562</v>
      </c>
      <c r="B499" s="2" t="s">
        <v>139</v>
      </c>
      <c r="C499" s="2" t="s">
        <v>140</v>
      </c>
      <c r="D499" s="2" t="s">
        <v>758</v>
      </c>
      <c r="E499" s="2" t="s">
        <v>922</v>
      </c>
      <c r="F499" s="2" t="s">
        <v>921</v>
      </c>
      <c r="G499" s="3">
        <v>46084</v>
      </c>
      <c r="H499" s="2" t="s">
        <v>753</v>
      </c>
      <c r="I499" s="2" t="s">
        <v>755</v>
      </c>
      <c r="J499" s="2" t="s">
        <v>754</v>
      </c>
      <c r="K499" s="2" t="s">
        <v>753</v>
      </c>
      <c r="L499" s="6">
        <v>6</v>
      </c>
      <c r="M499" s="2" t="s">
        <v>752</v>
      </c>
      <c r="N499" s="7">
        <v>48.57</v>
      </c>
      <c r="O499" s="4">
        <v>291.42</v>
      </c>
      <c r="P499" s="4">
        <v>291.42</v>
      </c>
      <c r="Q499" s="6">
        <v>0</v>
      </c>
    </row>
    <row r="500" spans="1:17" x14ac:dyDescent="0.25">
      <c r="A500" s="2" t="s">
        <v>562</v>
      </c>
      <c r="B500" s="2" t="s">
        <v>139</v>
      </c>
      <c r="C500" s="2" t="s">
        <v>140</v>
      </c>
      <c r="D500" s="2" t="s">
        <v>758</v>
      </c>
      <c r="E500" s="2" t="s">
        <v>827</v>
      </c>
      <c r="F500" s="2" t="s">
        <v>826</v>
      </c>
      <c r="G500" s="3">
        <v>46084</v>
      </c>
      <c r="H500" s="2" t="s">
        <v>753</v>
      </c>
      <c r="I500" s="2" t="s">
        <v>755</v>
      </c>
      <c r="J500" s="2" t="s">
        <v>754</v>
      </c>
      <c r="K500" s="2" t="s">
        <v>753</v>
      </c>
      <c r="L500" s="6">
        <v>32</v>
      </c>
      <c r="M500" s="2" t="s">
        <v>752</v>
      </c>
      <c r="N500" s="7">
        <v>40.85</v>
      </c>
      <c r="O500" s="4">
        <v>1307.2</v>
      </c>
      <c r="P500" s="4">
        <v>1307.2</v>
      </c>
      <c r="Q500" s="6">
        <v>0</v>
      </c>
    </row>
    <row r="501" spans="1:17" x14ac:dyDescent="0.25">
      <c r="A501" s="2" t="s">
        <v>562</v>
      </c>
      <c r="B501" s="2" t="s">
        <v>139</v>
      </c>
      <c r="C501" s="2" t="s">
        <v>140</v>
      </c>
      <c r="D501" s="2" t="s">
        <v>758</v>
      </c>
      <c r="E501" s="2" t="s">
        <v>879</v>
      </c>
      <c r="F501" s="2" t="s">
        <v>878</v>
      </c>
      <c r="G501" s="3">
        <v>46084</v>
      </c>
      <c r="H501" s="2" t="s">
        <v>753</v>
      </c>
      <c r="I501" s="2" t="s">
        <v>755</v>
      </c>
      <c r="J501" s="2" t="s">
        <v>754</v>
      </c>
      <c r="K501" s="2" t="s">
        <v>753</v>
      </c>
      <c r="L501" s="6">
        <v>124</v>
      </c>
      <c r="M501" s="2" t="s">
        <v>752</v>
      </c>
      <c r="N501" s="7">
        <v>40.9</v>
      </c>
      <c r="O501" s="4">
        <v>5071.6000000000004</v>
      </c>
      <c r="P501" s="4">
        <v>5071.6000000000004</v>
      </c>
      <c r="Q501" s="6">
        <v>0</v>
      </c>
    </row>
    <row r="502" spans="1:17" x14ac:dyDescent="0.25">
      <c r="A502" s="2" t="s">
        <v>562</v>
      </c>
      <c r="B502" s="2" t="s">
        <v>139</v>
      </c>
      <c r="C502" s="2" t="s">
        <v>140</v>
      </c>
      <c r="D502" s="2" t="s">
        <v>758</v>
      </c>
      <c r="E502" s="2" t="s">
        <v>847</v>
      </c>
      <c r="F502" s="2" t="s">
        <v>846</v>
      </c>
      <c r="G502" s="3">
        <v>46084</v>
      </c>
      <c r="H502" s="2" t="s">
        <v>753</v>
      </c>
      <c r="I502" s="2" t="s">
        <v>755</v>
      </c>
      <c r="J502" s="2" t="s">
        <v>754</v>
      </c>
      <c r="K502" s="2" t="s">
        <v>753</v>
      </c>
      <c r="L502" s="6">
        <v>56</v>
      </c>
      <c r="M502" s="2" t="s">
        <v>752</v>
      </c>
      <c r="N502" s="7">
        <v>38.08</v>
      </c>
      <c r="O502" s="4">
        <v>2132.48</v>
      </c>
      <c r="P502" s="4">
        <v>2132.48</v>
      </c>
      <c r="Q502" s="6">
        <v>0</v>
      </c>
    </row>
    <row r="503" spans="1:17" x14ac:dyDescent="0.25">
      <c r="A503" s="2" t="s">
        <v>562</v>
      </c>
      <c r="B503" s="2" t="s">
        <v>139</v>
      </c>
      <c r="C503" s="2" t="s">
        <v>140</v>
      </c>
      <c r="D503" s="2" t="s">
        <v>758</v>
      </c>
      <c r="E503" s="2" t="s">
        <v>819</v>
      </c>
      <c r="F503" s="2" t="s">
        <v>818</v>
      </c>
      <c r="G503" s="3">
        <v>46084</v>
      </c>
      <c r="H503" s="2" t="s">
        <v>753</v>
      </c>
      <c r="I503" s="2" t="s">
        <v>755</v>
      </c>
      <c r="J503" s="2" t="s">
        <v>754</v>
      </c>
      <c r="K503" s="2" t="s">
        <v>753</v>
      </c>
      <c r="L503" s="6">
        <v>72</v>
      </c>
      <c r="M503" s="2" t="s">
        <v>752</v>
      </c>
      <c r="N503" s="7">
        <v>40.22</v>
      </c>
      <c r="O503" s="4">
        <v>2895.84</v>
      </c>
      <c r="P503" s="4">
        <v>2895.84</v>
      </c>
      <c r="Q503" s="6">
        <v>0</v>
      </c>
    </row>
    <row r="504" spans="1:17" x14ac:dyDescent="0.25">
      <c r="A504" s="2" t="s">
        <v>562</v>
      </c>
      <c r="B504" s="2" t="s">
        <v>139</v>
      </c>
      <c r="C504" s="2" t="s">
        <v>140</v>
      </c>
      <c r="D504" s="2" t="s">
        <v>758</v>
      </c>
      <c r="E504" s="2" t="s">
        <v>865</v>
      </c>
      <c r="F504" s="2" t="s">
        <v>864</v>
      </c>
      <c r="G504" s="3">
        <v>46084</v>
      </c>
      <c r="H504" s="2" t="s">
        <v>753</v>
      </c>
      <c r="I504" s="2" t="s">
        <v>755</v>
      </c>
      <c r="J504" s="2" t="s">
        <v>754</v>
      </c>
      <c r="K504" s="2" t="s">
        <v>753</v>
      </c>
      <c r="L504" s="6">
        <v>48</v>
      </c>
      <c r="M504" s="2" t="s">
        <v>752</v>
      </c>
      <c r="N504" s="7">
        <v>40.11</v>
      </c>
      <c r="O504" s="4">
        <v>1925.28</v>
      </c>
      <c r="P504" s="4">
        <v>1925.28</v>
      </c>
      <c r="Q504" s="6">
        <v>0</v>
      </c>
    </row>
    <row r="505" spans="1:17" x14ac:dyDescent="0.25">
      <c r="A505" s="2" t="s">
        <v>574</v>
      </c>
      <c r="B505" s="2" t="s">
        <v>21</v>
      </c>
      <c r="C505" s="2" t="s">
        <v>22</v>
      </c>
      <c r="D505" s="2" t="s">
        <v>758</v>
      </c>
      <c r="E505" s="2" t="s">
        <v>763</v>
      </c>
      <c r="F505" s="2" t="s">
        <v>762</v>
      </c>
      <c r="G505" s="3">
        <v>46079</v>
      </c>
      <c r="H505" s="2" t="s">
        <v>753</v>
      </c>
      <c r="I505" s="2" t="s">
        <v>755</v>
      </c>
      <c r="J505" s="2" t="s">
        <v>754</v>
      </c>
      <c r="K505" s="2" t="s">
        <v>753</v>
      </c>
      <c r="L505" s="6">
        <v>280</v>
      </c>
      <c r="M505" s="2" t="s">
        <v>752</v>
      </c>
      <c r="N505" s="7">
        <v>42.6</v>
      </c>
      <c r="O505" s="4">
        <v>11928</v>
      </c>
      <c r="P505" s="4">
        <v>11928</v>
      </c>
      <c r="Q505" s="6">
        <v>0</v>
      </c>
    </row>
    <row r="506" spans="1:17" x14ac:dyDescent="0.25">
      <c r="A506" s="2" t="s">
        <v>574</v>
      </c>
      <c r="B506" s="2" t="s">
        <v>21</v>
      </c>
      <c r="C506" s="2" t="s">
        <v>22</v>
      </c>
      <c r="D506" s="2" t="s">
        <v>758</v>
      </c>
      <c r="E506" s="2" t="s">
        <v>794</v>
      </c>
      <c r="F506" s="2" t="s">
        <v>793</v>
      </c>
      <c r="G506" s="3">
        <v>46079</v>
      </c>
      <c r="H506" s="2" t="s">
        <v>753</v>
      </c>
      <c r="I506" s="2" t="s">
        <v>755</v>
      </c>
      <c r="J506" s="2" t="s">
        <v>754</v>
      </c>
      <c r="K506" s="2" t="s">
        <v>753</v>
      </c>
      <c r="L506" s="6">
        <v>16</v>
      </c>
      <c r="M506" s="2" t="s">
        <v>752</v>
      </c>
      <c r="N506" s="7">
        <v>40.619999999999997</v>
      </c>
      <c r="O506" s="4">
        <v>649.91999999999996</v>
      </c>
      <c r="P506" s="4">
        <v>649.91999999999996</v>
      </c>
      <c r="Q506" s="6">
        <v>0</v>
      </c>
    </row>
    <row r="507" spans="1:17" x14ac:dyDescent="0.25">
      <c r="A507" s="2" t="s">
        <v>574</v>
      </c>
      <c r="B507" s="2" t="s">
        <v>21</v>
      </c>
      <c r="C507" s="2" t="s">
        <v>22</v>
      </c>
      <c r="D507" s="2" t="s">
        <v>758</v>
      </c>
      <c r="E507" s="2" t="s">
        <v>792</v>
      </c>
      <c r="F507" s="2" t="s">
        <v>943</v>
      </c>
      <c r="G507" s="3">
        <v>46079</v>
      </c>
      <c r="H507" s="2" t="s">
        <v>753</v>
      </c>
      <c r="I507" s="2" t="s">
        <v>755</v>
      </c>
      <c r="J507" s="2" t="s">
        <v>754</v>
      </c>
      <c r="K507" s="2" t="s">
        <v>753</v>
      </c>
      <c r="L507" s="6">
        <v>28</v>
      </c>
      <c r="M507" s="2" t="s">
        <v>752</v>
      </c>
      <c r="N507" s="7">
        <v>35</v>
      </c>
      <c r="O507" s="4">
        <v>980</v>
      </c>
      <c r="P507" s="4">
        <v>980</v>
      </c>
      <c r="Q507" s="6">
        <v>0</v>
      </c>
    </row>
    <row r="508" spans="1:17" x14ac:dyDescent="0.25">
      <c r="A508" s="2" t="s">
        <v>574</v>
      </c>
      <c r="B508" s="2" t="s">
        <v>21</v>
      </c>
      <c r="C508" s="2" t="s">
        <v>22</v>
      </c>
      <c r="D508" s="2" t="s">
        <v>758</v>
      </c>
      <c r="E508" s="2" t="s">
        <v>790</v>
      </c>
      <c r="F508" s="2" t="s">
        <v>789</v>
      </c>
      <c r="G508" s="3">
        <v>46079</v>
      </c>
      <c r="H508" s="2" t="s">
        <v>753</v>
      </c>
      <c r="I508" s="2" t="s">
        <v>755</v>
      </c>
      <c r="J508" s="2" t="s">
        <v>754</v>
      </c>
      <c r="K508" s="2" t="s">
        <v>753</v>
      </c>
      <c r="L508" s="6">
        <v>56</v>
      </c>
      <c r="M508" s="2" t="s">
        <v>752</v>
      </c>
      <c r="N508" s="7">
        <v>39.25</v>
      </c>
      <c r="O508" s="4">
        <v>2198</v>
      </c>
      <c r="P508" s="4">
        <v>2198</v>
      </c>
      <c r="Q508" s="6">
        <v>0</v>
      </c>
    </row>
    <row r="509" spans="1:17" x14ac:dyDescent="0.25">
      <c r="A509" s="2" t="s">
        <v>574</v>
      </c>
      <c r="B509" s="2" t="s">
        <v>21</v>
      </c>
      <c r="C509" s="2" t="s">
        <v>22</v>
      </c>
      <c r="D509" s="2" t="s">
        <v>758</v>
      </c>
      <c r="E509" s="2" t="s">
        <v>788</v>
      </c>
      <c r="F509" s="2" t="s">
        <v>787</v>
      </c>
      <c r="G509" s="3">
        <v>46079</v>
      </c>
      <c r="H509" s="2" t="s">
        <v>753</v>
      </c>
      <c r="I509" s="2" t="s">
        <v>755</v>
      </c>
      <c r="J509" s="2" t="s">
        <v>754</v>
      </c>
      <c r="K509" s="2" t="s">
        <v>753</v>
      </c>
      <c r="L509" s="6">
        <v>44</v>
      </c>
      <c r="M509" s="2" t="s">
        <v>752</v>
      </c>
      <c r="N509" s="7">
        <v>38.299999999999997</v>
      </c>
      <c r="O509" s="4">
        <v>1685.2</v>
      </c>
      <c r="P509" s="4">
        <v>1685.2</v>
      </c>
      <c r="Q509" s="6">
        <v>0</v>
      </c>
    </row>
    <row r="510" spans="1:17" x14ac:dyDescent="0.25">
      <c r="A510" s="2" t="s">
        <v>574</v>
      </c>
      <c r="B510" s="2" t="s">
        <v>21</v>
      </c>
      <c r="C510" s="2" t="s">
        <v>22</v>
      </c>
      <c r="D510" s="2" t="s">
        <v>758</v>
      </c>
      <c r="E510" s="2" t="s">
        <v>786</v>
      </c>
      <c r="F510" s="2" t="s">
        <v>785</v>
      </c>
      <c r="G510" s="3">
        <v>46079</v>
      </c>
      <c r="H510" s="2" t="s">
        <v>753</v>
      </c>
      <c r="I510" s="2" t="s">
        <v>755</v>
      </c>
      <c r="J510" s="2" t="s">
        <v>754</v>
      </c>
      <c r="K510" s="2" t="s">
        <v>753</v>
      </c>
      <c r="L510" s="6">
        <v>140</v>
      </c>
      <c r="M510" s="2" t="s">
        <v>752</v>
      </c>
      <c r="N510" s="7">
        <v>35</v>
      </c>
      <c r="O510" s="4">
        <v>4900</v>
      </c>
      <c r="P510" s="4">
        <v>4900</v>
      </c>
      <c r="Q510" s="6">
        <v>0</v>
      </c>
    </row>
    <row r="511" spans="1:17" x14ac:dyDescent="0.25">
      <c r="A511" s="2" t="s">
        <v>574</v>
      </c>
      <c r="B511" s="2" t="s">
        <v>21</v>
      </c>
      <c r="C511" s="2" t="s">
        <v>22</v>
      </c>
      <c r="D511" s="2" t="s">
        <v>758</v>
      </c>
      <c r="E511" s="2" t="s">
        <v>784</v>
      </c>
      <c r="F511" s="2" t="s">
        <v>783</v>
      </c>
      <c r="G511" s="3">
        <v>46079</v>
      </c>
      <c r="H511" s="2" t="s">
        <v>753</v>
      </c>
      <c r="I511" s="2" t="s">
        <v>755</v>
      </c>
      <c r="J511" s="2" t="s">
        <v>754</v>
      </c>
      <c r="K511" s="2" t="s">
        <v>753</v>
      </c>
      <c r="L511" s="6">
        <v>4</v>
      </c>
      <c r="M511" s="2" t="s">
        <v>752</v>
      </c>
      <c r="N511" s="7">
        <v>38.07</v>
      </c>
      <c r="O511" s="4">
        <v>152.28</v>
      </c>
      <c r="P511" s="4">
        <v>152.28</v>
      </c>
      <c r="Q511" s="6">
        <v>0</v>
      </c>
    </row>
    <row r="512" spans="1:17" x14ac:dyDescent="0.25">
      <c r="A512" s="2" t="s">
        <v>574</v>
      </c>
      <c r="B512" s="2" t="s">
        <v>21</v>
      </c>
      <c r="C512" s="2" t="s">
        <v>22</v>
      </c>
      <c r="D512" s="2" t="s">
        <v>758</v>
      </c>
      <c r="E512" s="2" t="s">
        <v>780</v>
      </c>
      <c r="F512" s="2" t="s">
        <v>779</v>
      </c>
      <c r="G512" s="3">
        <v>46079</v>
      </c>
      <c r="H512" s="2" t="s">
        <v>753</v>
      </c>
      <c r="I512" s="2" t="s">
        <v>755</v>
      </c>
      <c r="J512" s="2" t="s">
        <v>754</v>
      </c>
      <c r="K512" s="2" t="s">
        <v>753</v>
      </c>
      <c r="L512" s="6">
        <v>20</v>
      </c>
      <c r="M512" s="2" t="s">
        <v>752</v>
      </c>
      <c r="N512" s="7">
        <v>36.07</v>
      </c>
      <c r="O512" s="4">
        <v>721.4</v>
      </c>
      <c r="P512" s="4">
        <v>721.4</v>
      </c>
      <c r="Q512" s="6">
        <v>0</v>
      </c>
    </row>
    <row r="513" spans="1:17" x14ac:dyDescent="0.25">
      <c r="A513" s="2" t="s">
        <v>574</v>
      </c>
      <c r="B513" s="2" t="s">
        <v>21</v>
      </c>
      <c r="C513" s="2" t="s">
        <v>22</v>
      </c>
      <c r="D513" s="2" t="s">
        <v>758</v>
      </c>
      <c r="E513" s="2" t="s">
        <v>776</v>
      </c>
      <c r="F513" s="2" t="s">
        <v>775</v>
      </c>
      <c r="G513" s="3">
        <v>46079</v>
      </c>
      <c r="H513" s="2" t="s">
        <v>753</v>
      </c>
      <c r="I513" s="2" t="s">
        <v>755</v>
      </c>
      <c r="J513" s="2" t="s">
        <v>754</v>
      </c>
      <c r="K513" s="2" t="s">
        <v>753</v>
      </c>
      <c r="L513" s="6">
        <v>48</v>
      </c>
      <c r="M513" s="2" t="s">
        <v>752</v>
      </c>
      <c r="N513" s="7">
        <v>43.82</v>
      </c>
      <c r="O513" s="4">
        <v>2103.36</v>
      </c>
      <c r="P513" s="4">
        <v>2103.36</v>
      </c>
      <c r="Q513" s="6">
        <v>0</v>
      </c>
    </row>
    <row r="514" spans="1:17" x14ac:dyDescent="0.25">
      <c r="A514" s="2" t="s">
        <v>574</v>
      </c>
      <c r="B514" s="2" t="s">
        <v>21</v>
      </c>
      <c r="C514" s="2" t="s">
        <v>22</v>
      </c>
      <c r="D514" s="2" t="s">
        <v>758</v>
      </c>
      <c r="E514" s="2" t="s">
        <v>853</v>
      </c>
      <c r="F514" s="2" t="s">
        <v>993</v>
      </c>
      <c r="G514" s="3">
        <v>46079</v>
      </c>
      <c r="H514" s="2" t="s">
        <v>753</v>
      </c>
      <c r="I514" s="2" t="s">
        <v>755</v>
      </c>
      <c r="J514" s="2" t="s">
        <v>754</v>
      </c>
      <c r="K514" s="2" t="s">
        <v>753</v>
      </c>
      <c r="L514" s="6">
        <v>4</v>
      </c>
      <c r="M514" s="2" t="s">
        <v>752</v>
      </c>
      <c r="N514" s="7">
        <v>64</v>
      </c>
      <c r="O514" s="4">
        <v>256</v>
      </c>
      <c r="P514" s="4">
        <v>256</v>
      </c>
      <c r="Q514" s="6">
        <v>0</v>
      </c>
    </row>
    <row r="515" spans="1:17" x14ac:dyDescent="0.25">
      <c r="A515" s="2" t="s">
        <v>574</v>
      </c>
      <c r="B515" s="2" t="s">
        <v>21</v>
      </c>
      <c r="C515" s="2" t="s">
        <v>22</v>
      </c>
      <c r="D515" s="2" t="s">
        <v>758</v>
      </c>
      <c r="E515" s="2" t="s">
        <v>837</v>
      </c>
      <c r="F515" s="2" t="s">
        <v>836</v>
      </c>
      <c r="G515" s="3">
        <v>46079</v>
      </c>
      <c r="H515" s="2" t="s">
        <v>753</v>
      </c>
      <c r="I515" s="2" t="s">
        <v>755</v>
      </c>
      <c r="J515" s="2" t="s">
        <v>754</v>
      </c>
      <c r="K515" s="2" t="s">
        <v>753</v>
      </c>
      <c r="L515" s="6">
        <v>4</v>
      </c>
      <c r="M515" s="2" t="s">
        <v>752</v>
      </c>
      <c r="N515" s="7">
        <v>60.7</v>
      </c>
      <c r="O515" s="4">
        <v>242.8</v>
      </c>
      <c r="P515" s="4">
        <v>242.8</v>
      </c>
      <c r="Q515" s="6">
        <v>0</v>
      </c>
    </row>
    <row r="516" spans="1:17" x14ac:dyDescent="0.25">
      <c r="A516" s="2" t="s">
        <v>552</v>
      </c>
      <c r="B516" s="2" t="s">
        <v>123</v>
      </c>
      <c r="C516" s="2" t="s">
        <v>124</v>
      </c>
      <c r="D516" s="2" t="s">
        <v>758</v>
      </c>
      <c r="E516" s="2" t="s">
        <v>817</v>
      </c>
      <c r="F516" s="2" t="s">
        <v>937</v>
      </c>
      <c r="G516" s="3">
        <v>46085</v>
      </c>
      <c r="H516" s="2" t="s">
        <v>753</v>
      </c>
      <c r="I516" s="2" t="s">
        <v>755</v>
      </c>
      <c r="J516" s="2" t="s">
        <v>754</v>
      </c>
      <c r="K516" s="2" t="s">
        <v>753</v>
      </c>
      <c r="L516" s="6">
        <v>28</v>
      </c>
      <c r="M516" s="2" t="s">
        <v>752</v>
      </c>
      <c r="N516" s="7">
        <v>35.75</v>
      </c>
      <c r="O516" s="4">
        <v>1001</v>
      </c>
      <c r="P516" s="4">
        <v>1001</v>
      </c>
      <c r="Q516" s="6">
        <v>0</v>
      </c>
    </row>
    <row r="517" spans="1:17" x14ac:dyDescent="0.25">
      <c r="A517" s="2" t="s">
        <v>552</v>
      </c>
      <c r="B517" s="2" t="s">
        <v>123</v>
      </c>
      <c r="C517" s="2" t="s">
        <v>124</v>
      </c>
      <c r="D517" s="2" t="s">
        <v>758</v>
      </c>
      <c r="E517" s="2" t="s">
        <v>763</v>
      </c>
      <c r="F517" s="2" t="s">
        <v>762</v>
      </c>
      <c r="G517" s="3">
        <v>46085</v>
      </c>
      <c r="H517" s="2" t="s">
        <v>753</v>
      </c>
      <c r="I517" s="2" t="s">
        <v>755</v>
      </c>
      <c r="J517" s="2" t="s">
        <v>754</v>
      </c>
      <c r="K517" s="2" t="s">
        <v>753</v>
      </c>
      <c r="L517" s="6">
        <v>56</v>
      </c>
      <c r="M517" s="2" t="s">
        <v>752</v>
      </c>
      <c r="N517" s="7">
        <v>50.6</v>
      </c>
      <c r="O517" s="4">
        <v>2833.6</v>
      </c>
      <c r="P517" s="4">
        <v>2833.6</v>
      </c>
      <c r="Q517" s="6">
        <v>0</v>
      </c>
    </row>
    <row r="518" spans="1:17" x14ac:dyDescent="0.25">
      <c r="A518" s="2" t="s">
        <v>552</v>
      </c>
      <c r="B518" s="2" t="s">
        <v>123</v>
      </c>
      <c r="C518" s="2" t="s">
        <v>124</v>
      </c>
      <c r="D518" s="2" t="s">
        <v>758</v>
      </c>
      <c r="E518" s="2" t="s">
        <v>920</v>
      </c>
      <c r="F518" s="2" t="s">
        <v>919</v>
      </c>
      <c r="G518" s="3">
        <v>46085</v>
      </c>
      <c r="H518" s="2" t="s">
        <v>753</v>
      </c>
      <c r="I518" s="2" t="s">
        <v>755</v>
      </c>
      <c r="J518" s="2" t="s">
        <v>754</v>
      </c>
      <c r="K518" s="2" t="s">
        <v>753</v>
      </c>
      <c r="L518" s="6">
        <v>196</v>
      </c>
      <c r="M518" s="2" t="s">
        <v>752</v>
      </c>
      <c r="N518" s="7">
        <v>35</v>
      </c>
      <c r="O518" s="4">
        <v>6860</v>
      </c>
      <c r="P518" s="4">
        <v>6860</v>
      </c>
      <c r="Q518" s="6">
        <v>0</v>
      </c>
    </row>
    <row r="519" spans="1:17" x14ac:dyDescent="0.25">
      <c r="A519" s="2" t="s">
        <v>566</v>
      </c>
      <c r="B519" s="2" t="s">
        <v>59</v>
      </c>
      <c r="C519" s="2" t="s">
        <v>60</v>
      </c>
      <c r="D519" s="2" t="s">
        <v>758</v>
      </c>
      <c r="E519" s="2" t="s">
        <v>871</v>
      </c>
      <c r="F519" s="2" t="s">
        <v>870</v>
      </c>
      <c r="G519" s="3">
        <v>46083</v>
      </c>
      <c r="H519" s="2" t="s">
        <v>753</v>
      </c>
      <c r="I519" s="2" t="s">
        <v>755</v>
      </c>
      <c r="J519" s="2" t="s">
        <v>754</v>
      </c>
      <c r="K519" s="2" t="s">
        <v>753</v>
      </c>
      <c r="L519" s="6">
        <v>36</v>
      </c>
      <c r="M519" s="2" t="s">
        <v>752</v>
      </c>
      <c r="N519" s="7">
        <v>41.7</v>
      </c>
      <c r="O519" s="4">
        <v>1501.2</v>
      </c>
      <c r="P519" s="4">
        <v>1501.2</v>
      </c>
      <c r="Q519" s="6">
        <v>0</v>
      </c>
    </row>
    <row r="520" spans="1:17" x14ac:dyDescent="0.25">
      <c r="A520" s="2" t="s">
        <v>566</v>
      </c>
      <c r="B520" s="2" t="s">
        <v>59</v>
      </c>
      <c r="C520" s="2" t="s">
        <v>60</v>
      </c>
      <c r="D520" s="2" t="s">
        <v>758</v>
      </c>
      <c r="E520" s="2" t="s">
        <v>896</v>
      </c>
      <c r="F520" s="2" t="s">
        <v>895</v>
      </c>
      <c r="G520" s="3">
        <v>46083</v>
      </c>
      <c r="H520" s="2" t="s">
        <v>753</v>
      </c>
      <c r="I520" s="2" t="s">
        <v>755</v>
      </c>
      <c r="J520" s="2" t="s">
        <v>754</v>
      </c>
      <c r="K520" s="2" t="s">
        <v>753</v>
      </c>
      <c r="L520" s="6">
        <v>48</v>
      </c>
      <c r="M520" s="2" t="s">
        <v>752</v>
      </c>
      <c r="N520" s="7">
        <v>41.49</v>
      </c>
      <c r="O520" s="4">
        <v>1991.52</v>
      </c>
      <c r="P520" s="4">
        <v>1991.52</v>
      </c>
      <c r="Q520" s="6">
        <v>0</v>
      </c>
    </row>
    <row r="521" spans="1:17" x14ac:dyDescent="0.25">
      <c r="A521" s="2" t="s">
        <v>566</v>
      </c>
      <c r="B521" s="2" t="s">
        <v>59</v>
      </c>
      <c r="C521" s="2" t="s">
        <v>60</v>
      </c>
      <c r="D521" s="2" t="s">
        <v>758</v>
      </c>
      <c r="E521" s="2" t="s">
        <v>869</v>
      </c>
      <c r="F521" s="2" t="s">
        <v>868</v>
      </c>
      <c r="G521" s="3">
        <v>46083</v>
      </c>
      <c r="H521" s="2" t="s">
        <v>753</v>
      </c>
      <c r="I521" s="2" t="s">
        <v>755</v>
      </c>
      <c r="J521" s="2" t="s">
        <v>754</v>
      </c>
      <c r="K521" s="2" t="s">
        <v>753</v>
      </c>
      <c r="L521" s="6">
        <v>192</v>
      </c>
      <c r="M521" s="2" t="s">
        <v>752</v>
      </c>
      <c r="N521" s="7">
        <v>48.49</v>
      </c>
      <c r="O521" s="4">
        <v>9310.08</v>
      </c>
      <c r="P521" s="4">
        <v>9310.08</v>
      </c>
      <c r="Q521" s="6">
        <v>0</v>
      </c>
    </row>
    <row r="522" spans="1:17" x14ac:dyDescent="0.25">
      <c r="A522" s="2" t="s">
        <v>566</v>
      </c>
      <c r="B522" s="2" t="s">
        <v>59</v>
      </c>
      <c r="C522" s="2" t="s">
        <v>60</v>
      </c>
      <c r="D522" s="2" t="s">
        <v>758</v>
      </c>
      <c r="E522" s="2" t="s">
        <v>867</v>
      </c>
      <c r="F522" s="2" t="s">
        <v>866</v>
      </c>
      <c r="G522" s="3">
        <v>46083</v>
      </c>
      <c r="H522" s="2" t="s">
        <v>753</v>
      </c>
      <c r="I522" s="2" t="s">
        <v>755</v>
      </c>
      <c r="J522" s="2" t="s">
        <v>754</v>
      </c>
      <c r="K522" s="2" t="s">
        <v>753</v>
      </c>
      <c r="L522" s="6">
        <v>32</v>
      </c>
      <c r="M522" s="2" t="s">
        <v>752</v>
      </c>
      <c r="N522" s="7">
        <v>36.299999999999997</v>
      </c>
      <c r="O522" s="4">
        <v>1161.5999999999999</v>
      </c>
      <c r="P522" s="4">
        <v>1161.5999999999999</v>
      </c>
      <c r="Q522" s="6">
        <v>0</v>
      </c>
    </row>
    <row r="523" spans="1:17" x14ac:dyDescent="0.25">
      <c r="A523" s="2" t="s">
        <v>566</v>
      </c>
      <c r="B523" s="2" t="s">
        <v>59</v>
      </c>
      <c r="C523" s="2" t="s">
        <v>60</v>
      </c>
      <c r="D523" s="2" t="s">
        <v>758</v>
      </c>
      <c r="E523" s="2" t="s">
        <v>863</v>
      </c>
      <c r="F523" s="2" t="s">
        <v>862</v>
      </c>
      <c r="G523" s="3">
        <v>46083</v>
      </c>
      <c r="H523" s="2" t="s">
        <v>753</v>
      </c>
      <c r="I523" s="2" t="s">
        <v>755</v>
      </c>
      <c r="J523" s="2" t="s">
        <v>754</v>
      </c>
      <c r="K523" s="2" t="s">
        <v>753</v>
      </c>
      <c r="L523" s="6">
        <v>28</v>
      </c>
      <c r="M523" s="2" t="s">
        <v>752</v>
      </c>
      <c r="N523" s="7">
        <v>33.299999999999997</v>
      </c>
      <c r="O523" s="4">
        <v>932.4</v>
      </c>
      <c r="P523" s="4">
        <v>932.4</v>
      </c>
      <c r="Q523" s="6">
        <v>0</v>
      </c>
    </row>
    <row r="524" spans="1:17" x14ac:dyDescent="0.25">
      <c r="A524" s="2" t="s">
        <v>566</v>
      </c>
      <c r="B524" s="2" t="s">
        <v>59</v>
      </c>
      <c r="C524" s="2" t="s">
        <v>60</v>
      </c>
      <c r="D524" s="2" t="s">
        <v>758</v>
      </c>
      <c r="E524" s="2" t="s">
        <v>763</v>
      </c>
      <c r="F524" s="2" t="s">
        <v>762</v>
      </c>
      <c r="G524" s="3">
        <v>46083</v>
      </c>
      <c r="H524" s="2" t="s">
        <v>753</v>
      </c>
      <c r="I524" s="2" t="s">
        <v>755</v>
      </c>
      <c r="J524" s="2" t="s">
        <v>754</v>
      </c>
      <c r="K524" s="2" t="s">
        <v>753</v>
      </c>
      <c r="L524" s="6">
        <v>140</v>
      </c>
      <c r="M524" s="2" t="s">
        <v>752</v>
      </c>
      <c r="N524" s="7">
        <v>36.82</v>
      </c>
      <c r="O524" s="4">
        <v>5154.8</v>
      </c>
      <c r="P524" s="4">
        <v>5154.8</v>
      </c>
      <c r="Q524" s="6">
        <v>0</v>
      </c>
    </row>
    <row r="525" spans="1:17" x14ac:dyDescent="0.25">
      <c r="A525" s="2" t="s">
        <v>566</v>
      </c>
      <c r="B525" s="2" t="s">
        <v>59</v>
      </c>
      <c r="C525" s="2" t="s">
        <v>60</v>
      </c>
      <c r="D525" s="2" t="s">
        <v>758</v>
      </c>
      <c r="E525" s="2" t="s">
        <v>861</v>
      </c>
      <c r="F525" s="2" t="s">
        <v>860</v>
      </c>
      <c r="G525" s="3">
        <v>46083</v>
      </c>
      <c r="H525" s="2" t="s">
        <v>753</v>
      </c>
      <c r="I525" s="2" t="s">
        <v>755</v>
      </c>
      <c r="J525" s="2" t="s">
        <v>754</v>
      </c>
      <c r="K525" s="2" t="s">
        <v>753</v>
      </c>
      <c r="L525" s="6">
        <v>56</v>
      </c>
      <c r="M525" s="2" t="s">
        <v>752</v>
      </c>
      <c r="N525" s="7">
        <v>39.700000000000003</v>
      </c>
      <c r="O525" s="4">
        <v>2223.1999999999998</v>
      </c>
      <c r="P525" s="4">
        <v>2223.1999999999998</v>
      </c>
      <c r="Q525" s="6">
        <v>0</v>
      </c>
    </row>
    <row r="526" spans="1:17" x14ac:dyDescent="0.25">
      <c r="A526" s="2" t="s">
        <v>566</v>
      </c>
      <c r="B526" s="2" t="s">
        <v>59</v>
      </c>
      <c r="C526" s="2" t="s">
        <v>60</v>
      </c>
      <c r="D526" s="2" t="s">
        <v>758</v>
      </c>
      <c r="E526" s="2" t="s">
        <v>757</v>
      </c>
      <c r="F526" s="2" t="s">
        <v>756</v>
      </c>
      <c r="G526" s="3">
        <v>46083</v>
      </c>
      <c r="H526" s="2" t="s">
        <v>753</v>
      </c>
      <c r="I526" s="2" t="s">
        <v>755</v>
      </c>
      <c r="J526" s="2" t="s">
        <v>754</v>
      </c>
      <c r="K526" s="2" t="s">
        <v>753</v>
      </c>
      <c r="L526" s="6">
        <v>140</v>
      </c>
      <c r="M526" s="2" t="s">
        <v>752</v>
      </c>
      <c r="N526" s="7">
        <v>39.700000000000003</v>
      </c>
      <c r="O526" s="4">
        <v>5558</v>
      </c>
      <c r="P526" s="4">
        <v>5558</v>
      </c>
      <c r="Q526" s="6">
        <v>0</v>
      </c>
    </row>
    <row r="527" spans="1:17" x14ac:dyDescent="0.25">
      <c r="A527" s="2" t="s">
        <v>566</v>
      </c>
      <c r="B527" s="2" t="s">
        <v>59</v>
      </c>
      <c r="C527" s="2" t="s">
        <v>60</v>
      </c>
      <c r="D527" s="2" t="s">
        <v>758</v>
      </c>
      <c r="E527" s="2" t="s">
        <v>865</v>
      </c>
      <c r="F527" s="2" t="s">
        <v>864</v>
      </c>
      <c r="G527" s="3">
        <v>46083</v>
      </c>
      <c r="H527" s="2" t="s">
        <v>753</v>
      </c>
      <c r="I527" s="2" t="s">
        <v>755</v>
      </c>
      <c r="J527" s="2" t="s">
        <v>754</v>
      </c>
      <c r="K527" s="2" t="s">
        <v>753</v>
      </c>
      <c r="L527" s="6">
        <v>48</v>
      </c>
      <c r="M527" s="2" t="s">
        <v>752</v>
      </c>
      <c r="N527" s="7">
        <v>36</v>
      </c>
      <c r="O527" s="4">
        <v>1728</v>
      </c>
      <c r="P527" s="4">
        <v>1728</v>
      </c>
      <c r="Q527" s="6">
        <v>0</v>
      </c>
    </row>
    <row r="528" spans="1:17" x14ac:dyDescent="0.25">
      <c r="A528" s="2" t="s">
        <v>564</v>
      </c>
      <c r="B528" s="2" t="s">
        <v>177</v>
      </c>
      <c r="C528" s="2" t="s">
        <v>178</v>
      </c>
      <c r="D528" s="2" t="s">
        <v>758</v>
      </c>
      <c r="E528" s="2" t="s">
        <v>763</v>
      </c>
      <c r="F528" s="2" t="s">
        <v>762</v>
      </c>
      <c r="G528" s="3">
        <v>46083</v>
      </c>
      <c r="H528" s="2" t="s">
        <v>753</v>
      </c>
      <c r="I528" s="2" t="s">
        <v>755</v>
      </c>
      <c r="J528" s="2" t="s">
        <v>754</v>
      </c>
      <c r="K528" s="2" t="s">
        <v>753</v>
      </c>
      <c r="L528" s="6">
        <v>12</v>
      </c>
      <c r="M528" s="2" t="s">
        <v>752</v>
      </c>
      <c r="N528" s="7">
        <v>42.6</v>
      </c>
      <c r="O528" s="4">
        <v>511.2</v>
      </c>
      <c r="P528" s="4">
        <v>511.2</v>
      </c>
      <c r="Q528" s="6">
        <v>0</v>
      </c>
    </row>
    <row r="529" spans="1:17" x14ac:dyDescent="0.25">
      <c r="A529" s="2" t="s">
        <v>564</v>
      </c>
      <c r="B529" s="2" t="s">
        <v>177</v>
      </c>
      <c r="C529" s="2" t="s">
        <v>178</v>
      </c>
      <c r="D529" s="2" t="s">
        <v>758</v>
      </c>
      <c r="E529" s="2" t="s">
        <v>881</v>
      </c>
      <c r="F529" s="2" t="s">
        <v>880</v>
      </c>
      <c r="G529" s="3">
        <v>46083</v>
      </c>
      <c r="H529" s="2" t="s">
        <v>753</v>
      </c>
      <c r="I529" s="2" t="s">
        <v>755</v>
      </c>
      <c r="J529" s="2" t="s">
        <v>754</v>
      </c>
      <c r="K529" s="2" t="s">
        <v>753</v>
      </c>
      <c r="L529" s="6">
        <v>8</v>
      </c>
      <c r="M529" s="2" t="s">
        <v>752</v>
      </c>
      <c r="N529" s="7">
        <v>41.15</v>
      </c>
      <c r="O529" s="4">
        <v>329.2</v>
      </c>
      <c r="P529" s="4">
        <v>329.2</v>
      </c>
      <c r="Q529" s="6">
        <v>0</v>
      </c>
    </row>
    <row r="530" spans="1:17" x14ac:dyDescent="0.25">
      <c r="A530" s="2" t="s">
        <v>564</v>
      </c>
      <c r="B530" s="2" t="s">
        <v>177</v>
      </c>
      <c r="C530" s="2" t="s">
        <v>178</v>
      </c>
      <c r="D530" s="2" t="s">
        <v>758</v>
      </c>
      <c r="E530" s="2" t="s">
        <v>790</v>
      </c>
      <c r="F530" s="2" t="s">
        <v>789</v>
      </c>
      <c r="G530" s="3">
        <v>46083</v>
      </c>
      <c r="H530" s="2" t="s">
        <v>753</v>
      </c>
      <c r="I530" s="2" t="s">
        <v>755</v>
      </c>
      <c r="J530" s="2" t="s">
        <v>754</v>
      </c>
      <c r="K530" s="2" t="s">
        <v>753</v>
      </c>
      <c r="L530" s="6">
        <v>24</v>
      </c>
      <c r="M530" s="2" t="s">
        <v>752</v>
      </c>
      <c r="N530" s="7">
        <v>0</v>
      </c>
      <c r="O530" s="4">
        <v>0</v>
      </c>
      <c r="P530" s="4">
        <v>0</v>
      </c>
      <c r="Q530" s="6">
        <v>0</v>
      </c>
    </row>
    <row r="531" spans="1:17" x14ac:dyDescent="0.25">
      <c r="A531" s="2" t="s">
        <v>564</v>
      </c>
      <c r="B531" s="2" t="s">
        <v>177</v>
      </c>
      <c r="C531" s="2" t="s">
        <v>178</v>
      </c>
      <c r="D531" s="2" t="s">
        <v>758</v>
      </c>
      <c r="E531" s="2" t="s">
        <v>914</v>
      </c>
      <c r="F531" s="2" t="s">
        <v>913</v>
      </c>
      <c r="G531" s="3">
        <v>46083</v>
      </c>
      <c r="H531" s="2" t="s">
        <v>753</v>
      </c>
      <c r="I531" s="2" t="s">
        <v>755</v>
      </c>
      <c r="J531" s="2" t="s">
        <v>754</v>
      </c>
      <c r="K531" s="2" t="s">
        <v>753</v>
      </c>
      <c r="L531" s="6">
        <v>8</v>
      </c>
      <c r="M531" s="2" t="s">
        <v>752</v>
      </c>
      <c r="N531" s="7">
        <v>41.6</v>
      </c>
      <c r="O531" s="4">
        <v>332.8</v>
      </c>
      <c r="P531" s="4">
        <v>332.8</v>
      </c>
      <c r="Q531" s="6">
        <v>0</v>
      </c>
    </row>
    <row r="532" spans="1:17" x14ac:dyDescent="0.25">
      <c r="A532" s="2" t="s">
        <v>564</v>
      </c>
      <c r="B532" s="2" t="s">
        <v>177</v>
      </c>
      <c r="C532" s="2" t="s">
        <v>178</v>
      </c>
      <c r="D532" s="2" t="s">
        <v>758</v>
      </c>
      <c r="E532" s="2" t="s">
        <v>772</v>
      </c>
      <c r="F532" s="2" t="s">
        <v>771</v>
      </c>
      <c r="G532" s="3">
        <v>46083</v>
      </c>
      <c r="H532" s="2" t="s">
        <v>753</v>
      </c>
      <c r="I532" s="2" t="s">
        <v>755</v>
      </c>
      <c r="J532" s="2" t="s">
        <v>754</v>
      </c>
      <c r="K532" s="2" t="s">
        <v>753</v>
      </c>
      <c r="L532" s="6">
        <v>24</v>
      </c>
      <c r="M532" s="2" t="s">
        <v>752</v>
      </c>
      <c r="N532" s="7">
        <v>34.5</v>
      </c>
      <c r="O532" s="4">
        <v>828</v>
      </c>
      <c r="P532" s="4">
        <v>828</v>
      </c>
      <c r="Q532" s="6">
        <v>0</v>
      </c>
    </row>
    <row r="533" spans="1:17" x14ac:dyDescent="0.25">
      <c r="A533" s="2" t="s">
        <v>560</v>
      </c>
      <c r="B533" s="2" t="s">
        <v>73</v>
      </c>
      <c r="C533" s="2" t="s">
        <v>74</v>
      </c>
      <c r="D533" s="2" t="s">
        <v>758</v>
      </c>
      <c r="E533" s="2" t="s">
        <v>881</v>
      </c>
      <c r="F533" s="2" t="s">
        <v>880</v>
      </c>
      <c r="G533" s="3">
        <v>46084</v>
      </c>
      <c r="H533" s="2" t="s">
        <v>753</v>
      </c>
      <c r="I533" s="2" t="s">
        <v>755</v>
      </c>
      <c r="J533" s="2" t="s">
        <v>754</v>
      </c>
      <c r="K533" s="2" t="s">
        <v>753</v>
      </c>
      <c r="L533" s="6">
        <v>28</v>
      </c>
      <c r="M533" s="2" t="s">
        <v>752</v>
      </c>
      <c r="N533" s="7">
        <v>50.05</v>
      </c>
      <c r="O533" s="4">
        <v>1401.4</v>
      </c>
      <c r="P533" s="4">
        <v>1401.4</v>
      </c>
      <c r="Q533" s="6">
        <v>0</v>
      </c>
    </row>
    <row r="534" spans="1:17" x14ac:dyDescent="0.25">
      <c r="A534" s="2" t="s">
        <v>560</v>
      </c>
      <c r="B534" s="2" t="s">
        <v>73</v>
      </c>
      <c r="C534" s="2" t="s">
        <v>74</v>
      </c>
      <c r="D534" s="2" t="s">
        <v>758</v>
      </c>
      <c r="E534" s="2" t="s">
        <v>794</v>
      </c>
      <c r="F534" s="2" t="s">
        <v>793</v>
      </c>
      <c r="G534" s="3">
        <v>46084</v>
      </c>
      <c r="H534" s="2" t="s">
        <v>753</v>
      </c>
      <c r="I534" s="2" t="s">
        <v>755</v>
      </c>
      <c r="J534" s="2" t="s">
        <v>754</v>
      </c>
      <c r="K534" s="2" t="s">
        <v>753</v>
      </c>
      <c r="L534" s="6">
        <v>336</v>
      </c>
      <c r="M534" s="2" t="s">
        <v>752</v>
      </c>
      <c r="N534" s="7">
        <v>36</v>
      </c>
      <c r="O534" s="4">
        <v>12096</v>
      </c>
      <c r="P534" s="4">
        <v>12096</v>
      </c>
      <c r="Q534" s="6">
        <v>0</v>
      </c>
    </row>
    <row r="535" spans="1:17" x14ac:dyDescent="0.25">
      <c r="A535" s="2" t="s">
        <v>560</v>
      </c>
      <c r="B535" s="2" t="s">
        <v>73</v>
      </c>
      <c r="C535" s="2" t="s">
        <v>74</v>
      </c>
      <c r="D535" s="2" t="s">
        <v>758</v>
      </c>
      <c r="E535" s="2" t="s">
        <v>879</v>
      </c>
      <c r="F535" s="2" t="s">
        <v>878</v>
      </c>
      <c r="G535" s="3">
        <v>46084</v>
      </c>
      <c r="H535" s="2" t="s">
        <v>753</v>
      </c>
      <c r="I535" s="2" t="s">
        <v>755</v>
      </c>
      <c r="J535" s="2" t="s">
        <v>754</v>
      </c>
      <c r="K535" s="2" t="s">
        <v>753</v>
      </c>
      <c r="L535" s="6">
        <v>56</v>
      </c>
      <c r="M535" s="2" t="s">
        <v>752</v>
      </c>
      <c r="N535" s="7">
        <v>30</v>
      </c>
      <c r="O535" s="4">
        <v>1680</v>
      </c>
      <c r="P535" s="4">
        <v>1680</v>
      </c>
      <c r="Q535" s="6">
        <v>0</v>
      </c>
    </row>
    <row r="536" spans="1:17" x14ac:dyDescent="0.25">
      <c r="A536" s="2" t="s">
        <v>560</v>
      </c>
      <c r="B536" s="2" t="s">
        <v>73</v>
      </c>
      <c r="C536" s="2" t="s">
        <v>74</v>
      </c>
      <c r="D536" s="2" t="s">
        <v>758</v>
      </c>
      <c r="E536" s="2" t="s">
        <v>815</v>
      </c>
      <c r="F536" s="2" t="s">
        <v>814</v>
      </c>
      <c r="G536" s="3">
        <v>46084</v>
      </c>
      <c r="H536" s="2" t="s">
        <v>753</v>
      </c>
      <c r="I536" s="2" t="s">
        <v>755</v>
      </c>
      <c r="J536" s="2" t="s">
        <v>754</v>
      </c>
      <c r="K536" s="2" t="s">
        <v>753</v>
      </c>
      <c r="L536" s="6">
        <v>84</v>
      </c>
      <c r="M536" s="2" t="s">
        <v>752</v>
      </c>
      <c r="N536" s="7">
        <v>40</v>
      </c>
      <c r="O536" s="4">
        <v>3360</v>
      </c>
      <c r="P536" s="4">
        <v>3360</v>
      </c>
      <c r="Q536" s="6">
        <v>0</v>
      </c>
    </row>
    <row r="537" spans="1:17" x14ac:dyDescent="0.25">
      <c r="A537" s="2" t="s">
        <v>550</v>
      </c>
      <c r="B537" s="2" t="s">
        <v>33</v>
      </c>
      <c r="C537" s="2" t="s">
        <v>34</v>
      </c>
      <c r="D537" s="2" t="s">
        <v>758</v>
      </c>
      <c r="E537" s="2" t="s">
        <v>784</v>
      </c>
      <c r="F537" s="2" t="s">
        <v>783</v>
      </c>
      <c r="G537" s="3">
        <v>46085</v>
      </c>
      <c r="H537" s="2" t="s">
        <v>753</v>
      </c>
      <c r="I537" s="2" t="s">
        <v>755</v>
      </c>
      <c r="J537" s="2" t="s">
        <v>754</v>
      </c>
      <c r="K537" s="2" t="s">
        <v>753</v>
      </c>
      <c r="L537" s="6">
        <v>32</v>
      </c>
      <c r="M537" s="2" t="s">
        <v>752</v>
      </c>
      <c r="N537" s="7">
        <v>37.049999999999997</v>
      </c>
      <c r="O537" s="4">
        <v>1185.5999999999999</v>
      </c>
      <c r="P537" s="4">
        <v>1185.5999999999999</v>
      </c>
      <c r="Q537" s="6">
        <v>0</v>
      </c>
    </row>
    <row r="538" spans="1:17" x14ac:dyDescent="0.25">
      <c r="A538" s="2" t="s">
        <v>550</v>
      </c>
      <c r="B538" s="2" t="s">
        <v>33</v>
      </c>
      <c r="C538" s="2" t="s">
        <v>34</v>
      </c>
      <c r="D538" s="2" t="s">
        <v>758</v>
      </c>
      <c r="E538" s="2" t="s">
        <v>837</v>
      </c>
      <c r="F538" s="2" t="s">
        <v>836</v>
      </c>
      <c r="G538" s="3">
        <v>46085</v>
      </c>
      <c r="H538" s="2" t="s">
        <v>753</v>
      </c>
      <c r="I538" s="2" t="s">
        <v>755</v>
      </c>
      <c r="J538" s="2" t="s">
        <v>754</v>
      </c>
      <c r="K538" s="2" t="s">
        <v>753</v>
      </c>
      <c r="L538" s="6">
        <v>32</v>
      </c>
      <c r="M538" s="2" t="s">
        <v>752</v>
      </c>
      <c r="N538" s="7">
        <v>60.07</v>
      </c>
      <c r="O538" s="4">
        <v>1922.24</v>
      </c>
      <c r="P538" s="4">
        <v>1922.24</v>
      </c>
      <c r="Q538" s="6">
        <v>0</v>
      </c>
    </row>
    <row r="539" spans="1:17" x14ac:dyDescent="0.25">
      <c r="A539" s="2" t="s">
        <v>550</v>
      </c>
      <c r="B539" s="2" t="s">
        <v>33</v>
      </c>
      <c r="C539" s="2" t="s">
        <v>34</v>
      </c>
      <c r="D539" s="2" t="s">
        <v>758</v>
      </c>
      <c r="E539" s="2" t="s">
        <v>835</v>
      </c>
      <c r="F539" s="2" t="s">
        <v>834</v>
      </c>
      <c r="G539" s="3">
        <v>46085</v>
      </c>
      <c r="H539" s="2" t="s">
        <v>753</v>
      </c>
      <c r="I539" s="2" t="s">
        <v>755</v>
      </c>
      <c r="J539" s="2" t="s">
        <v>754</v>
      </c>
      <c r="K539" s="2" t="s">
        <v>753</v>
      </c>
      <c r="L539" s="6">
        <v>28</v>
      </c>
      <c r="M539" s="2" t="s">
        <v>752</v>
      </c>
      <c r="N539" s="7">
        <v>64</v>
      </c>
      <c r="O539" s="4">
        <v>1792</v>
      </c>
      <c r="P539" s="4">
        <v>1792</v>
      </c>
      <c r="Q539" s="6">
        <v>0</v>
      </c>
    </row>
    <row r="540" spans="1:17" x14ac:dyDescent="0.25">
      <c r="A540" s="2" t="s">
        <v>550</v>
      </c>
      <c r="B540" s="2" t="s">
        <v>33</v>
      </c>
      <c r="C540" s="2" t="s">
        <v>34</v>
      </c>
      <c r="D540" s="2" t="s">
        <v>758</v>
      </c>
      <c r="E540" s="2" t="s">
        <v>763</v>
      </c>
      <c r="F540" s="2" t="s">
        <v>762</v>
      </c>
      <c r="G540" s="3">
        <v>46085</v>
      </c>
      <c r="H540" s="2" t="s">
        <v>753</v>
      </c>
      <c r="I540" s="2" t="s">
        <v>755</v>
      </c>
      <c r="J540" s="2" t="s">
        <v>754</v>
      </c>
      <c r="K540" s="2" t="s">
        <v>753</v>
      </c>
      <c r="L540" s="6">
        <v>180</v>
      </c>
      <c r="M540" s="2" t="s">
        <v>752</v>
      </c>
      <c r="N540" s="7">
        <v>46.1</v>
      </c>
      <c r="O540" s="4">
        <v>8298</v>
      </c>
      <c r="P540" s="4">
        <v>8298</v>
      </c>
      <c r="Q540" s="6">
        <v>0</v>
      </c>
    </row>
    <row r="541" spans="1:17" x14ac:dyDescent="0.25">
      <c r="A541" s="2" t="s">
        <v>550</v>
      </c>
      <c r="B541" s="2" t="s">
        <v>33</v>
      </c>
      <c r="C541" s="2" t="s">
        <v>34</v>
      </c>
      <c r="D541" s="2" t="s">
        <v>758</v>
      </c>
      <c r="E541" s="2" t="s">
        <v>766</v>
      </c>
      <c r="F541" s="2" t="s">
        <v>765</v>
      </c>
      <c r="G541" s="3">
        <v>46085</v>
      </c>
      <c r="H541" s="2" t="s">
        <v>753</v>
      </c>
      <c r="I541" s="2" t="s">
        <v>755</v>
      </c>
      <c r="J541" s="2" t="s">
        <v>754</v>
      </c>
      <c r="K541" s="2" t="s">
        <v>753</v>
      </c>
      <c r="L541" s="6">
        <v>28</v>
      </c>
      <c r="M541" s="2" t="s">
        <v>752</v>
      </c>
      <c r="N541" s="7">
        <v>36.35</v>
      </c>
      <c r="O541" s="4">
        <v>1017.8</v>
      </c>
      <c r="P541" s="4">
        <v>1017.8</v>
      </c>
      <c r="Q541" s="6">
        <v>0</v>
      </c>
    </row>
    <row r="542" spans="1:17" x14ac:dyDescent="0.25">
      <c r="A542" s="2" t="s">
        <v>550</v>
      </c>
      <c r="B542" s="2" t="s">
        <v>33</v>
      </c>
      <c r="C542" s="2" t="s">
        <v>34</v>
      </c>
      <c r="D542" s="2" t="s">
        <v>758</v>
      </c>
      <c r="E542" s="2" t="s">
        <v>817</v>
      </c>
      <c r="F542" s="2" t="s">
        <v>937</v>
      </c>
      <c r="G542" s="3">
        <v>46085</v>
      </c>
      <c r="H542" s="2" t="s">
        <v>753</v>
      </c>
      <c r="I542" s="2" t="s">
        <v>755</v>
      </c>
      <c r="J542" s="2" t="s">
        <v>754</v>
      </c>
      <c r="K542" s="2" t="s">
        <v>753</v>
      </c>
      <c r="L542" s="6">
        <v>64</v>
      </c>
      <c r="M542" s="2" t="s">
        <v>752</v>
      </c>
      <c r="N542" s="7">
        <v>38</v>
      </c>
      <c r="O542" s="4">
        <v>2432</v>
      </c>
      <c r="P542" s="4">
        <v>2432</v>
      </c>
      <c r="Q542" s="6">
        <v>0</v>
      </c>
    </row>
    <row r="543" spans="1:17" x14ac:dyDescent="0.25">
      <c r="A543" s="2" t="s">
        <v>550</v>
      </c>
      <c r="B543" s="2" t="s">
        <v>33</v>
      </c>
      <c r="C543" s="2" t="s">
        <v>34</v>
      </c>
      <c r="D543" s="2" t="s">
        <v>758</v>
      </c>
      <c r="E543" s="2" t="s">
        <v>833</v>
      </c>
      <c r="F543" s="2" t="s">
        <v>832</v>
      </c>
      <c r="G543" s="3">
        <v>46085</v>
      </c>
      <c r="H543" s="2" t="s">
        <v>753</v>
      </c>
      <c r="I543" s="2" t="s">
        <v>755</v>
      </c>
      <c r="J543" s="2" t="s">
        <v>754</v>
      </c>
      <c r="K543" s="2" t="s">
        <v>753</v>
      </c>
      <c r="L543" s="6">
        <v>140</v>
      </c>
      <c r="M543" s="2" t="s">
        <v>752</v>
      </c>
      <c r="N543" s="7">
        <v>45</v>
      </c>
      <c r="O543" s="4">
        <v>6300</v>
      </c>
      <c r="P543" s="4">
        <v>6300</v>
      </c>
      <c r="Q543" s="6">
        <v>0</v>
      </c>
    </row>
    <row r="544" spans="1:17" x14ac:dyDescent="0.25">
      <c r="A544" s="2" t="s">
        <v>582</v>
      </c>
      <c r="B544" s="2" t="s">
        <v>195</v>
      </c>
      <c r="C544" s="2" t="s">
        <v>196</v>
      </c>
      <c r="D544" s="2" t="s">
        <v>758</v>
      </c>
      <c r="E544" s="2" t="s">
        <v>942</v>
      </c>
      <c r="F544" s="2" t="s">
        <v>941</v>
      </c>
      <c r="G544" s="3">
        <v>46077</v>
      </c>
      <c r="H544" s="2" t="s">
        <v>753</v>
      </c>
      <c r="I544" s="2" t="s">
        <v>755</v>
      </c>
      <c r="J544" s="2" t="s">
        <v>754</v>
      </c>
      <c r="K544" s="2" t="s">
        <v>753</v>
      </c>
      <c r="L544" s="6">
        <v>64</v>
      </c>
      <c r="M544" s="2" t="s">
        <v>752</v>
      </c>
      <c r="N544" s="7">
        <v>46.38</v>
      </c>
      <c r="O544" s="4">
        <v>2968.32</v>
      </c>
      <c r="P544" s="4">
        <v>2968.32</v>
      </c>
      <c r="Q544" s="6">
        <v>0</v>
      </c>
    </row>
    <row r="545" spans="1:17" x14ac:dyDescent="0.25">
      <c r="A545" s="2" t="s">
        <v>582</v>
      </c>
      <c r="B545" s="2" t="s">
        <v>195</v>
      </c>
      <c r="C545" s="2" t="s">
        <v>196</v>
      </c>
      <c r="D545" s="2" t="s">
        <v>758</v>
      </c>
      <c r="E545" s="2" t="s">
        <v>869</v>
      </c>
      <c r="F545" s="2" t="s">
        <v>868</v>
      </c>
      <c r="G545" s="3">
        <v>46077</v>
      </c>
      <c r="H545" s="2" t="s">
        <v>753</v>
      </c>
      <c r="I545" s="2" t="s">
        <v>755</v>
      </c>
      <c r="J545" s="2" t="s">
        <v>754</v>
      </c>
      <c r="K545" s="2" t="s">
        <v>753</v>
      </c>
      <c r="L545" s="6">
        <v>260</v>
      </c>
      <c r="M545" s="2" t="s">
        <v>752</v>
      </c>
      <c r="N545" s="7">
        <v>51.38</v>
      </c>
      <c r="O545" s="4">
        <v>13358.8</v>
      </c>
      <c r="P545" s="4">
        <v>13358.8</v>
      </c>
      <c r="Q545" s="6">
        <v>0</v>
      </c>
    </row>
    <row r="546" spans="1:17" x14ac:dyDescent="0.25">
      <c r="A546" s="2" t="s">
        <v>582</v>
      </c>
      <c r="B546" s="2" t="s">
        <v>195</v>
      </c>
      <c r="C546" s="2" t="s">
        <v>196</v>
      </c>
      <c r="D546" s="2" t="s">
        <v>758</v>
      </c>
      <c r="E546" s="2" t="s">
        <v>831</v>
      </c>
      <c r="F546" s="2" t="s">
        <v>830</v>
      </c>
      <c r="G546" s="3">
        <v>46077</v>
      </c>
      <c r="H546" s="2" t="s">
        <v>753</v>
      </c>
      <c r="I546" s="2" t="s">
        <v>755</v>
      </c>
      <c r="J546" s="2" t="s">
        <v>754</v>
      </c>
      <c r="K546" s="2" t="s">
        <v>753</v>
      </c>
      <c r="L546" s="6">
        <v>12</v>
      </c>
      <c r="M546" s="2" t="s">
        <v>752</v>
      </c>
      <c r="N546" s="7">
        <v>54.38</v>
      </c>
      <c r="O546" s="4">
        <v>652.55999999999995</v>
      </c>
      <c r="P546" s="4">
        <v>652.55999999999995</v>
      </c>
      <c r="Q546" s="6">
        <v>0</v>
      </c>
    </row>
    <row r="547" spans="1:17" x14ac:dyDescent="0.25">
      <c r="A547" s="2" t="s">
        <v>582</v>
      </c>
      <c r="B547" s="2" t="s">
        <v>195</v>
      </c>
      <c r="C547" s="2" t="s">
        <v>196</v>
      </c>
      <c r="D547" s="2" t="s">
        <v>758</v>
      </c>
      <c r="E547" s="2" t="s">
        <v>929</v>
      </c>
      <c r="F547" s="2" t="s">
        <v>928</v>
      </c>
      <c r="G547" s="3">
        <v>46077</v>
      </c>
      <c r="H547" s="2" t="s">
        <v>753</v>
      </c>
      <c r="I547" s="2" t="s">
        <v>755</v>
      </c>
      <c r="J547" s="2" t="s">
        <v>754</v>
      </c>
      <c r="K547" s="2" t="s">
        <v>753</v>
      </c>
      <c r="L547" s="6">
        <v>55</v>
      </c>
      <c r="M547" s="2" t="s">
        <v>752</v>
      </c>
      <c r="N547" s="7">
        <v>61.02</v>
      </c>
      <c r="O547" s="4">
        <v>3356.1</v>
      </c>
      <c r="P547" s="4">
        <v>3356.1</v>
      </c>
      <c r="Q547" s="6">
        <v>0</v>
      </c>
    </row>
    <row r="548" spans="1:17" x14ac:dyDescent="0.25">
      <c r="A548" s="2" t="s">
        <v>582</v>
      </c>
      <c r="B548" s="2" t="s">
        <v>195</v>
      </c>
      <c r="C548" s="2" t="s">
        <v>196</v>
      </c>
      <c r="D548" s="2" t="s">
        <v>758</v>
      </c>
      <c r="E548" s="2" t="s">
        <v>829</v>
      </c>
      <c r="F548" s="2" t="s">
        <v>828</v>
      </c>
      <c r="G548" s="3">
        <v>46077</v>
      </c>
      <c r="H548" s="2" t="s">
        <v>753</v>
      </c>
      <c r="I548" s="2" t="s">
        <v>755</v>
      </c>
      <c r="J548" s="2" t="s">
        <v>754</v>
      </c>
      <c r="K548" s="2" t="s">
        <v>753</v>
      </c>
      <c r="L548" s="6">
        <v>84</v>
      </c>
      <c r="M548" s="2" t="s">
        <v>752</v>
      </c>
      <c r="N548" s="7">
        <v>28.5</v>
      </c>
      <c r="O548" s="4">
        <v>2394</v>
      </c>
      <c r="P548" s="4">
        <v>2394</v>
      </c>
      <c r="Q548" s="6">
        <v>0</v>
      </c>
    </row>
    <row r="549" spans="1:17" x14ac:dyDescent="0.25">
      <c r="A549" s="2" t="s">
        <v>524</v>
      </c>
      <c r="B549" s="2" t="s">
        <v>87</v>
      </c>
      <c r="C549" s="2" t="s">
        <v>88</v>
      </c>
      <c r="D549" s="2" t="s">
        <v>758</v>
      </c>
      <c r="E549" s="2" t="s">
        <v>845</v>
      </c>
      <c r="F549" s="2" t="s">
        <v>844</v>
      </c>
      <c r="G549" s="3">
        <v>46092</v>
      </c>
      <c r="H549" s="2" t="s">
        <v>753</v>
      </c>
      <c r="I549" s="2" t="s">
        <v>755</v>
      </c>
      <c r="J549" s="2" t="s">
        <v>754</v>
      </c>
      <c r="K549" s="2" t="s">
        <v>753</v>
      </c>
      <c r="L549" s="6">
        <v>76</v>
      </c>
      <c r="M549" s="2" t="s">
        <v>752</v>
      </c>
      <c r="N549" s="7">
        <v>40.119999999999997</v>
      </c>
      <c r="O549" s="4">
        <v>3049.12</v>
      </c>
      <c r="P549" s="4">
        <v>3049.12</v>
      </c>
      <c r="Q549" s="6">
        <v>0</v>
      </c>
    </row>
    <row r="550" spans="1:17" x14ac:dyDescent="0.25">
      <c r="A550" s="2" t="s">
        <v>524</v>
      </c>
      <c r="B550" s="2" t="s">
        <v>87</v>
      </c>
      <c r="C550" s="2" t="s">
        <v>88</v>
      </c>
      <c r="D550" s="2" t="s">
        <v>758</v>
      </c>
      <c r="E550" s="2" t="s">
        <v>910</v>
      </c>
      <c r="F550" s="2" t="s">
        <v>909</v>
      </c>
      <c r="G550" s="3">
        <v>46092</v>
      </c>
      <c r="H550" s="2" t="s">
        <v>753</v>
      </c>
      <c r="I550" s="2" t="s">
        <v>755</v>
      </c>
      <c r="J550" s="2" t="s">
        <v>754</v>
      </c>
      <c r="K550" s="2" t="s">
        <v>753</v>
      </c>
      <c r="L550" s="6">
        <v>24</v>
      </c>
      <c r="M550" s="2" t="s">
        <v>752</v>
      </c>
      <c r="N550" s="7">
        <v>42.03</v>
      </c>
      <c r="O550" s="4">
        <v>1008.72</v>
      </c>
      <c r="P550" s="4">
        <v>1008.72</v>
      </c>
      <c r="Q550" s="6">
        <v>0</v>
      </c>
    </row>
    <row r="551" spans="1:17" x14ac:dyDescent="0.25">
      <c r="A551" s="2" t="s">
        <v>524</v>
      </c>
      <c r="B551" s="2" t="s">
        <v>87</v>
      </c>
      <c r="C551" s="2" t="s">
        <v>88</v>
      </c>
      <c r="D551" s="2" t="s">
        <v>758</v>
      </c>
      <c r="E551" s="2" t="s">
        <v>908</v>
      </c>
      <c r="F551" s="2" t="s">
        <v>907</v>
      </c>
      <c r="G551" s="3">
        <v>46092</v>
      </c>
      <c r="H551" s="2" t="s">
        <v>753</v>
      </c>
      <c r="I551" s="2" t="s">
        <v>755</v>
      </c>
      <c r="J551" s="2" t="s">
        <v>754</v>
      </c>
      <c r="K551" s="2" t="s">
        <v>753</v>
      </c>
      <c r="L551" s="6">
        <v>152</v>
      </c>
      <c r="M551" s="2" t="s">
        <v>752</v>
      </c>
      <c r="N551" s="7">
        <v>39</v>
      </c>
      <c r="O551" s="4">
        <v>5928</v>
      </c>
      <c r="P551" s="4">
        <v>5928</v>
      </c>
      <c r="Q551" s="6">
        <v>0</v>
      </c>
    </row>
    <row r="552" spans="1:17" x14ac:dyDescent="0.25">
      <c r="A552" s="2" t="s">
        <v>524</v>
      </c>
      <c r="B552" s="2" t="s">
        <v>87</v>
      </c>
      <c r="C552" s="2" t="s">
        <v>88</v>
      </c>
      <c r="D552" s="2" t="s">
        <v>758</v>
      </c>
      <c r="E552" s="2" t="s">
        <v>815</v>
      </c>
      <c r="F552" s="2" t="s">
        <v>814</v>
      </c>
      <c r="G552" s="3">
        <v>46092</v>
      </c>
      <c r="H552" s="2" t="s">
        <v>753</v>
      </c>
      <c r="I552" s="2" t="s">
        <v>755</v>
      </c>
      <c r="J552" s="2" t="s">
        <v>754</v>
      </c>
      <c r="K552" s="2" t="s">
        <v>753</v>
      </c>
      <c r="L552" s="6">
        <v>96</v>
      </c>
      <c r="M552" s="2" t="s">
        <v>752</v>
      </c>
      <c r="N552" s="7">
        <v>36.24</v>
      </c>
      <c r="O552" s="4">
        <v>3479.04</v>
      </c>
      <c r="P552" s="4">
        <v>3479.04</v>
      </c>
      <c r="Q552" s="6">
        <v>0</v>
      </c>
    </row>
    <row r="553" spans="1:17" x14ac:dyDescent="0.25">
      <c r="A553" s="2" t="s">
        <v>524</v>
      </c>
      <c r="B553" s="2" t="s">
        <v>87</v>
      </c>
      <c r="C553" s="2" t="s">
        <v>88</v>
      </c>
      <c r="D553" s="2" t="s">
        <v>758</v>
      </c>
      <c r="E553" s="2" t="s">
        <v>906</v>
      </c>
      <c r="F553" s="2" t="s">
        <v>905</v>
      </c>
      <c r="G553" s="3">
        <v>46092</v>
      </c>
      <c r="H553" s="2" t="s">
        <v>753</v>
      </c>
      <c r="I553" s="2" t="s">
        <v>755</v>
      </c>
      <c r="J553" s="2" t="s">
        <v>754</v>
      </c>
      <c r="K553" s="2" t="s">
        <v>753</v>
      </c>
      <c r="L553" s="6">
        <v>28</v>
      </c>
      <c r="M553" s="2" t="s">
        <v>752</v>
      </c>
      <c r="N553" s="7">
        <v>35.21</v>
      </c>
      <c r="O553" s="4">
        <v>985.88</v>
      </c>
      <c r="P553" s="4">
        <v>985.88</v>
      </c>
      <c r="Q553" s="6">
        <v>0</v>
      </c>
    </row>
    <row r="554" spans="1:17" x14ac:dyDescent="0.25">
      <c r="A554" s="2" t="s">
        <v>524</v>
      </c>
      <c r="B554" s="2" t="s">
        <v>87</v>
      </c>
      <c r="C554" s="2" t="s">
        <v>88</v>
      </c>
      <c r="D554" s="2" t="s">
        <v>758</v>
      </c>
      <c r="E554" s="2" t="s">
        <v>763</v>
      </c>
      <c r="F554" s="2" t="s">
        <v>762</v>
      </c>
      <c r="G554" s="3">
        <v>46092</v>
      </c>
      <c r="H554" s="2" t="s">
        <v>753</v>
      </c>
      <c r="I554" s="2" t="s">
        <v>755</v>
      </c>
      <c r="J554" s="2" t="s">
        <v>754</v>
      </c>
      <c r="K554" s="2" t="s">
        <v>753</v>
      </c>
      <c r="L554" s="6">
        <v>140</v>
      </c>
      <c r="M554" s="2" t="s">
        <v>752</v>
      </c>
      <c r="N554" s="7">
        <v>45.49</v>
      </c>
      <c r="O554" s="4">
        <v>6368.6</v>
      </c>
      <c r="P554" s="4">
        <v>6368.6</v>
      </c>
      <c r="Q554" s="6">
        <v>0</v>
      </c>
    </row>
    <row r="555" spans="1:17" x14ac:dyDescent="0.25">
      <c r="A555" s="2" t="s">
        <v>524</v>
      </c>
      <c r="B555" s="2" t="s">
        <v>87</v>
      </c>
      <c r="C555" s="2" t="s">
        <v>88</v>
      </c>
      <c r="D555" s="2" t="s">
        <v>758</v>
      </c>
      <c r="E555" s="2" t="s">
        <v>774</v>
      </c>
      <c r="F555" s="2" t="s">
        <v>773</v>
      </c>
      <c r="G555" s="3">
        <v>46092</v>
      </c>
      <c r="H555" s="2" t="s">
        <v>753</v>
      </c>
      <c r="I555" s="2" t="s">
        <v>755</v>
      </c>
      <c r="J555" s="2" t="s">
        <v>754</v>
      </c>
      <c r="K555" s="2" t="s">
        <v>753</v>
      </c>
      <c r="L555" s="6">
        <v>28</v>
      </c>
      <c r="M555" s="2" t="s">
        <v>752</v>
      </c>
      <c r="N555" s="7">
        <v>37.020000000000003</v>
      </c>
      <c r="O555" s="4">
        <v>1036.56</v>
      </c>
      <c r="P555" s="4">
        <v>1036.56</v>
      </c>
      <c r="Q555" s="6">
        <v>0</v>
      </c>
    </row>
    <row r="556" spans="1:17" x14ac:dyDescent="0.25">
      <c r="A556" s="2" t="s">
        <v>524</v>
      </c>
      <c r="B556" s="2" t="s">
        <v>87</v>
      </c>
      <c r="C556" s="2" t="s">
        <v>88</v>
      </c>
      <c r="D556" s="2" t="s">
        <v>758</v>
      </c>
      <c r="E556" s="2" t="s">
        <v>863</v>
      </c>
      <c r="F556" s="2" t="s">
        <v>862</v>
      </c>
      <c r="G556" s="3">
        <v>46092</v>
      </c>
      <c r="H556" s="2" t="s">
        <v>753</v>
      </c>
      <c r="I556" s="2" t="s">
        <v>755</v>
      </c>
      <c r="J556" s="2" t="s">
        <v>754</v>
      </c>
      <c r="K556" s="2" t="s">
        <v>753</v>
      </c>
      <c r="L556" s="6">
        <v>4</v>
      </c>
      <c r="M556" s="2" t="s">
        <v>752</v>
      </c>
      <c r="N556" s="7">
        <v>52.47</v>
      </c>
      <c r="O556" s="4">
        <v>209.88</v>
      </c>
      <c r="P556" s="4">
        <v>209.88</v>
      </c>
      <c r="Q556" s="6">
        <v>0</v>
      </c>
    </row>
    <row r="557" spans="1:17" x14ac:dyDescent="0.25">
      <c r="A557" s="2" t="s">
        <v>524</v>
      </c>
      <c r="B557" s="2" t="s">
        <v>87</v>
      </c>
      <c r="C557" s="2" t="s">
        <v>88</v>
      </c>
      <c r="D557" s="2" t="s">
        <v>758</v>
      </c>
      <c r="E557" s="2" t="s">
        <v>807</v>
      </c>
      <c r="F557" s="2" t="s">
        <v>806</v>
      </c>
      <c r="G557" s="3">
        <v>46092</v>
      </c>
      <c r="H557" s="2" t="s">
        <v>753</v>
      </c>
      <c r="I557" s="2" t="s">
        <v>755</v>
      </c>
      <c r="J557" s="2" t="s">
        <v>754</v>
      </c>
      <c r="K557" s="2" t="s">
        <v>753</v>
      </c>
      <c r="L557" s="6">
        <v>28</v>
      </c>
      <c r="M557" s="2" t="s">
        <v>752</v>
      </c>
      <c r="N557" s="7">
        <v>44.15</v>
      </c>
      <c r="O557" s="4">
        <v>1236.2</v>
      </c>
      <c r="P557" s="4">
        <v>1236.2</v>
      </c>
      <c r="Q557" s="6">
        <v>0</v>
      </c>
    </row>
    <row r="558" spans="1:17" x14ac:dyDescent="0.25">
      <c r="A558" s="2" t="s">
        <v>524</v>
      </c>
      <c r="B558" s="2" t="s">
        <v>87</v>
      </c>
      <c r="C558" s="2" t="s">
        <v>88</v>
      </c>
      <c r="D558" s="2" t="s">
        <v>758</v>
      </c>
      <c r="E558" s="2" t="s">
        <v>904</v>
      </c>
      <c r="F558" s="2" t="s">
        <v>903</v>
      </c>
      <c r="G558" s="3">
        <v>46092</v>
      </c>
      <c r="H558" s="2" t="s">
        <v>753</v>
      </c>
      <c r="I558" s="2" t="s">
        <v>755</v>
      </c>
      <c r="J558" s="2" t="s">
        <v>754</v>
      </c>
      <c r="K558" s="2" t="s">
        <v>753</v>
      </c>
      <c r="L558" s="6">
        <v>12</v>
      </c>
      <c r="M558" s="2" t="s">
        <v>752</v>
      </c>
      <c r="N558" s="7">
        <v>40.22</v>
      </c>
      <c r="O558" s="4">
        <v>482.64</v>
      </c>
      <c r="P558" s="4">
        <v>482.64</v>
      </c>
      <c r="Q558" s="6">
        <v>0</v>
      </c>
    </row>
    <row r="559" spans="1:17" x14ac:dyDescent="0.25">
      <c r="A559" s="2" t="s">
        <v>524</v>
      </c>
      <c r="B559" s="2" t="s">
        <v>87</v>
      </c>
      <c r="C559" s="2" t="s">
        <v>88</v>
      </c>
      <c r="D559" s="2" t="s">
        <v>758</v>
      </c>
      <c r="E559" s="2" t="s">
        <v>855</v>
      </c>
      <c r="F559" s="2" t="s">
        <v>854</v>
      </c>
      <c r="G559" s="3">
        <v>46092</v>
      </c>
      <c r="H559" s="2" t="s">
        <v>753</v>
      </c>
      <c r="I559" s="2" t="s">
        <v>755</v>
      </c>
      <c r="J559" s="2" t="s">
        <v>754</v>
      </c>
      <c r="K559" s="2" t="s">
        <v>753</v>
      </c>
      <c r="L559" s="6">
        <v>70</v>
      </c>
      <c r="M559" s="2" t="s">
        <v>752</v>
      </c>
      <c r="N559" s="7">
        <v>42.37</v>
      </c>
      <c r="O559" s="4">
        <v>2965.9</v>
      </c>
      <c r="P559" s="4">
        <v>2965.9</v>
      </c>
      <c r="Q559" s="6">
        <v>0</v>
      </c>
    </row>
    <row r="560" spans="1:17" x14ac:dyDescent="0.25">
      <c r="A560" s="2" t="s">
        <v>524</v>
      </c>
      <c r="B560" s="2" t="s">
        <v>87</v>
      </c>
      <c r="C560" s="2" t="s">
        <v>88</v>
      </c>
      <c r="D560" s="2" t="s">
        <v>758</v>
      </c>
      <c r="E560" s="2" t="s">
        <v>902</v>
      </c>
      <c r="F560" s="2" t="s">
        <v>901</v>
      </c>
      <c r="G560" s="3">
        <v>46092</v>
      </c>
      <c r="H560" s="2" t="s">
        <v>753</v>
      </c>
      <c r="I560" s="2" t="s">
        <v>755</v>
      </c>
      <c r="J560" s="2" t="s">
        <v>754</v>
      </c>
      <c r="K560" s="2" t="s">
        <v>753</v>
      </c>
      <c r="L560" s="6">
        <v>14</v>
      </c>
      <c r="M560" s="2" t="s">
        <v>752</v>
      </c>
      <c r="N560" s="7">
        <v>42.22</v>
      </c>
      <c r="O560" s="4">
        <v>591.08000000000004</v>
      </c>
      <c r="P560" s="4">
        <v>591.08000000000004</v>
      </c>
      <c r="Q560" s="6">
        <v>0</v>
      </c>
    </row>
    <row r="561" spans="1:17" x14ac:dyDescent="0.25">
      <c r="A561" s="2" t="s">
        <v>524</v>
      </c>
      <c r="B561" s="2" t="s">
        <v>87</v>
      </c>
      <c r="C561" s="2" t="s">
        <v>88</v>
      </c>
      <c r="D561" s="2" t="s">
        <v>758</v>
      </c>
      <c r="E561" s="2" t="s">
        <v>954</v>
      </c>
      <c r="F561" s="2" t="s">
        <v>953</v>
      </c>
      <c r="G561" s="3">
        <v>46092</v>
      </c>
      <c r="H561" s="2" t="s">
        <v>753</v>
      </c>
      <c r="I561" s="2" t="s">
        <v>755</v>
      </c>
      <c r="J561" s="2" t="s">
        <v>754</v>
      </c>
      <c r="K561" s="2" t="s">
        <v>753</v>
      </c>
      <c r="L561" s="6">
        <v>8</v>
      </c>
      <c r="M561" s="2" t="s">
        <v>752</v>
      </c>
      <c r="N561" s="7">
        <v>36.24</v>
      </c>
      <c r="O561" s="4">
        <v>289.92</v>
      </c>
      <c r="P561" s="4">
        <v>289.92</v>
      </c>
      <c r="Q561" s="6">
        <v>0</v>
      </c>
    </row>
    <row r="562" spans="1:17" x14ac:dyDescent="0.25">
      <c r="A562" s="2" t="s">
        <v>524</v>
      </c>
      <c r="B562" s="2" t="s">
        <v>87</v>
      </c>
      <c r="C562" s="2" t="s">
        <v>88</v>
      </c>
      <c r="D562" s="2" t="s">
        <v>758</v>
      </c>
      <c r="E562" s="2" t="s">
        <v>900</v>
      </c>
      <c r="F562" s="2" t="s">
        <v>899</v>
      </c>
      <c r="G562" s="3">
        <v>46092</v>
      </c>
      <c r="H562" s="2" t="s">
        <v>753</v>
      </c>
      <c r="I562" s="2" t="s">
        <v>755</v>
      </c>
      <c r="J562" s="2" t="s">
        <v>754</v>
      </c>
      <c r="K562" s="2" t="s">
        <v>753</v>
      </c>
      <c r="L562" s="6">
        <v>44</v>
      </c>
      <c r="M562" s="2" t="s">
        <v>752</v>
      </c>
      <c r="N562" s="7">
        <v>32.549999999999997</v>
      </c>
      <c r="O562" s="4">
        <v>1432.2</v>
      </c>
      <c r="P562" s="4">
        <v>1432.2</v>
      </c>
      <c r="Q562" s="6">
        <v>0</v>
      </c>
    </row>
    <row r="563" spans="1:17" x14ac:dyDescent="0.25">
      <c r="A563" s="2" t="s">
        <v>524</v>
      </c>
      <c r="B563" s="2" t="s">
        <v>87</v>
      </c>
      <c r="C563" s="2" t="s">
        <v>88</v>
      </c>
      <c r="D563" s="2" t="s">
        <v>758</v>
      </c>
      <c r="E563" s="2" t="s">
        <v>780</v>
      </c>
      <c r="F563" s="2" t="s">
        <v>779</v>
      </c>
      <c r="G563" s="3">
        <v>46092</v>
      </c>
      <c r="H563" s="2" t="s">
        <v>753</v>
      </c>
      <c r="I563" s="2" t="s">
        <v>755</v>
      </c>
      <c r="J563" s="2" t="s">
        <v>754</v>
      </c>
      <c r="K563" s="2" t="s">
        <v>753</v>
      </c>
      <c r="L563" s="6">
        <v>12</v>
      </c>
      <c r="M563" s="2" t="s">
        <v>752</v>
      </c>
      <c r="N563" s="7">
        <v>35.57</v>
      </c>
      <c r="O563" s="4">
        <v>426.84</v>
      </c>
      <c r="P563" s="4">
        <v>426.84</v>
      </c>
      <c r="Q563" s="6">
        <v>0</v>
      </c>
    </row>
    <row r="564" spans="1:17" x14ac:dyDescent="0.25">
      <c r="A564" s="2" t="s">
        <v>524</v>
      </c>
      <c r="B564" s="2" t="s">
        <v>87</v>
      </c>
      <c r="C564" s="2" t="s">
        <v>88</v>
      </c>
      <c r="D564" s="2" t="s">
        <v>758</v>
      </c>
      <c r="E564" s="2" t="s">
        <v>898</v>
      </c>
      <c r="F564" s="2" t="s">
        <v>897</v>
      </c>
      <c r="G564" s="3">
        <v>46092</v>
      </c>
      <c r="H564" s="2" t="s">
        <v>753</v>
      </c>
      <c r="I564" s="2" t="s">
        <v>755</v>
      </c>
      <c r="J564" s="2" t="s">
        <v>754</v>
      </c>
      <c r="K564" s="2" t="s">
        <v>753</v>
      </c>
      <c r="L564" s="6">
        <v>36</v>
      </c>
      <c r="M564" s="2" t="s">
        <v>752</v>
      </c>
      <c r="N564" s="7">
        <v>41.25</v>
      </c>
      <c r="O564" s="4">
        <v>1485</v>
      </c>
      <c r="P564" s="4">
        <v>1485</v>
      </c>
      <c r="Q564" s="6">
        <v>0</v>
      </c>
    </row>
    <row r="565" spans="1:17" x14ac:dyDescent="0.25">
      <c r="A565" s="2" t="s">
        <v>524</v>
      </c>
      <c r="B565" s="2" t="s">
        <v>87</v>
      </c>
      <c r="C565" s="2" t="s">
        <v>88</v>
      </c>
      <c r="D565" s="2" t="s">
        <v>758</v>
      </c>
      <c r="E565" s="2" t="s">
        <v>819</v>
      </c>
      <c r="F565" s="2" t="s">
        <v>818</v>
      </c>
      <c r="G565" s="3">
        <v>46092</v>
      </c>
      <c r="H565" s="2" t="s">
        <v>753</v>
      </c>
      <c r="I565" s="2" t="s">
        <v>755</v>
      </c>
      <c r="J565" s="2" t="s">
        <v>754</v>
      </c>
      <c r="K565" s="2" t="s">
        <v>753</v>
      </c>
      <c r="L565" s="6">
        <v>32</v>
      </c>
      <c r="M565" s="2" t="s">
        <v>752</v>
      </c>
      <c r="N565" s="7">
        <v>40.22</v>
      </c>
      <c r="O565" s="4">
        <v>1287.04</v>
      </c>
      <c r="P565" s="4">
        <v>1287.04</v>
      </c>
      <c r="Q565" s="6">
        <v>0</v>
      </c>
    </row>
    <row r="566" spans="1:17" x14ac:dyDescent="0.25">
      <c r="A566" s="2" t="s">
        <v>524</v>
      </c>
      <c r="B566" s="2" t="s">
        <v>87</v>
      </c>
      <c r="C566" s="2" t="s">
        <v>88</v>
      </c>
      <c r="D566" s="2" t="s">
        <v>758</v>
      </c>
      <c r="E566" s="2" t="s">
        <v>757</v>
      </c>
      <c r="F566" s="2" t="s">
        <v>756</v>
      </c>
      <c r="G566" s="3">
        <v>46092</v>
      </c>
      <c r="H566" s="2" t="s">
        <v>753</v>
      </c>
      <c r="I566" s="2" t="s">
        <v>755</v>
      </c>
      <c r="J566" s="2" t="s">
        <v>754</v>
      </c>
      <c r="K566" s="2" t="s">
        <v>753</v>
      </c>
      <c r="L566" s="6">
        <v>36</v>
      </c>
      <c r="M566" s="2" t="s">
        <v>752</v>
      </c>
      <c r="N566" s="7">
        <v>41.5</v>
      </c>
      <c r="O566" s="4">
        <v>1494</v>
      </c>
      <c r="P566" s="4">
        <v>1494</v>
      </c>
      <c r="Q566" s="6">
        <v>0</v>
      </c>
    </row>
    <row r="567" spans="1:17" x14ac:dyDescent="0.25">
      <c r="A567" s="2" t="s">
        <v>558</v>
      </c>
      <c r="B567" s="2" t="s">
        <v>135</v>
      </c>
      <c r="C567" s="2" t="s">
        <v>136</v>
      </c>
      <c r="D567" s="2" t="s">
        <v>758</v>
      </c>
      <c r="E567" s="2" t="s">
        <v>813</v>
      </c>
      <c r="F567" s="2" t="s">
        <v>812</v>
      </c>
      <c r="G567" s="3">
        <v>46084</v>
      </c>
      <c r="H567" s="2" t="s">
        <v>753</v>
      </c>
      <c r="I567" s="2" t="s">
        <v>755</v>
      </c>
      <c r="J567" s="2" t="s">
        <v>754</v>
      </c>
      <c r="K567" s="2" t="s">
        <v>753</v>
      </c>
      <c r="L567" s="6">
        <v>56</v>
      </c>
      <c r="M567" s="2" t="s">
        <v>752</v>
      </c>
      <c r="N567" s="7">
        <v>46.25</v>
      </c>
      <c r="O567" s="4">
        <v>2590</v>
      </c>
      <c r="P567" s="4">
        <v>2590</v>
      </c>
      <c r="Q567" s="6">
        <v>0</v>
      </c>
    </row>
    <row r="568" spans="1:17" x14ac:dyDescent="0.25">
      <c r="A568" s="2" t="s">
        <v>558</v>
      </c>
      <c r="B568" s="2" t="s">
        <v>135</v>
      </c>
      <c r="C568" s="2" t="s">
        <v>136</v>
      </c>
      <c r="D568" s="2" t="s">
        <v>758</v>
      </c>
      <c r="E568" s="2" t="s">
        <v>763</v>
      </c>
      <c r="F568" s="2" t="s">
        <v>762</v>
      </c>
      <c r="G568" s="3">
        <v>46084</v>
      </c>
      <c r="H568" s="2" t="s">
        <v>753</v>
      </c>
      <c r="I568" s="2" t="s">
        <v>755</v>
      </c>
      <c r="J568" s="2" t="s">
        <v>754</v>
      </c>
      <c r="K568" s="2" t="s">
        <v>753</v>
      </c>
      <c r="L568" s="6">
        <v>60</v>
      </c>
      <c r="M568" s="2" t="s">
        <v>752</v>
      </c>
      <c r="N568" s="7">
        <v>42</v>
      </c>
      <c r="O568" s="4">
        <v>2520</v>
      </c>
      <c r="P568" s="4">
        <v>2520</v>
      </c>
      <c r="Q568" s="6">
        <v>0</v>
      </c>
    </row>
    <row r="569" spans="1:17" x14ac:dyDescent="0.25">
      <c r="A569" s="2" t="s">
        <v>558</v>
      </c>
      <c r="B569" s="2" t="s">
        <v>135</v>
      </c>
      <c r="C569" s="2" t="s">
        <v>136</v>
      </c>
      <c r="D569" s="2" t="s">
        <v>758</v>
      </c>
      <c r="E569" s="2" t="s">
        <v>788</v>
      </c>
      <c r="F569" s="2" t="s">
        <v>787</v>
      </c>
      <c r="G569" s="3">
        <v>46084</v>
      </c>
      <c r="H569" s="2" t="s">
        <v>753</v>
      </c>
      <c r="I569" s="2" t="s">
        <v>755</v>
      </c>
      <c r="J569" s="2" t="s">
        <v>754</v>
      </c>
      <c r="K569" s="2" t="s">
        <v>753</v>
      </c>
      <c r="L569" s="6">
        <v>252</v>
      </c>
      <c r="M569" s="2" t="s">
        <v>752</v>
      </c>
      <c r="N569" s="7">
        <v>38.299999999999997</v>
      </c>
      <c r="O569" s="4">
        <v>9651.6</v>
      </c>
      <c r="P569" s="4">
        <v>9651.6</v>
      </c>
      <c r="Q569" s="6">
        <v>0</v>
      </c>
    </row>
    <row r="570" spans="1:17" x14ac:dyDescent="0.25">
      <c r="A570" s="2" t="s">
        <v>558</v>
      </c>
      <c r="B570" s="2" t="s">
        <v>135</v>
      </c>
      <c r="C570" s="2" t="s">
        <v>136</v>
      </c>
      <c r="D570" s="2" t="s">
        <v>758</v>
      </c>
      <c r="E570" s="2" t="s">
        <v>786</v>
      </c>
      <c r="F570" s="2" t="s">
        <v>785</v>
      </c>
      <c r="G570" s="3">
        <v>46084</v>
      </c>
      <c r="H570" s="2" t="s">
        <v>753</v>
      </c>
      <c r="I570" s="2" t="s">
        <v>755</v>
      </c>
      <c r="J570" s="2" t="s">
        <v>754</v>
      </c>
      <c r="K570" s="2" t="s">
        <v>753</v>
      </c>
      <c r="L570" s="6">
        <v>140</v>
      </c>
      <c r="M570" s="2" t="s">
        <v>752</v>
      </c>
      <c r="N570" s="7">
        <v>36.47</v>
      </c>
      <c r="O570" s="4">
        <v>5105.8</v>
      </c>
      <c r="P570" s="4">
        <v>5105.8</v>
      </c>
      <c r="Q570" s="6">
        <v>0</v>
      </c>
    </row>
    <row r="571" spans="1:17" x14ac:dyDescent="0.25">
      <c r="A571" s="2" t="s">
        <v>558</v>
      </c>
      <c r="B571" s="2" t="s">
        <v>135</v>
      </c>
      <c r="C571" s="2" t="s">
        <v>136</v>
      </c>
      <c r="D571" s="2" t="s">
        <v>758</v>
      </c>
      <c r="E571" s="2" t="s">
        <v>894</v>
      </c>
      <c r="F571" s="2" t="s">
        <v>893</v>
      </c>
      <c r="G571" s="3">
        <v>46084</v>
      </c>
      <c r="H571" s="2" t="s">
        <v>753</v>
      </c>
      <c r="I571" s="2" t="s">
        <v>755</v>
      </c>
      <c r="J571" s="2" t="s">
        <v>754</v>
      </c>
      <c r="K571" s="2" t="s">
        <v>753</v>
      </c>
      <c r="L571" s="6">
        <v>36</v>
      </c>
      <c r="M571" s="2" t="s">
        <v>752</v>
      </c>
      <c r="N571" s="7">
        <v>33.25</v>
      </c>
      <c r="O571" s="4">
        <v>1197</v>
      </c>
      <c r="P571" s="4">
        <v>1197</v>
      </c>
      <c r="Q571" s="6">
        <v>0</v>
      </c>
    </row>
    <row r="572" spans="1:17" x14ac:dyDescent="0.25">
      <c r="A572" s="2" t="s">
        <v>558</v>
      </c>
      <c r="B572" s="2" t="s">
        <v>135</v>
      </c>
      <c r="C572" s="2" t="s">
        <v>136</v>
      </c>
      <c r="D572" s="2" t="s">
        <v>758</v>
      </c>
      <c r="E572" s="2" t="s">
        <v>925</v>
      </c>
      <c r="F572" s="2" t="s">
        <v>924</v>
      </c>
      <c r="G572" s="3">
        <v>46084</v>
      </c>
      <c r="H572" s="2" t="s">
        <v>753</v>
      </c>
      <c r="I572" s="2" t="s">
        <v>755</v>
      </c>
      <c r="J572" s="2" t="s">
        <v>754</v>
      </c>
      <c r="K572" s="2" t="s">
        <v>753</v>
      </c>
      <c r="L572" s="6">
        <v>48</v>
      </c>
      <c r="M572" s="2" t="s">
        <v>752</v>
      </c>
      <c r="N572" s="7">
        <v>35.75</v>
      </c>
      <c r="O572" s="4">
        <v>1716</v>
      </c>
      <c r="P572" s="4">
        <v>1716</v>
      </c>
      <c r="Q572" s="6">
        <v>0</v>
      </c>
    </row>
    <row r="573" spans="1:17" x14ac:dyDescent="0.25">
      <c r="A573" s="2" t="s">
        <v>992</v>
      </c>
      <c r="B573" s="2" t="s">
        <v>760</v>
      </c>
      <c r="C573" s="2" t="s">
        <v>759</v>
      </c>
      <c r="D573" s="2" t="s">
        <v>758</v>
      </c>
      <c r="E573" s="2" t="s">
        <v>829</v>
      </c>
      <c r="F573" s="2" t="s">
        <v>828</v>
      </c>
      <c r="G573" s="3">
        <v>46071</v>
      </c>
      <c r="H573" s="2" t="s">
        <v>753</v>
      </c>
      <c r="I573" s="2" t="s">
        <v>755</v>
      </c>
      <c r="J573" s="2" t="s">
        <v>754</v>
      </c>
      <c r="K573" s="2" t="s">
        <v>753</v>
      </c>
      <c r="L573" s="6">
        <v>2</v>
      </c>
      <c r="M573" s="2" t="s">
        <v>752</v>
      </c>
      <c r="N573" s="7">
        <v>0</v>
      </c>
      <c r="O573" s="4">
        <v>0</v>
      </c>
      <c r="P573" s="4">
        <v>0</v>
      </c>
      <c r="Q573" s="6">
        <v>0</v>
      </c>
    </row>
    <row r="574" spans="1:17" x14ac:dyDescent="0.25">
      <c r="A574" s="2" t="s">
        <v>538</v>
      </c>
      <c r="B574" s="2" t="s">
        <v>49</v>
      </c>
      <c r="C574" s="2" t="s">
        <v>50</v>
      </c>
      <c r="D574" s="2" t="s">
        <v>758</v>
      </c>
      <c r="E574" s="2" t="s">
        <v>847</v>
      </c>
      <c r="F574" s="2" t="s">
        <v>846</v>
      </c>
      <c r="G574" s="3">
        <v>46090</v>
      </c>
      <c r="H574" s="2" t="s">
        <v>753</v>
      </c>
      <c r="I574" s="2" t="s">
        <v>755</v>
      </c>
      <c r="J574" s="2" t="s">
        <v>754</v>
      </c>
      <c r="K574" s="2" t="s">
        <v>753</v>
      </c>
      <c r="L574" s="6">
        <v>112</v>
      </c>
      <c r="M574" s="2" t="s">
        <v>752</v>
      </c>
      <c r="N574" s="7">
        <v>34.5</v>
      </c>
      <c r="O574" s="4">
        <v>3864</v>
      </c>
      <c r="P574" s="4">
        <v>3864</v>
      </c>
      <c r="Q574" s="6">
        <v>0</v>
      </c>
    </row>
    <row r="575" spans="1:17" x14ac:dyDescent="0.25">
      <c r="A575" s="2" t="s">
        <v>538</v>
      </c>
      <c r="B575" s="2" t="s">
        <v>49</v>
      </c>
      <c r="C575" s="2" t="s">
        <v>50</v>
      </c>
      <c r="D575" s="2" t="s">
        <v>758</v>
      </c>
      <c r="E575" s="2" t="s">
        <v>875</v>
      </c>
      <c r="F575" s="2" t="s">
        <v>874</v>
      </c>
      <c r="G575" s="3">
        <v>46090</v>
      </c>
      <c r="H575" s="2" t="s">
        <v>753</v>
      </c>
      <c r="I575" s="2" t="s">
        <v>755</v>
      </c>
      <c r="J575" s="2" t="s">
        <v>754</v>
      </c>
      <c r="K575" s="2" t="s">
        <v>753</v>
      </c>
      <c r="L575" s="6">
        <v>32</v>
      </c>
      <c r="M575" s="2" t="s">
        <v>752</v>
      </c>
      <c r="N575" s="7">
        <v>34.5</v>
      </c>
      <c r="O575" s="4">
        <v>1104</v>
      </c>
      <c r="P575" s="4">
        <v>1104</v>
      </c>
      <c r="Q575" s="6">
        <v>0</v>
      </c>
    </row>
    <row r="576" spans="1:17" x14ac:dyDescent="0.25">
      <c r="A576" s="2" t="s">
        <v>991</v>
      </c>
      <c r="B576" s="2" t="s">
        <v>760</v>
      </c>
      <c r="C576" s="2" t="s">
        <v>759</v>
      </c>
      <c r="D576" s="2" t="s">
        <v>758</v>
      </c>
      <c r="E576" s="2" t="s">
        <v>829</v>
      </c>
      <c r="F576" s="2" t="s">
        <v>828</v>
      </c>
      <c r="G576" s="3">
        <v>46072</v>
      </c>
      <c r="H576" s="2" t="s">
        <v>753</v>
      </c>
      <c r="I576" s="2" t="s">
        <v>755</v>
      </c>
      <c r="J576" s="2" t="s">
        <v>754</v>
      </c>
      <c r="K576" s="2" t="s">
        <v>753</v>
      </c>
      <c r="L576" s="6">
        <v>1</v>
      </c>
      <c r="M576" s="2" t="s">
        <v>752</v>
      </c>
      <c r="N576" s="7">
        <v>0</v>
      </c>
      <c r="O576" s="4">
        <v>0</v>
      </c>
      <c r="P576" s="4">
        <v>0</v>
      </c>
      <c r="Q576" s="6">
        <v>0</v>
      </c>
    </row>
    <row r="577" spans="1:17" x14ac:dyDescent="0.25">
      <c r="A577" s="2" t="s">
        <v>990</v>
      </c>
      <c r="B577" s="2" t="s">
        <v>760</v>
      </c>
      <c r="C577" s="2" t="s">
        <v>759</v>
      </c>
      <c r="D577" s="2" t="s">
        <v>758</v>
      </c>
      <c r="E577" s="2" t="s">
        <v>780</v>
      </c>
      <c r="F577" s="2" t="s">
        <v>779</v>
      </c>
      <c r="G577" s="3">
        <v>46072</v>
      </c>
      <c r="H577" s="2" t="s">
        <v>753</v>
      </c>
      <c r="I577" s="2" t="s">
        <v>755</v>
      </c>
      <c r="J577" s="2" t="s">
        <v>754</v>
      </c>
      <c r="K577" s="2" t="s">
        <v>753</v>
      </c>
      <c r="L577" s="6">
        <v>1</v>
      </c>
      <c r="M577" s="2" t="s">
        <v>752</v>
      </c>
      <c r="N577" s="7">
        <v>0</v>
      </c>
      <c r="O577" s="4">
        <v>0</v>
      </c>
      <c r="P577" s="4">
        <v>0</v>
      </c>
      <c r="Q577" s="6">
        <v>0</v>
      </c>
    </row>
    <row r="578" spans="1:17" x14ac:dyDescent="0.25">
      <c r="A578" s="2" t="s">
        <v>512</v>
      </c>
      <c r="B578" s="2" t="s">
        <v>513</v>
      </c>
      <c r="C578" s="2" t="s">
        <v>514</v>
      </c>
      <c r="D578" s="2" t="s">
        <v>758</v>
      </c>
      <c r="E578" s="2" t="s">
        <v>871</v>
      </c>
      <c r="F578" s="2" t="s">
        <v>870</v>
      </c>
      <c r="G578" s="3">
        <v>46093</v>
      </c>
      <c r="H578" s="2" t="s">
        <v>753</v>
      </c>
      <c r="I578" s="2" t="s">
        <v>755</v>
      </c>
      <c r="J578" s="2" t="s">
        <v>754</v>
      </c>
      <c r="K578" s="2" t="s">
        <v>753</v>
      </c>
      <c r="L578" s="6">
        <v>0</v>
      </c>
      <c r="M578" s="2" t="s">
        <v>752</v>
      </c>
      <c r="N578" s="7">
        <v>41.66</v>
      </c>
      <c r="O578" s="4">
        <v>0</v>
      </c>
      <c r="P578" s="4">
        <v>0</v>
      </c>
      <c r="Q578" s="6">
        <v>0</v>
      </c>
    </row>
    <row r="579" spans="1:17" x14ac:dyDescent="0.25">
      <c r="A579" s="2" t="s">
        <v>512</v>
      </c>
      <c r="B579" s="2" t="s">
        <v>513</v>
      </c>
      <c r="C579" s="2" t="s">
        <v>514</v>
      </c>
      <c r="D579" s="2" t="s">
        <v>758</v>
      </c>
      <c r="E579" s="2" t="s">
        <v>918</v>
      </c>
      <c r="F579" s="2" t="s">
        <v>917</v>
      </c>
      <c r="G579" s="3">
        <v>46093</v>
      </c>
      <c r="H579" s="2" t="s">
        <v>753</v>
      </c>
      <c r="I579" s="2" t="s">
        <v>755</v>
      </c>
      <c r="J579" s="2" t="s">
        <v>754</v>
      </c>
      <c r="K579" s="2" t="s">
        <v>753</v>
      </c>
      <c r="L579" s="6">
        <v>0</v>
      </c>
      <c r="M579" s="2" t="s">
        <v>752</v>
      </c>
      <c r="N579" s="7">
        <v>42.53</v>
      </c>
      <c r="O579" s="4">
        <v>0</v>
      </c>
      <c r="P579" s="4">
        <v>0</v>
      </c>
      <c r="Q579" s="6">
        <v>0</v>
      </c>
    </row>
    <row r="580" spans="1:17" x14ac:dyDescent="0.25">
      <c r="A580" s="2" t="s">
        <v>512</v>
      </c>
      <c r="B580" s="2" t="s">
        <v>513</v>
      </c>
      <c r="C580" s="2" t="s">
        <v>514</v>
      </c>
      <c r="D580" s="2" t="s">
        <v>758</v>
      </c>
      <c r="E580" s="2" t="s">
        <v>823</v>
      </c>
      <c r="F580" s="2" t="s">
        <v>822</v>
      </c>
      <c r="G580" s="3">
        <v>46093</v>
      </c>
      <c r="H580" s="2" t="s">
        <v>753</v>
      </c>
      <c r="I580" s="2" t="s">
        <v>755</v>
      </c>
      <c r="J580" s="2" t="s">
        <v>754</v>
      </c>
      <c r="K580" s="2" t="s">
        <v>753</v>
      </c>
      <c r="L580" s="6">
        <v>24</v>
      </c>
      <c r="M580" s="2" t="s">
        <v>752</v>
      </c>
      <c r="N580" s="7">
        <v>52</v>
      </c>
      <c r="O580" s="4">
        <v>1248</v>
      </c>
      <c r="P580" s="4">
        <v>1248</v>
      </c>
      <c r="Q580" s="6">
        <v>0</v>
      </c>
    </row>
    <row r="581" spans="1:17" x14ac:dyDescent="0.25">
      <c r="A581" s="2" t="s">
        <v>546</v>
      </c>
      <c r="B581" s="2" t="s">
        <v>119</v>
      </c>
      <c r="C581" s="2" t="s">
        <v>120</v>
      </c>
      <c r="D581" s="2" t="s">
        <v>758</v>
      </c>
      <c r="E581" s="2" t="s">
        <v>936</v>
      </c>
      <c r="F581" s="2" t="s">
        <v>935</v>
      </c>
      <c r="G581" s="3">
        <v>46086</v>
      </c>
      <c r="H581" s="2" t="s">
        <v>753</v>
      </c>
      <c r="I581" s="2" t="s">
        <v>755</v>
      </c>
      <c r="J581" s="2" t="s">
        <v>754</v>
      </c>
      <c r="K581" s="2" t="s">
        <v>753</v>
      </c>
      <c r="L581" s="6">
        <v>12</v>
      </c>
      <c r="M581" s="2" t="s">
        <v>752</v>
      </c>
      <c r="N581" s="7">
        <v>37</v>
      </c>
      <c r="O581" s="4">
        <v>444</v>
      </c>
      <c r="P581" s="4">
        <v>444</v>
      </c>
      <c r="Q581" s="6">
        <v>0</v>
      </c>
    </row>
    <row r="582" spans="1:17" x14ac:dyDescent="0.25">
      <c r="A582" s="2" t="s">
        <v>546</v>
      </c>
      <c r="B582" s="2" t="s">
        <v>119</v>
      </c>
      <c r="C582" s="2" t="s">
        <v>120</v>
      </c>
      <c r="D582" s="2" t="s">
        <v>758</v>
      </c>
      <c r="E582" s="2" t="s">
        <v>757</v>
      </c>
      <c r="F582" s="2" t="s">
        <v>756</v>
      </c>
      <c r="G582" s="3">
        <v>46086</v>
      </c>
      <c r="H582" s="2" t="s">
        <v>753</v>
      </c>
      <c r="I582" s="2" t="s">
        <v>755</v>
      </c>
      <c r="J582" s="2" t="s">
        <v>754</v>
      </c>
      <c r="K582" s="2" t="s">
        <v>753</v>
      </c>
      <c r="L582" s="6">
        <v>20</v>
      </c>
      <c r="M582" s="2" t="s">
        <v>752</v>
      </c>
      <c r="N582" s="7">
        <v>42.11</v>
      </c>
      <c r="O582" s="4">
        <v>842.2</v>
      </c>
      <c r="P582" s="4">
        <v>842.2</v>
      </c>
      <c r="Q582" s="6">
        <v>0</v>
      </c>
    </row>
    <row r="583" spans="1:17" x14ac:dyDescent="0.25">
      <c r="A583" s="2" t="s">
        <v>546</v>
      </c>
      <c r="B583" s="2" t="s">
        <v>119</v>
      </c>
      <c r="C583" s="2" t="s">
        <v>120</v>
      </c>
      <c r="D583" s="2" t="s">
        <v>758</v>
      </c>
      <c r="E583" s="2" t="s">
        <v>847</v>
      </c>
      <c r="F583" s="2" t="s">
        <v>846</v>
      </c>
      <c r="G583" s="3">
        <v>46086</v>
      </c>
      <c r="H583" s="2" t="s">
        <v>753</v>
      </c>
      <c r="I583" s="2" t="s">
        <v>755</v>
      </c>
      <c r="J583" s="2" t="s">
        <v>754</v>
      </c>
      <c r="K583" s="2" t="s">
        <v>753</v>
      </c>
      <c r="L583" s="6">
        <v>84</v>
      </c>
      <c r="M583" s="2" t="s">
        <v>752</v>
      </c>
      <c r="N583" s="7">
        <v>38.75</v>
      </c>
      <c r="O583" s="4">
        <v>3255</v>
      </c>
      <c r="P583" s="4">
        <v>3255</v>
      </c>
      <c r="Q583" s="6">
        <v>0</v>
      </c>
    </row>
    <row r="584" spans="1:17" x14ac:dyDescent="0.25">
      <c r="A584" s="2" t="s">
        <v>546</v>
      </c>
      <c r="B584" s="2" t="s">
        <v>119</v>
      </c>
      <c r="C584" s="2" t="s">
        <v>120</v>
      </c>
      <c r="D584" s="2" t="s">
        <v>758</v>
      </c>
      <c r="E584" s="2" t="s">
        <v>916</v>
      </c>
      <c r="F584" s="2" t="s">
        <v>915</v>
      </c>
      <c r="G584" s="3">
        <v>46086</v>
      </c>
      <c r="H584" s="2" t="s">
        <v>753</v>
      </c>
      <c r="I584" s="2" t="s">
        <v>755</v>
      </c>
      <c r="J584" s="2" t="s">
        <v>754</v>
      </c>
      <c r="K584" s="2" t="s">
        <v>753</v>
      </c>
      <c r="L584" s="6">
        <v>8</v>
      </c>
      <c r="M584" s="2" t="s">
        <v>752</v>
      </c>
      <c r="N584" s="7">
        <v>40.78</v>
      </c>
      <c r="O584" s="4">
        <v>326.24</v>
      </c>
      <c r="P584" s="4">
        <v>326.24</v>
      </c>
      <c r="Q584" s="6">
        <v>0</v>
      </c>
    </row>
    <row r="585" spans="1:17" x14ac:dyDescent="0.25">
      <c r="A585" s="2" t="s">
        <v>546</v>
      </c>
      <c r="B585" s="2" t="s">
        <v>119</v>
      </c>
      <c r="C585" s="2" t="s">
        <v>120</v>
      </c>
      <c r="D585" s="2" t="s">
        <v>758</v>
      </c>
      <c r="E585" s="2" t="s">
        <v>807</v>
      </c>
      <c r="F585" s="2" t="s">
        <v>806</v>
      </c>
      <c r="G585" s="3">
        <v>46086</v>
      </c>
      <c r="H585" s="2" t="s">
        <v>753</v>
      </c>
      <c r="I585" s="2" t="s">
        <v>755</v>
      </c>
      <c r="J585" s="2" t="s">
        <v>754</v>
      </c>
      <c r="K585" s="2" t="s">
        <v>753</v>
      </c>
      <c r="L585" s="6">
        <v>8</v>
      </c>
      <c r="M585" s="2" t="s">
        <v>752</v>
      </c>
      <c r="N585" s="7">
        <v>44.65</v>
      </c>
      <c r="O585" s="4">
        <v>357.2</v>
      </c>
      <c r="P585" s="4">
        <v>357.2</v>
      </c>
      <c r="Q585" s="6">
        <v>0</v>
      </c>
    </row>
    <row r="586" spans="1:17" x14ac:dyDescent="0.25">
      <c r="A586" s="2" t="s">
        <v>546</v>
      </c>
      <c r="B586" s="2" t="s">
        <v>119</v>
      </c>
      <c r="C586" s="2" t="s">
        <v>120</v>
      </c>
      <c r="D586" s="2" t="s">
        <v>758</v>
      </c>
      <c r="E586" s="2" t="s">
        <v>845</v>
      </c>
      <c r="F586" s="2" t="s">
        <v>844</v>
      </c>
      <c r="G586" s="3">
        <v>46086</v>
      </c>
      <c r="H586" s="2" t="s">
        <v>753</v>
      </c>
      <c r="I586" s="2" t="s">
        <v>755</v>
      </c>
      <c r="J586" s="2" t="s">
        <v>754</v>
      </c>
      <c r="K586" s="2" t="s">
        <v>753</v>
      </c>
      <c r="L586" s="6">
        <v>16</v>
      </c>
      <c r="M586" s="2" t="s">
        <v>752</v>
      </c>
      <c r="N586" s="7">
        <v>40.619999999999997</v>
      </c>
      <c r="O586" s="4">
        <v>649.91999999999996</v>
      </c>
      <c r="P586" s="4">
        <v>649.91999999999996</v>
      </c>
      <c r="Q586" s="6">
        <v>0</v>
      </c>
    </row>
    <row r="587" spans="1:17" x14ac:dyDescent="0.25">
      <c r="A587" s="2" t="s">
        <v>546</v>
      </c>
      <c r="B587" s="2" t="s">
        <v>119</v>
      </c>
      <c r="C587" s="2" t="s">
        <v>120</v>
      </c>
      <c r="D587" s="2" t="s">
        <v>758</v>
      </c>
      <c r="E587" s="2" t="s">
        <v>786</v>
      </c>
      <c r="F587" s="2" t="s">
        <v>785</v>
      </c>
      <c r="G587" s="3">
        <v>46086</v>
      </c>
      <c r="H587" s="2" t="s">
        <v>753</v>
      </c>
      <c r="I587" s="2" t="s">
        <v>755</v>
      </c>
      <c r="J587" s="2" t="s">
        <v>754</v>
      </c>
      <c r="K587" s="2" t="s">
        <v>753</v>
      </c>
      <c r="L587" s="6">
        <v>132</v>
      </c>
      <c r="M587" s="2" t="s">
        <v>752</v>
      </c>
      <c r="N587" s="7">
        <v>35</v>
      </c>
      <c r="O587" s="4">
        <v>4620</v>
      </c>
      <c r="P587" s="4">
        <v>4620</v>
      </c>
      <c r="Q587" s="6">
        <v>0</v>
      </c>
    </row>
    <row r="588" spans="1:17" x14ac:dyDescent="0.25">
      <c r="A588" s="2" t="s">
        <v>546</v>
      </c>
      <c r="B588" s="2" t="s">
        <v>119</v>
      </c>
      <c r="C588" s="2" t="s">
        <v>120</v>
      </c>
      <c r="D588" s="2" t="s">
        <v>758</v>
      </c>
      <c r="E588" s="2" t="s">
        <v>813</v>
      </c>
      <c r="F588" s="2" t="s">
        <v>812</v>
      </c>
      <c r="G588" s="3">
        <v>46086</v>
      </c>
      <c r="H588" s="2" t="s">
        <v>753</v>
      </c>
      <c r="I588" s="2" t="s">
        <v>755</v>
      </c>
      <c r="J588" s="2" t="s">
        <v>754</v>
      </c>
      <c r="K588" s="2" t="s">
        <v>753</v>
      </c>
      <c r="L588" s="6">
        <v>8</v>
      </c>
      <c r="M588" s="2" t="s">
        <v>752</v>
      </c>
      <c r="N588" s="7">
        <v>53</v>
      </c>
      <c r="O588" s="4">
        <v>424</v>
      </c>
      <c r="P588" s="4">
        <v>424</v>
      </c>
      <c r="Q588" s="6">
        <v>0</v>
      </c>
    </row>
    <row r="589" spans="1:17" x14ac:dyDescent="0.25">
      <c r="A589" s="2" t="s">
        <v>546</v>
      </c>
      <c r="B589" s="2" t="s">
        <v>119</v>
      </c>
      <c r="C589" s="2" t="s">
        <v>120</v>
      </c>
      <c r="D589" s="2" t="s">
        <v>758</v>
      </c>
      <c r="E589" s="2" t="s">
        <v>776</v>
      </c>
      <c r="F589" s="2" t="s">
        <v>775</v>
      </c>
      <c r="G589" s="3">
        <v>46086</v>
      </c>
      <c r="H589" s="2" t="s">
        <v>753</v>
      </c>
      <c r="I589" s="2" t="s">
        <v>755</v>
      </c>
      <c r="J589" s="2" t="s">
        <v>754</v>
      </c>
      <c r="K589" s="2" t="s">
        <v>753</v>
      </c>
      <c r="L589" s="6">
        <v>12</v>
      </c>
      <c r="M589" s="2" t="s">
        <v>752</v>
      </c>
      <c r="N589" s="7">
        <v>43.82</v>
      </c>
      <c r="O589" s="4">
        <v>525.84</v>
      </c>
      <c r="P589" s="4">
        <v>525.84</v>
      </c>
      <c r="Q589" s="6">
        <v>0</v>
      </c>
    </row>
    <row r="590" spans="1:17" x14ac:dyDescent="0.25">
      <c r="A590" s="2" t="s">
        <v>546</v>
      </c>
      <c r="B590" s="2" t="s">
        <v>119</v>
      </c>
      <c r="C590" s="2" t="s">
        <v>120</v>
      </c>
      <c r="D590" s="2" t="s">
        <v>758</v>
      </c>
      <c r="E590" s="2" t="s">
        <v>912</v>
      </c>
      <c r="F590" s="2" t="s">
        <v>911</v>
      </c>
      <c r="G590" s="3">
        <v>46086</v>
      </c>
      <c r="H590" s="2" t="s">
        <v>753</v>
      </c>
      <c r="I590" s="2" t="s">
        <v>755</v>
      </c>
      <c r="J590" s="2" t="s">
        <v>754</v>
      </c>
      <c r="K590" s="2" t="s">
        <v>753</v>
      </c>
      <c r="L590" s="6">
        <v>12</v>
      </c>
      <c r="M590" s="2" t="s">
        <v>752</v>
      </c>
      <c r="N590" s="7">
        <v>55.13</v>
      </c>
      <c r="O590" s="4">
        <v>661.56</v>
      </c>
      <c r="P590" s="4">
        <v>661.56</v>
      </c>
      <c r="Q590" s="6">
        <v>0</v>
      </c>
    </row>
    <row r="591" spans="1:17" x14ac:dyDescent="0.25">
      <c r="A591" s="2" t="s">
        <v>544</v>
      </c>
      <c r="B591" s="2" t="s">
        <v>25</v>
      </c>
      <c r="C591" s="2" t="s">
        <v>26</v>
      </c>
      <c r="D591" s="2" t="s">
        <v>758</v>
      </c>
      <c r="E591" s="2" t="s">
        <v>827</v>
      </c>
      <c r="F591" s="2" t="s">
        <v>826</v>
      </c>
      <c r="G591" s="3">
        <v>46086</v>
      </c>
      <c r="H591" s="2" t="s">
        <v>753</v>
      </c>
      <c r="I591" s="2" t="s">
        <v>755</v>
      </c>
      <c r="J591" s="2" t="s">
        <v>754</v>
      </c>
      <c r="K591" s="2" t="s">
        <v>753</v>
      </c>
      <c r="L591" s="6">
        <v>16</v>
      </c>
      <c r="M591" s="2" t="s">
        <v>752</v>
      </c>
      <c r="N591" s="7">
        <v>41.85</v>
      </c>
      <c r="O591" s="4">
        <v>669.6</v>
      </c>
      <c r="P591" s="4">
        <v>669.6</v>
      </c>
      <c r="Q591" s="6">
        <v>0</v>
      </c>
    </row>
    <row r="592" spans="1:17" x14ac:dyDescent="0.25">
      <c r="A592" s="2" t="s">
        <v>544</v>
      </c>
      <c r="B592" s="2" t="s">
        <v>25</v>
      </c>
      <c r="C592" s="2" t="s">
        <v>26</v>
      </c>
      <c r="D592" s="2" t="s">
        <v>758</v>
      </c>
      <c r="E592" s="2" t="s">
        <v>825</v>
      </c>
      <c r="F592" s="2" t="s">
        <v>989</v>
      </c>
      <c r="G592" s="3">
        <v>46086</v>
      </c>
      <c r="H592" s="2" t="s">
        <v>753</v>
      </c>
      <c r="I592" s="2" t="s">
        <v>755</v>
      </c>
      <c r="J592" s="2" t="s">
        <v>754</v>
      </c>
      <c r="K592" s="2" t="s">
        <v>753</v>
      </c>
      <c r="L592" s="6">
        <v>4</v>
      </c>
      <c r="M592" s="2" t="s">
        <v>752</v>
      </c>
      <c r="N592" s="7">
        <v>47.2</v>
      </c>
      <c r="O592" s="4">
        <v>188.8</v>
      </c>
      <c r="P592" s="4">
        <v>188.8</v>
      </c>
      <c r="Q592" s="6">
        <v>0</v>
      </c>
    </row>
    <row r="593" spans="1:17" x14ac:dyDescent="0.25">
      <c r="A593" s="2" t="s">
        <v>544</v>
      </c>
      <c r="B593" s="2" t="s">
        <v>25</v>
      </c>
      <c r="C593" s="2" t="s">
        <v>26</v>
      </c>
      <c r="D593" s="2" t="s">
        <v>758</v>
      </c>
      <c r="E593" s="2" t="s">
        <v>823</v>
      </c>
      <c r="F593" s="2" t="s">
        <v>822</v>
      </c>
      <c r="G593" s="3">
        <v>46086</v>
      </c>
      <c r="H593" s="2" t="s">
        <v>753</v>
      </c>
      <c r="I593" s="2" t="s">
        <v>755</v>
      </c>
      <c r="J593" s="2" t="s">
        <v>754</v>
      </c>
      <c r="K593" s="2" t="s">
        <v>753</v>
      </c>
      <c r="L593" s="6">
        <v>68</v>
      </c>
      <c r="M593" s="2" t="s">
        <v>752</v>
      </c>
      <c r="N593" s="7">
        <v>52</v>
      </c>
      <c r="O593" s="4">
        <v>3536</v>
      </c>
      <c r="P593" s="4">
        <v>3536</v>
      </c>
      <c r="Q593" s="6">
        <v>0</v>
      </c>
    </row>
    <row r="594" spans="1:17" x14ac:dyDescent="0.25">
      <c r="A594" s="2" t="s">
        <v>544</v>
      </c>
      <c r="B594" s="2" t="s">
        <v>25</v>
      </c>
      <c r="C594" s="2" t="s">
        <v>26</v>
      </c>
      <c r="D594" s="2" t="s">
        <v>758</v>
      </c>
      <c r="E594" s="2" t="s">
        <v>763</v>
      </c>
      <c r="F594" s="2" t="s">
        <v>762</v>
      </c>
      <c r="G594" s="3">
        <v>46086</v>
      </c>
      <c r="H594" s="2" t="s">
        <v>753</v>
      </c>
      <c r="I594" s="2" t="s">
        <v>755</v>
      </c>
      <c r="J594" s="2" t="s">
        <v>754</v>
      </c>
      <c r="K594" s="2" t="s">
        <v>753</v>
      </c>
      <c r="L594" s="6">
        <v>160</v>
      </c>
      <c r="M594" s="2" t="s">
        <v>752</v>
      </c>
      <c r="N594" s="7">
        <v>43.5</v>
      </c>
      <c r="O594" s="4">
        <v>6960</v>
      </c>
      <c r="P594" s="4">
        <v>6960</v>
      </c>
      <c r="Q594" s="6">
        <v>0</v>
      </c>
    </row>
    <row r="595" spans="1:17" x14ac:dyDescent="0.25">
      <c r="A595" s="2" t="s">
        <v>544</v>
      </c>
      <c r="B595" s="2" t="s">
        <v>25</v>
      </c>
      <c r="C595" s="2" t="s">
        <v>26</v>
      </c>
      <c r="D595" s="2" t="s">
        <v>758</v>
      </c>
      <c r="E595" s="2" t="s">
        <v>821</v>
      </c>
      <c r="F595" s="2" t="s">
        <v>820</v>
      </c>
      <c r="G595" s="3">
        <v>46086</v>
      </c>
      <c r="H595" s="2" t="s">
        <v>753</v>
      </c>
      <c r="I595" s="2" t="s">
        <v>755</v>
      </c>
      <c r="J595" s="2" t="s">
        <v>754</v>
      </c>
      <c r="K595" s="2" t="s">
        <v>753</v>
      </c>
      <c r="L595" s="6">
        <v>16</v>
      </c>
      <c r="M595" s="2" t="s">
        <v>752</v>
      </c>
      <c r="N595" s="7">
        <v>52</v>
      </c>
      <c r="O595" s="4">
        <v>832</v>
      </c>
      <c r="P595" s="4">
        <v>832</v>
      </c>
      <c r="Q595" s="6">
        <v>0</v>
      </c>
    </row>
    <row r="596" spans="1:17" x14ac:dyDescent="0.25">
      <c r="A596" s="2" t="s">
        <v>544</v>
      </c>
      <c r="B596" s="2" t="s">
        <v>25</v>
      </c>
      <c r="C596" s="2" t="s">
        <v>26</v>
      </c>
      <c r="D596" s="2" t="s">
        <v>758</v>
      </c>
      <c r="E596" s="2" t="s">
        <v>819</v>
      </c>
      <c r="F596" s="2" t="s">
        <v>818</v>
      </c>
      <c r="G596" s="3">
        <v>46086</v>
      </c>
      <c r="H596" s="2" t="s">
        <v>753</v>
      </c>
      <c r="I596" s="2" t="s">
        <v>755</v>
      </c>
      <c r="J596" s="2" t="s">
        <v>754</v>
      </c>
      <c r="K596" s="2" t="s">
        <v>753</v>
      </c>
      <c r="L596" s="6">
        <v>16</v>
      </c>
      <c r="M596" s="2" t="s">
        <v>752</v>
      </c>
      <c r="N596" s="7">
        <v>38.25</v>
      </c>
      <c r="O596" s="4">
        <v>612</v>
      </c>
      <c r="P596" s="4">
        <v>612</v>
      </c>
      <c r="Q596" s="6">
        <v>0</v>
      </c>
    </row>
    <row r="597" spans="1:17" x14ac:dyDescent="0.25">
      <c r="A597" s="2" t="s">
        <v>544</v>
      </c>
      <c r="B597" s="2" t="s">
        <v>25</v>
      </c>
      <c r="C597" s="2" t="s">
        <v>26</v>
      </c>
      <c r="D597" s="2" t="s">
        <v>758</v>
      </c>
      <c r="E597" s="2" t="s">
        <v>829</v>
      </c>
      <c r="F597" s="2" t="s">
        <v>828</v>
      </c>
      <c r="G597" s="3">
        <v>46086</v>
      </c>
      <c r="H597" s="2" t="s">
        <v>753</v>
      </c>
      <c r="I597" s="2" t="s">
        <v>755</v>
      </c>
      <c r="J597" s="2" t="s">
        <v>754</v>
      </c>
      <c r="K597" s="2" t="s">
        <v>753</v>
      </c>
      <c r="L597" s="6">
        <v>28</v>
      </c>
      <c r="M597" s="2" t="s">
        <v>752</v>
      </c>
      <c r="N597" s="7">
        <v>40</v>
      </c>
      <c r="O597" s="4">
        <v>1120</v>
      </c>
      <c r="P597" s="4">
        <v>1120</v>
      </c>
      <c r="Q597" s="6">
        <v>0</v>
      </c>
    </row>
    <row r="598" spans="1:17" x14ac:dyDescent="0.25">
      <c r="A598" s="2" t="s">
        <v>542</v>
      </c>
      <c r="B598" s="2" t="s">
        <v>29</v>
      </c>
      <c r="C598" s="2" t="s">
        <v>30</v>
      </c>
      <c r="D598" s="2" t="s">
        <v>758</v>
      </c>
      <c r="E598" s="2" t="s">
        <v>817</v>
      </c>
      <c r="F598" s="2" t="s">
        <v>937</v>
      </c>
      <c r="G598" s="3">
        <v>46086</v>
      </c>
      <c r="H598" s="2" t="s">
        <v>753</v>
      </c>
      <c r="I598" s="2" t="s">
        <v>755</v>
      </c>
      <c r="J598" s="2" t="s">
        <v>754</v>
      </c>
      <c r="K598" s="2" t="s">
        <v>753</v>
      </c>
      <c r="L598" s="6">
        <v>84</v>
      </c>
      <c r="M598" s="2" t="s">
        <v>752</v>
      </c>
      <c r="N598" s="7">
        <v>31.42</v>
      </c>
      <c r="O598" s="4">
        <v>2639.28</v>
      </c>
      <c r="P598" s="4">
        <v>2639.28</v>
      </c>
      <c r="Q598" s="6">
        <v>0</v>
      </c>
    </row>
    <row r="599" spans="1:17" x14ac:dyDescent="0.25">
      <c r="A599" s="2" t="s">
        <v>542</v>
      </c>
      <c r="B599" s="2" t="s">
        <v>29</v>
      </c>
      <c r="C599" s="2" t="s">
        <v>30</v>
      </c>
      <c r="D599" s="2" t="s">
        <v>758</v>
      </c>
      <c r="E599" s="2" t="s">
        <v>815</v>
      </c>
      <c r="F599" s="2" t="s">
        <v>814</v>
      </c>
      <c r="G599" s="3">
        <v>46086</v>
      </c>
      <c r="H599" s="2" t="s">
        <v>753</v>
      </c>
      <c r="I599" s="2" t="s">
        <v>755</v>
      </c>
      <c r="J599" s="2" t="s">
        <v>754</v>
      </c>
      <c r="K599" s="2" t="s">
        <v>753</v>
      </c>
      <c r="L599" s="6">
        <v>112</v>
      </c>
      <c r="M599" s="2" t="s">
        <v>752</v>
      </c>
      <c r="N599" s="7">
        <v>34</v>
      </c>
      <c r="O599" s="4">
        <v>3808</v>
      </c>
      <c r="P599" s="4">
        <v>3808</v>
      </c>
      <c r="Q599" s="6">
        <v>0</v>
      </c>
    </row>
    <row r="600" spans="1:17" x14ac:dyDescent="0.25">
      <c r="A600" s="2" t="s">
        <v>542</v>
      </c>
      <c r="B600" s="2" t="s">
        <v>29</v>
      </c>
      <c r="C600" s="2" t="s">
        <v>30</v>
      </c>
      <c r="D600" s="2" t="s">
        <v>758</v>
      </c>
      <c r="E600" s="2" t="s">
        <v>813</v>
      </c>
      <c r="F600" s="2" t="s">
        <v>812</v>
      </c>
      <c r="G600" s="3">
        <v>46086</v>
      </c>
      <c r="H600" s="2" t="s">
        <v>753</v>
      </c>
      <c r="I600" s="2" t="s">
        <v>755</v>
      </c>
      <c r="J600" s="2" t="s">
        <v>754</v>
      </c>
      <c r="K600" s="2" t="s">
        <v>753</v>
      </c>
      <c r="L600" s="6">
        <v>12</v>
      </c>
      <c r="M600" s="2" t="s">
        <v>752</v>
      </c>
      <c r="N600" s="7">
        <v>43.26</v>
      </c>
      <c r="O600" s="4">
        <v>519.12</v>
      </c>
      <c r="P600" s="4">
        <v>519.12</v>
      </c>
      <c r="Q600" s="6">
        <v>0</v>
      </c>
    </row>
    <row r="601" spans="1:17" x14ac:dyDescent="0.25">
      <c r="A601" s="2" t="s">
        <v>542</v>
      </c>
      <c r="B601" s="2" t="s">
        <v>29</v>
      </c>
      <c r="C601" s="2" t="s">
        <v>30</v>
      </c>
      <c r="D601" s="2" t="s">
        <v>758</v>
      </c>
      <c r="E601" s="2" t="s">
        <v>811</v>
      </c>
      <c r="F601" s="2" t="s">
        <v>810</v>
      </c>
      <c r="G601" s="3">
        <v>46086</v>
      </c>
      <c r="H601" s="2" t="s">
        <v>753</v>
      </c>
      <c r="I601" s="2" t="s">
        <v>755</v>
      </c>
      <c r="J601" s="2" t="s">
        <v>754</v>
      </c>
      <c r="K601" s="2" t="s">
        <v>753</v>
      </c>
      <c r="L601" s="6">
        <v>40</v>
      </c>
      <c r="M601" s="2" t="s">
        <v>752</v>
      </c>
      <c r="N601" s="7">
        <v>43.26</v>
      </c>
      <c r="O601" s="4">
        <v>1730.4</v>
      </c>
      <c r="P601" s="4">
        <v>1730.4</v>
      </c>
      <c r="Q601" s="6">
        <v>0</v>
      </c>
    </row>
    <row r="602" spans="1:17" x14ac:dyDescent="0.25">
      <c r="A602" s="2" t="s">
        <v>542</v>
      </c>
      <c r="B602" s="2" t="s">
        <v>29</v>
      </c>
      <c r="C602" s="2" t="s">
        <v>30</v>
      </c>
      <c r="D602" s="2" t="s">
        <v>758</v>
      </c>
      <c r="E602" s="2" t="s">
        <v>763</v>
      </c>
      <c r="F602" s="2" t="s">
        <v>762</v>
      </c>
      <c r="G602" s="3">
        <v>46086</v>
      </c>
      <c r="H602" s="2" t="s">
        <v>753</v>
      </c>
      <c r="I602" s="2" t="s">
        <v>755</v>
      </c>
      <c r="J602" s="2" t="s">
        <v>754</v>
      </c>
      <c r="K602" s="2" t="s">
        <v>753</v>
      </c>
      <c r="L602" s="6">
        <v>84</v>
      </c>
      <c r="M602" s="2" t="s">
        <v>752</v>
      </c>
      <c r="N602" s="7">
        <v>43.36</v>
      </c>
      <c r="O602" s="4">
        <v>3642.24</v>
      </c>
      <c r="P602" s="4">
        <v>3642.24</v>
      </c>
      <c r="Q602" s="6">
        <v>0</v>
      </c>
    </row>
    <row r="603" spans="1:17" x14ac:dyDescent="0.25">
      <c r="A603" s="2" t="s">
        <v>542</v>
      </c>
      <c r="B603" s="2" t="s">
        <v>29</v>
      </c>
      <c r="C603" s="2" t="s">
        <v>30</v>
      </c>
      <c r="D603" s="2" t="s">
        <v>758</v>
      </c>
      <c r="E603" s="2" t="s">
        <v>776</v>
      </c>
      <c r="F603" s="2" t="s">
        <v>775</v>
      </c>
      <c r="G603" s="3">
        <v>46086</v>
      </c>
      <c r="H603" s="2" t="s">
        <v>753</v>
      </c>
      <c r="I603" s="2" t="s">
        <v>755</v>
      </c>
      <c r="J603" s="2" t="s">
        <v>754</v>
      </c>
      <c r="K603" s="2" t="s">
        <v>753</v>
      </c>
      <c r="L603" s="6">
        <v>20</v>
      </c>
      <c r="M603" s="2" t="s">
        <v>752</v>
      </c>
      <c r="N603" s="7">
        <v>41.2</v>
      </c>
      <c r="O603" s="4">
        <v>824</v>
      </c>
      <c r="P603" s="4">
        <v>824</v>
      </c>
      <c r="Q603" s="6">
        <v>0</v>
      </c>
    </row>
    <row r="604" spans="1:17" x14ac:dyDescent="0.25">
      <c r="A604" s="2" t="s">
        <v>542</v>
      </c>
      <c r="B604" s="2" t="s">
        <v>29</v>
      </c>
      <c r="C604" s="2" t="s">
        <v>30</v>
      </c>
      <c r="D604" s="2" t="s">
        <v>758</v>
      </c>
      <c r="E604" s="2" t="s">
        <v>985</v>
      </c>
      <c r="F604" s="2" t="s">
        <v>984</v>
      </c>
      <c r="G604" s="3">
        <v>46086</v>
      </c>
      <c r="H604" s="2" t="s">
        <v>753</v>
      </c>
      <c r="I604" s="2" t="s">
        <v>755</v>
      </c>
      <c r="J604" s="2" t="s">
        <v>754</v>
      </c>
      <c r="K604" s="2" t="s">
        <v>753</v>
      </c>
      <c r="L604" s="6">
        <v>1</v>
      </c>
      <c r="M604" s="2" t="s">
        <v>752</v>
      </c>
      <c r="N604" s="7">
        <v>39.869999999999997</v>
      </c>
      <c r="O604" s="4">
        <v>39.869999999999997</v>
      </c>
      <c r="P604" s="4">
        <v>39.869999999999997</v>
      </c>
      <c r="Q604" s="6">
        <v>0</v>
      </c>
    </row>
    <row r="605" spans="1:17" x14ac:dyDescent="0.25">
      <c r="A605" s="2" t="s">
        <v>522</v>
      </c>
      <c r="B605" s="2" t="s">
        <v>167</v>
      </c>
      <c r="C605" s="2" t="s">
        <v>168</v>
      </c>
      <c r="D605" s="2" t="s">
        <v>758</v>
      </c>
      <c r="E605" s="2" t="s">
        <v>794</v>
      </c>
      <c r="F605" s="2" t="s">
        <v>793</v>
      </c>
      <c r="G605" s="3">
        <v>46092</v>
      </c>
      <c r="H605" s="2" t="s">
        <v>770</v>
      </c>
      <c r="I605" s="2" t="s">
        <v>755</v>
      </c>
      <c r="J605" s="2" t="s">
        <v>754</v>
      </c>
      <c r="K605" s="2" t="s">
        <v>753</v>
      </c>
      <c r="L605" s="6">
        <v>336</v>
      </c>
      <c r="M605" s="2" t="s">
        <v>752</v>
      </c>
      <c r="N605" s="7">
        <v>35</v>
      </c>
      <c r="O605" s="4">
        <v>11760</v>
      </c>
      <c r="P605" s="4">
        <v>11760</v>
      </c>
      <c r="Q605" s="6">
        <v>0</v>
      </c>
    </row>
    <row r="606" spans="1:17" x14ac:dyDescent="0.25">
      <c r="A606" s="2" t="s">
        <v>522</v>
      </c>
      <c r="B606" s="2" t="s">
        <v>167</v>
      </c>
      <c r="C606" s="2" t="s">
        <v>168</v>
      </c>
      <c r="D606" s="2" t="s">
        <v>758</v>
      </c>
      <c r="E606" s="2" t="s">
        <v>766</v>
      </c>
      <c r="F606" s="2" t="s">
        <v>765</v>
      </c>
      <c r="G606" s="3">
        <v>46092</v>
      </c>
      <c r="H606" s="2" t="s">
        <v>770</v>
      </c>
      <c r="I606" s="2" t="s">
        <v>755</v>
      </c>
      <c r="J606" s="2" t="s">
        <v>754</v>
      </c>
      <c r="K606" s="2" t="s">
        <v>753</v>
      </c>
      <c r="L606" s="6">
        <v>140</v>
      </c>
      <c r="M606" s="2" t="s">
        <v>752</v>
      </c>
      <c r="N606" s="7">
        <v>39.65</v>
      </c>
      <c r="O606" s="4">
        <v>5551</v>
      </c>
      <c r="P606" s="4">
        <v>5551</v>
      </c>
      <c r="Q606" s="6">
        <v>0</v>
      </c>
    </row>
    <row r="607" spans="1:17" x14ac:dyDescent="0.25">
      <c r="A607" s="2" t="s">
        <v>540</v>
      </c>
      <c r="B607" s="2" t="s">
        <v>41</v>
      </c>
      <c r="C607" s="2" t="s">
        <v>42</v>
      </c>
      <c r="D607" s="2" t="s">
        <v>758</v>
      </c>
      <c r="E607" s="2" t="s">
        <v>784</v>
      </c>
      <c r="F607" s="2" t="s">
        <v>783</v>
      </c>
      <c r="G607" s="3">
        <v>46086</v>
      </c>
      <c r="H607" s="2" t="s">
        <v>753</v>
      </c>
      <c r="I607" s="2" t="s">
        <v>755</v>
      </c>
      <c r="J607" s="2" t="s">
        <v>754</v>
      </c>
      <c r="K607" s="2" t="s">
        <v>753</v>
      </c>
      <c r="L607" s="6">
        <v>16</v>
      </c>
      <c r="M607" s="2" t="s">
        <v>752</v>
      </c>
      <c r="N607" s="7">
        <v>34.93</v>
      </c>
      <c r="O607" s="4">
        <v>558.88</v>
      </c>
      <c r="P607" s="4">
        <v>558.88</v>
      </c>
      <c r="Q607" s="6">
        <v>0</v>
      </c>
    </row>
    <row r="608" spans="1:17" x14ac:dyDescent="0.25">
      <c r="A608" s="2" t="s">
        <v>540</v>
      </c>
      <c r="B608" s="2" t="s">
        <v>41</v>
      </c>
      <c r="C608" s="2" t="s">
        <v>42</v>
      </c>
      <c r="D608" s="2" t="s">
        <v>758</v>
      </c>
      <c r="E608" s="2" t="s">
        <v>847</v>
      </c>
      <c r="F608" s="2" t="s">
        <v>846</v>
      </c>
      <c r="G608" s="3">
        <v>46086</v>
      </c>
      <c r="H608" s="2" t="s">
        <v>753</v>
      </c>
      <c r="I608" s="2" t="s">
        <v>755</v>
      </c>
      <c r="J608" s="2" t="s">
        <v>754</v>
      </c>
      <c r="K608" s="2" t="s">
        <v>753</v>
      </c>
      <c r="L608" s="6">
        <v>72</v>
      </c>
      <c r="M608" s="2" t="s">
        <v>752</v>
      </c>
      <c r="N608" s="7">
        <v>35.479999999999997</v>
      </c>
      <c r="O608" s="4">
        <v>2554.56</v>
      </c>
      <c r="P608" s="4">
        <v>2554.56</v>
      </c>
      <c r="Q608" s="6">
        <v>0</v>
      </c>
    </row>
    <row r="609" spans="1:17" x14ac:dyDescent="0.25">
      <c r="A609" s="2" t="s">
        <v>540</v>
      </c>
      <c r="B609" s="2" t="s">
        <v>41</v>
      </c>
      <c r="C609" s="2" t="s">
        <v>42</v>
      </c>
      <c r="D609" s="2" t="s">
        <v>758</v>
      </c>
      <c r="E609" s="2" t="s">
        <v>894</v>
      </c>
      <c r="F609" s="2" t="s">
        <v>893</v>
      </c>
      <c r="G609" s="3">
        <v>46086</v>
      </c>
      <c r="H609" s="2" t="s">
        <v>753</v>
      </c>
      <c r="I609" s="2" t="s">
        <v>755</v>
      </c>
      <c r="J609" s="2" t="s">
        <v>754</v>
      </c>
      <c r="K609" s="2" t="s">
        <v>753</v>
      </c>
      <c r="L609" s="6">
        <v>168</v>
      </c>
      <c r="M609" s="2" t="s">
        <v>752</v>
      </c>
      <c r="N609" s="7">
        <v>28.33</v>
      </c>
      <c r="O609" s="4">
        <v>4759.4399999999996</v>
      </c>
      <c r="P609" s="4">
        <v>4759.4399999999996</v>
      </c>
      <c r="Q609" s="6">
        <v>0</v>
      </c>
    </row>
    <row r="610" spans="1:17" x14ac:dyDescent="0.25">
      <c r="A610" s="2" t="s">
        <v>540</v>
      </c>
      <c r="B610" s="2" t="s">
        <v>41</v>
      </c>
      <c r="C610" s="2" t="s">
        <v>42</v>
      </c>
      <c r="D610" s="2" t="s">
        <v>758</v>
      </c>
      <c r="E610" s="2" t="s">
        <v>794</v>
      </c>
      <c r="F610" s="2" t="s">
        <v>793</v>
      </c>
      <c r="G610" s="3">
        <v>46086</v>
      </c>
      <c r="H610" s="2" t="s">
        <v>753</v>
      </c>
      <c r="I610" s="2" t="s">
        <v>755</v>
      </c>
      <c r="J610" s="2" t="s">
        <v>754</v>
      </c>
      <c r="K610" s="2" t="s">
        <v>753</v>
      </c>
      <c r="L610" s="6">
        <v>120</v>
      </c>
      <c r="M610" s="2" t="s">
        <v>752</v>
      </c>
      <c r="N610" s="7">
        <v>28.49</v>
      </c>
      <c r="O610" s="4">
        <v>3418.8</v>
      </c>
      <c r="P610" s="4">
        <v>3418.8</v>
      </c>
      <c r="Q610" s="6">
        <v>0</v>
      </c>
    </row>
    <row r="611" spans="1:17" x14ac:dyDescent="0.25">
      <c r="A611" s="2" t="s">
        <v>540</v>
      </c>
      <c r="B611" s="2" t="s">
        <v>41</v>
      </c>
      <c r="C611" s="2" t="s">
        <v>42</v>
      </c>
      <c r="D611" s="2" t="s">
        <v>758</v>
      </c>
      <c r="E611" s="2" t="s">
        <v>841</v>
      </c>
      <c r="F611" s="2" t="s">
        <v>840</v>
      </c>
      <c r="G611" s="3">
        <v>46086</v>
      </c>
      <c r="H611" s="2" t="s">
        <v>753</v>
      </c>
      <c r="I611" s="2" t="s">
        <v>755</v>
      </c>
      <c r="J611" s="2" t="s">
        <v>754</v>
      </c>
      <c r="K611" s="2" t="s">
        <v>753</v>
      </c>
      <c r="L611" s="6">
        <v>64</v>
      </c>
      <c r="M611" s="2" t="s">
        <v>752</v>
      </c>
      <c r="N611" s="7">
        <v>28.49</v>
      </c>
      <c r="O611" s="4">
        <v>1823.36</v>
      </c>
      <c r="P611" s="4">
        <v>1823.36</v>
      </c>
      <c r="Q611" s="6">
        <v>0</v>
      </c>
    </row>
    <row r="612" spans="1:17" x14ac:dyDescent="0.25">
      <c r="A612" s="2" t="s">
        <v>540</v>
      </c>
      <c r="B612" s="2" t="s">
        <v>41</v>
      </c>
      <c r="C612" s="2" t="s">
        <v>42</v>
      </c>
      <c r="D612" s="2" t="s">
        <v>758</v>
      </c>
      <c r="E612" s="2" t="s">
        <v>786</v>
      </c>
      <c r="F612" s="2" t="s">
        <v>785</v>
      </c>
      <c r="G612" s="3">
        <v>46086</v>
      </c>
      <c r="H612" s="2" t="s">
        <v>753</v>
      </c>
      <c r="I612" s="2" t="s">
        <v>755</v>
      </c>
      <c r="J612" s="2" t="s">
        <v>754</v>
      </c>
      <c r="K612" s="2" t="s">
        <v>753</v>
      </c>
      <c r="L612" s="6">
        <v>196</v>
      </c>
      <c r="M612" s="2" t="s">
        <v>752</v>
      </c>
      <c r="N612" s="7">
        <v>25.25</v>
      </c>
      <c r="O612" s="4">
        <v>4949</v>
      </c>
      <c r="P612" s="4">
        <v>4949</v>
      </c>
      <c r="Q612" s="6">
        <v>0</v>
      </c>
    </row>
    <row r="613" spans="1:17" x14ac:dyDescent="0.25">
      <c r="A613" s="2" t="s">
        <v>540</v>
      </c>
      <c r="B613" s="2" t="s">
        <v>41</v>
      </c>
      <c r="C613" s="2" t="s">
        <v>42</v>
      </c>
      <c r="D613" s="2" t="s">
        <v>758</v>
      </c>
      <c r="E613" s="2" t="s">
        <v>839</v>
      </c>
      <c r="F613" s="2" t="s">
        <v>838</v>
      </c>
      <c r="G613" s="3">
        <v>46086</v>
      </c>
      <c r="H613" s="2" t="s">
        <v>753</v>
      </c>
      <c r="I613" s="2" t="s">
        <v>755</v>
      </c>
      <c r="J613" s="2" t="s">
        <v>754</v>
      </c>
      <c r="K613" s="2" t="s">
        <v>753</v>
      </c>
      <c r="L613" s="6">
        <v>16</v>
      </c>
      <c r="M613" s="2" t="s">
        <v>752</v>
      </c>
      <c r="N613" s="7">
        <v>36.630000000000003</v>
      </c>
      <c r="O613" s="4">
        <v>586.08000000000004</v>
      </c>
      <c r="P613" s="4">
        <v>586.08000000000004</v>
      </c>
      <c r="Q613" s="6">
        <v>0</v>
      </c>
    </row>
    <row r="614" spans="1:17" x14ac:dyDescent="0.25">
      <c r="A614" s="2" t="s">
        <v>540</v>
      </c>
      <c r="B614" s="2" t="s">
        <v>41</v>
      </c>
      <c r="C614" s="2" t="s">
        <v>42</v>
      </c>
      <c r="D614" s="2" t="s">
        <v>758</v>
      </c>
      <c r="E614" s="2" t="s">
        <v>776</v>
      </c>
      <c r="F614" s="2" t="s">
        <v>775</v>
      </c>
      <c r="G614" s="3">
        <v>46086</v>
      </c>
      <c r="H614" s="2" t="s">
        <v>753</v>
      </c>
      <c r="I614" s="2" t="s">
        <v>755</v>
      </c>
      <c r="J614" s="2" t="s">
        <v>754</v>
      </c>
      <c r="K614" s="2" t="s">
        <v>753</v>
      </c>
      <c r="L614" s="6">
        <v>36</v>
      </c>
      <c r="M614" s="2" t="s">
        <v>752</v>
      </c>
      <c r="N614" s="7">
        <v>37.950000000000003</v>
      </c>
      <c r="O614" s="4">
        <v>1366.2</v>
      </c>
      <c r="P614" s="4">
        <v>1366.2</v>
      </c>
      <c r="Q614" s="6">
        <v>0</v>
      </c>
    </row>
    <row r="615" spans="1:17" x14ac:dyDescent="0.25">
      <c r="A615" s="2" t="s">
        <v>540</v>
      </c>
      <c r="B615" s="2" t="s">
        <v>41</v>
      </c>
      <c r="C615" s="2" t="s">
        <v>42</v>
      </c>
      <c r="D615" s="2" t="s">
        <v>758</v>
      </c>
      <c r="E615" s="2" t="s">
        <v>813</v>
      </c>
      <c r="F615" s="2" t="s">
        <v>812</v>
      </c>
      <c r="G615" s="3">
        <v>46086</v>
      </c>
      <c r="H615" s="2" t="s">
        <v>753</v>
      </c>
      <c r="I615" s="2" t="s">
        <v>755</v>
      </c>
      <c r="J615" s="2" t="s">
        <v>754</v>
      </c>
      <c r="K615" s="2" t="s">
        <v>753</v>
      </c>
      <c r="L615" s="6">
        <v>24</v>
      </c>
      <c r="M615" s="2" t="s">
        <v>752</v>
      </c>
      <c r="N615" s="7">
        <v>36.630000000000003</v>
      </c>
      <c r="O615" s="4">
        <v>879.12</v>
      </c>
      <c r="P615" s="4">
        <v>879.12</v>
      </c>
      <c r="Q615" s="6">
        <v>0</v>
      </c>
    </row>
    <row r="616" spans="1:17" x14ac:dyDescent="0.25">
      <c r="A616" s="2" t="s">
        <v>540</v>
      </c>
      <c r="B616" s="2" t="s">
        <v>41</v>
      </c>
      <c r="C616" s="2" t="s">
        <v>42</v>
      </c>
      <c r="D616" s="2" t="s">
        <v>758</v>
      </c>
      <c r="E616" s="2" t="s">
        <v>961</v>
      </c>
      <c r="F616" s="2" t="s">
        <v>960</v>
      </c>
      <c r="G616" s="3">
        <v>46086</v>
      </c>
      <c r="H616" s="2" t="s">
        <v>753</v>
      </c>
      <c r="I616" s="2" t="s">
        <v>755</v>
      </c>
      <c r="J616" s="2" t="s">
        <v>754</v>
      </c>
      <c r="K616" s="2" t="s">
        <v>753</v>
      </c>
      <c r="L616" s="6">
        <v>16</v>
      </c>
      <c r="M616" s="2" t="s">
        <v>752</v>
      </c>
      <c r="N616" s="7">
        <v>43.34</v>
      </c>
      <c r="O616" s="4">
        <v>693.44</v>
      </c>
      <c r="P616" s="4">
        <v>693.44</v>
      </c>
      <c r="Q616" s="6">
        <v>0</v>
      </c>
    </row>
    <row r="617" spans="1:17" x14ac:dyDescent="0.25">
      <c r="A617" s="2" t="s">
        <v>540</v>
      </c>
      <c r="B617" s="2" t="s">
        <v>41</v>
      </c>
      <c r="C617" s="2" t="s">
        <v>42</v>
      </c>
      <c r="D617" s="2" t="s">
        <v>758</v>
      </c>
      <c r="E617" s="2" t="s">
        <v>763</v>
      </c>
      <c r="F617" s="2" t="s">
        <v>762</v>
      </c>
      <c r="G617" s="3">
        <v>46086</v>
      </c>
      <c r="H617" s="2" t="s">
        <v>753</v>
      </c>
      <c r="I617" s="2" t="s">
        <v>755</v>
      </c>
      <c r="J617" s="2" t="s">
        <v>754</v>
      </c>
      <c r="K617" s="2" t="s">
        <v>753</v>
      </c>
      <c r="L617" s="6">
        <v>112</v>
      </c>
      <c r="M617" s="2" t="s">
        <v>752</v>
      </c>
      <c r="N617" s="7">
        <v>40.43</v>
      </c>
      <c r="O617" s="4">
        <v>4528.16</v>
      </c>
      <c r="P617" s="4">
        <v>4528.16</v>
      </c>
      <c r="Q617" s="6">
        <v>0</v>
      </c>
    </row>
    <row r="618" spans="1:17" x14ac:dyDescent="0.25">
      <c r="A618" s="2" t="s">
        <v>536</v>
      </c>
      <c r="B618" s="2" t="s">
        <v>55</v>
      </c>
      <c r="C618" s="2" t="s">
        <v>56</v>
      </c>
      <c r="D618" s="2" t="s">
        <v>758</v>
      </c>
      <c r="E618" s="2" t="s">
        <v>859</v>
      </c>
      <c r="F618" s="2" t="s">
        <v>858</v>
      </c>
      <c r="G618" s="3">
        <v>46090</v>
      </c>
      <c r="H618" s="2" t="s">
        <v>753</v>
      </c>
      <c r="I618" s="2" t="s">
        <v>755</v>
      </c>
      <c r="J618" s="2" t="s">
        <v>754</v>
      </c>
      <c r="K618" s="2" t="s">
        <v>753</v>
      </c>
      <c r="L618" s="6">
        <v>320</v>
      </c>
      <c r="M618" s="2" t="s">
        <v>752</v>
      </c>
      <c r="N618" s="7">
        <v>33.42</v>
      </c>
      <c r="O618" s="4">
        <v>10694.4</v>
      </c>
      <c r="P618" s="4">
        <v>10694.4</v>
      </c>
      <c r="Q618" s="6">
        <v>0</v>
      </c>
    </row>
    <row r="619" spans="1:17" x14ac:dyDescent="0.25">
      <c r="A619" s="2" t="s">
        <v>534</v>
      </c>
      <c r="B619" s="2" t="s">
        <v>145</v>
      </c>
      <c r="C619" s="2" t="s">
        <v>146</v>
      </c>
      <c r="D619" s="2" t="s">
        <v>758</v>
      </c>
      <c r="E619" s="2" t="s">
        <v>782</v>
      </c>
      <c r="F619" s="2" t="s">
        <v>781</v>
      </c>
      <c r="G619" s="3">
        <v>46090</v>
      </c>
      <c r="H619" s="2" t="s">
        <v>753</v>
      </c>
      <c r="I619" s="2" t="s">
        <v>755</v>
      </c>
      <c r="J619" s="2" t="s">
        <v>754</v>
      </c>
      <c r="K619" s="2" t="s">
        <v>753</v>
      </c>
      <c r="L619" s="6">
        <v>8</v>
      </c>
      <c r="M619" s="2" t="s">
        <v>752</v>
      </c>
      <c r="N619" s="7">
        <v>36.6</v>
      </c>
      <c r="O619" s="4">
        <v>292.8</v>
      </c>
      <c r="P619" s="4">
        <v>292.8</v>
      </c>
      <c r="Q619" s="6">
        <v>0</v>
      </c>
    </row>
    <row r="620" spans="1:17" x14ac:dyDescent="0.25">
      <c r="A620" s="2" t="s">
        <v>534</v>
      </c>
      <c r="B620" s="2" t="s">
        <v>145</v>
      </c>
      <c r="C620" s="2" t="s">
        <v>146</v>
      </c>
      <c r="D620" s="2" t="s">
        <v>758</v>
      </c>
      <c r="E620" s="2" t="s">
        <v>763</v>
      </c>
      <c r="F620" s="2" t="s">
        <v>762</v>
      </c>
      <c r="G620" s="3">
        <v>46090</v>
      </c>
      <c r="H620" s="2" t="s">
        <v>753</v>
      </c>
      <c r="I620" s="2" t="s">
        <v>755</v>
      </c>
      <c r="J620" s="2" t="s">
        <v>754</v>
      </c>
      <c r="K620" s="2" t="s">
        <v>753</v>
      </c>
      <c r="L620" s="6">
        <v>56</v>
      </c>
      <c r="M620" s="2" t="s">
        <v>752</v>
      </c>
      <c r="N620" s="7">
        <v>50.6</v>
      </c>
      <c r="O620" s="4">
        <v>2833.6</v>
      </c>
      <c r="P620" s="4">
        <v>2833.6</v>
      </c>
      <c r="Q620" s="6">
        <v>0</v>
      </c>
    </row>
    <row r="621" spans="1:17" x14ac:dyDescent="0.25">
      <c r="A621" s="2" t="s">
        <v>534</v>
      </c>
      <c r="B621" s="2" t="s">
        <v>145</v>
      </c>
      <c r="C621" s="2" t="s">
        <v>146</v>
      </c>
      <c r="D621" s="2" t="s">
        <v>758</v>
      </c>
      <c r="E621" s="2" t="s">
        <v>847</v>
      </c>
      <c r="F621" s="2" t="s">
        <v>846</v>
      </c>
      <c r="G621" s="3">
        <v>46090</v>
      </c>
      <c r="H621" s="2" t="s">
        <v>753</v>
      </c>
      <c r="I621" s="2" t="s">
        <v>755</v>
      </c>
      <c r="J621" s="2" t="s">
        <v>754</v>
      </c>
      <c r="K621" s="2" t="s">
        <v>753</v>
      </c>
      <c r="L621" s="6">
        <v>140</v>
      </c>
      <c r="M621" s="2" t="s">
        <v>752</v>
      </c>
      <c r="N621" s="7">
        <v>40.799999999999997</v>
      </c>
      <c r="O621" s="4">
        <v>5712</v>
      </c>
      <c r="P621" s="4">
        <v>5712</v>
      </c>
      <c r="Q621" s="6">
        <v>0</v>
      </c>
    </row>
    <row r="622" spans="1:17" x14ac:dyDescent="0.25">
      <c r="A622" s="2" t="s">
        <v>534</v>
      </c>
      <c r="B622" s="2" t="s">
        <v>145</v>
      </c>
      <c r="C622" s="2" t="s">
        <v>146</v>
      </c>
      <c r="D622" s="2" t="s">
        <v>758</v>
      </c>
      <c r="E622" s="2" t="s">
        <v>794</v>
      </c>
      <c r="F622" s="2" t="s">
        <v>793</v>
      </c>
      <c r="G622" s="3">
        <v>46090</v>
      </c>
      <c r="H622" s="2" t="s">
        <v>753</v>
      </c>
      <c r="I622" s="2" t="s">
        <v>755</v>
      </c>
      <c r="J622" s="2" t="s">
        <v>754</v>
      </c>
      <c r="K622" s="2" t="s">
        <v>753</v>
      </c>
      <c r="L622" s="6">
        <v>196</v>
      </c>
      <c r="M622" s="2" t="s">
        <v>752</v>
      </c>
      <c r="N622" s="7">
        <v>39.9</v>
      </c>
      <c r="O622" s="4">
        <v>7820.4</v>
      </c>
      <c r="P622" s="4">
        <v>7820.4</v>
      </c>
      <c r="Q622" s="6">
        <v>0</v>
      </c>
    </row>
    <row r="623" spans="1:17" x14ac:dyDescent="0.25">
      <c r="A623" s="2" t="s">
        <v>534</v>
      </c>
      <c r="B623" s="2" t="s">
        <v>145</v>
      </c>
      <c r="C623" s="2" t="s">
        <v>146</v>
      </c>
      <c r="D623" s="2" t="s">
        <v>758</v>
      </c>
      <c r="E623" s="2" t="s">
        <v>757</v>
      </c>
      <c r="F623" s="2" t="s">
        <v>756</v>
      </c>
      <c r="G623" s="3">
        <v>46090</v>
      </c>
      <c r="H623" s="2" t="s">
        <v>753</v>
      </c>
      <c r="I623" s="2" t="s">
        <v>755</v>
      </c>
      <c r="J623" s="2" t="s">
        <v>754</v>
      </c>
      <c r="K623" s="2" t="s">
        <v>753</v>
      </c>
      <c r="L623" s="6">
        <v>56</v>
      </c>
      <c r="M623" s="2" t="s">
        <v>752</v>
      </c>
      <c r="N623" s="7">
        <v>42.35</v>
      </c>
      <c r="O623" s="4">
        <v>2371.6</v>
      </c>
      <c r="P623" s="4">
        <v>2371.6</v>
      </c>
      <c r="Q623" s="6">
        <v>0</v>
      </c>
    </row>
    <row r="624" spans="1:17" x14ac:dyDescent="0.25">
      <c r="A624" s="2" t="s">
        <v>534</v>
      </c>
      <c r="B624" s="2" t="s">
        <v>145</v>
      </c>
      <c r="C624" s="2" t="s">
        <v>146</v>
      </c>
      <c r="D624" s="2" t="s">
        <v>758</v>
      </c>
      <c r="E624" s="2" t="s">
        <v>945</v>
      </c>
      <c r="F624" s="2" t="s">
        <v>944</v>
      </c>
      <c r="G624" s="3">
        <v>46090</v>
      </c>
      <c r="H624" s="2" t="s">
        <v>753</v>
      </c>
      <c r="I624" s="2" t="s">
        <v>755</v>
      </c>
      <c r="J624" s="2" t="s">
        <v>754</v>
      </c>
      <c r="K624" s="2" t="s">
        <v>753</v>
      </c>
      <c r="L624" s="6">
        <v>8</v>
      </c>
      <c r="M624" s="2" t="s">
        <v>752</v>
      </c>
      <c r="N624" s="7">
        <v>46.5</v>
      </c>
      <c r="O624" s="4">
        <v>372</v>
      </c>
      <c r="P624" s="4">
        <v>372</v>
      </c>
      <c r="Q624" s="6">
        <v>0</v>
      </c>
    </row>
    <row r="625" spans="1:17" x14ac:dyDescent="0.25">
      <c r="A625" s="2" t="s">
        <v>548</v>
      </c>
      <c r="B625" s="2" t="s">
        <v>45</v>
      </c>
      <c r="C625" s="2" t="s">
        <v>46</v>
      </c>
      <c r="D625" s="2" t="s">
        <v>758</v>
      </c>
      <c r="E625" s="2" t="s">
        <v>757</v>
      </c>
      <c r="F625" s="2" t="s">
        <v>756</v>
      </c>
      <c r="G625" s="3">
        <v>46085</v>
      </c>
      <c r="H625" s="2" t="s">
        <v>753</v>
      </c>
      <c r="I625" s="2" t="s">
        <v>755</v>
      </c>
      <c r="J625" s="2" t="s">
        <v>754</v>
      </c>
      <c r="K625" s="2" t="s">
        <v>753</v>
      </c>
      <c r="L625" s="6">
        <v>112</v>
      </c>
      <c r="M625" s="2" t="s">
        <v>752</v>
      </c>
      <c r="N625" s="7">
        <v>33.299999999999997</v>
      </c>
      <c r="O625" s="4">
        <v>3729.6</v>
      </c>
      <c r="P625" s="4">
        <v>3729.6</v>
      </c>
      <c r="Q625" s="6">
        <v>0</v>
      </c>
    </row>
    <row r="626" spans="1:17" x14ac:dyDescent="0.25">
      <c r="A626" s="2" t="s">
        <v>548</v>
      </c>
      <c r="B626" s="2" t="s">
        <v>45</v>
      </c>
      <c r="C626" s="2" t="s">
        <v>46</v>
      </c>
      <c r="D626" s="2" t="s">
        <v>758</v>
      </c>
      <c r="E626" s="2" t="s">
        <v>849</v>
      </c>
      <c r="F626" s="2" t="s">
        <v>848</v>
      </c>
      <c r="G626" s="3">
        <v>46085</v>
      </c>
      <c r="H626" s="2" t="s">
        <v>753</v>
      </c>
      <c r="I626" s="2" t="s">
        <v>755</v>
      </c>
      <c r="J626" s="2" t="s">
        <v>754</v>
      </c>
      <c r="K626" s="2" t="s">
        <v>753</v>
      </c>
      <c r="L626" s="6">
        <v>84</v>
      </c>
      <c r="M626" s="2" t="s">
        <v>752</v>
      </c>
      <c r="N626" s="7">
        <v>28.3</v>
      </c>
      <c r="O626" s="4">
        <v>2377.1999999999998</v>
      </c>
      <c r="P626" s="4">
        <v>2377.1999999999998</v>
      </c>
      <c r="Q626" s="6">
        <v>0</v>
      </c>
    </row>
    <row r="627" spans="1:17" x14ac:dyDescent="0.25">
      <c r="A627" s="2" t="s">
        <v>548</v>
      </c>
      <c r="B627" s="2" t="s">
        <v>45</v>
      </c>
      <c r="C627" s="2" t="s">
        <v>46</v>
      </c>
      <c r="D627" s="2" t="s">
        <v>758</v>
      </c>
      <c r="E627" s="2" t="s">
        <v>817</v>
      </c>
      <c r="F627" s="2" t="s">
        <v>937</v>
      </c>
      <c r="G627" s="3">
        <v>46085</v>
      </c>
      <c r="H627" s="2" t="s">
        <v>753</v>
      </c>
      <c r="I627" s="2" t="s">
        <v>755</v>
      </c>
      <c r="J627" s="2" t="s">
        <v>754</v>
      </c>
      <c r="K627" s="2" t="s">
        <v>753</v>
      </c>
      <c r="L627" s="6">
        <v>84</v>
      </c>
      <c r="M627" s="2" t="s">
        <v>752</v>
      </c>
      <c r="N627" s="7">
        <v>33.299999999999997</v>
      </c>
      <c r="O627" s="4">
        <v>2797.2</v>
      </c>
      <c r="P627" s="4">
        <v>2797.2</v>
      </c>
      <c r="Q627" s="6">
        <v>0</v>
      </c>
    </row>
    <row r="628" spans="1:17" x14ac:dyDescent="0.25">
      <c r="A628" s="2" t="s">
        <v>548</v>
      </c>
      <c r="B628" s="2" t="s">
        <v>45</v>
      </c>
      <c r="C628" s="2" t="s">
        <v>46</v>
      </c>
      <c r="D628" s="2" t="s">
        <v>758</v>
      </c>
      <c r="E628" s="2" t="s">
        <v>786</v>
      </c>
      <c r="F628" s="2" t="s">
        <v>785</v>
      </c>
      <c r="G628" s="3">
        <v>46085</v>
      </c>
      <c r="H628" s="2" t="s">
        <v>753</v>
      </c>
      <c r="I628" s="2" t="s">
        <v>755</v>
      </c>
      <c r="J628" s="2" t="s">
        <v>754</v>
      </c>
      <c r="K628" s="2" t="s">
        <v>753</v>
      </c>
      <c r="L628" s="6">
        <v>56</v>
      </c>
      <c r="M628" s="2" t="s">
        <v>752</v>
      </c>
      <c r="N628" s="7">
        <v>30.3</v>
      </c>
      <c r="O628" s="4">
        <v>1696.8</v>
      </c>
      <c r="P628" s="4">
        <v>1696.8</v>
      </c>
      <c r="Q628" s="6">
        <v>0</v>
      </c>
    </row>
    <row r="629" spans="1:17" x14ac:dyDescent="0.25">
      <c r="A629" s="2" t="s">
        <v>548</v>
      </c>
      <c r="B629" s="2" t="s">
        <v>45</v>
      </c>
      <c r="C629" s="2" t="s">
        <v>46</v>
      </c>
      <c r="D629" s="2" t="s">
        <v>758</v>
      </c>
      <c r="E629" s="2" t="s">
        <v>772</v>
      </c>
      <c r="F629" s="2" t="s">
        <v>771</v>
      </c>
      <c r="G629" s="3">
        <v>46085</v>
      </c>
      <c r="H629" s="2" t="s">
        <v>753</v>
      </c>
      <c r="I629" s="2" t="s">
        <v>755</v>
      </c>
      <c r="J629" s="2" t="s">
        <v>754</v>
      </c>
      <c r="K629" s="2" t="s">
        <v>753</v>
      </c>
      <c r="L629" s="6">
        <v>77</v>
      </c>
      <c r="M629" s="2" t="s">
        <v>752</v>
      </c>
      <c r="N629" s="7">
        <v>34.5</v>
      </c>
      <c r="O629" s="4">
        <v>2656.5</v>
      </c>
      <c r="P629" s="4">
        <v>2656.5</v>
      </c>
      <c r="Q629" s="6">
        <v>0</v>
      </c>
    </row>
    <row r="630" spans="1:17" x14ac:dyDescent="0.25">
      <c r="A630" s="2" t="s">
        <v>548</v>
      </c>
      <c r="B630" s="2" t="s">
        <v>45</v>
      </c>
      <c r="C630" s="2" t="s">
        <v>46</v>
      </c>
      <c r="D630" s="2" t="s">
        <v>758</v>
      </c>
      <c r="E630" s="2" t="s">
        <v>776</v>
      </c>
      <c r="F630" s="2" t="s">
        <v>775</v>
      </c>
      <c r="G630" s="3">
        <v>46085</v>
      </c>
      <c r="H630" s="2" t="s">
        <v>753</v>
      </c>
      <c r="I630" s="2" t="s">
        <v>755</v>
      </c>
      <c r="J630" s="2" t="s">
        <v>754</v>
      </c>
      <c r="K630" s="2" t="s">
        <v>753</v>
      </c>
      <c r="L630" s="6">
        <v>112</v>
      </c>
      <c r="M630" s="2" t="s">
        <v>752</v>
      </c>
      <c r="N630" s="7">
        <v>37.299999999999997</v>
      </c>
      <c r="O630" s="4">
        <v>4177.6000000000004</v>
      </c>
      <c r="P630" s="4">
        <v>4177.6000000000004</v>
      </c>
      <c r="Q630" s="6">
        <v>0</v>
      </c>
    </row>
    <row r="631" spans="1:17" x14ac:dyDescent="0.25">
      <c r="A631" s="2" t="s">
        <v>548</v>
      </c>
      <c r="B631" s="2" t="s">
        <v>45</v>
      </c>
      <c r="C631" s="2" t="s">
        <v>46</v>
      </c>
      <c r="D631" s="2" t="s">
        <v>758</v>
      </c>
      <c r="E631" s="2" t="s">
        <v>950</v>
      </c>
      <c r="F631" s="2" t="s">
        <v>949</v>
      </c>
      <c r="G631" s="3">
        <v>46085</v>
      </c>
      <c r="H631" s="2" t="s">
        <v>753</v>
      </c>
      <c r="I631" s="2" t="s">
        <v>755</v>
      </c>
      <c r="J631" s="2" t="s">
        <v>754</v>
      </c>
      <c r="K631" s="2" t="s">
        <v>753</v>
      </c>
      <c r="L631" s="6">
        <v>28</v>
      </c>
      <c r="M631" s="2" t="s">
        <v>752</v>
      </c>
      <c r="N631" s="7">
        <v>47</v>
      </c>
      <c r="O631" s="4">
        <v>1316</v>
      </c>
      <c r="P631" s="4">
        <v>1316</v>
      </c>
      <c r="Q631" s="6">
        <v>0</v>
      </c>
    </row>
    <row r="632" spans="1:17" x14ac:dyDescent="0.25">
      <c r="A632" s="2" t="s">
        <v>548</v>
      </c>
      <c r="B632" s="2" t="s">
        <v>45</v>
      </c>
      <c r="C632" s="2" t="s">
        <v>46</v>
      </c>
      <c r="D632" s="2" t="s">
        <v>758</v>
      </c>
      <c r="E632" s="2" t="s">
        <v>763</v>
      </c>
      <c r="F632" s="2" t="s">
        <v>762</v>
      </c>
      <c r="G632" s="3">
        <v>46085</v>
      </c>
      <c r="H632" s="2" t="s">
        <v>753</v>
      </c>
      <c r="I632" s="2" t="s">
        <v>755</v>
      </c>
      <c r="J632" s="2" t="s">
        <v>754</v>
      </c>
      <c r="K632" s="2" t="s">
        <v>753</v>
      </c>
      <c r="L632" s="6">
        <v>168</v>
      </c>
      <c r="M632" s="2" t="s">
        <v>752</v>
      </c>
      <c r="N632" s="7">
        <v>42.6</v>
      </c>
      <c r="O632" s="4">
        <v>7156.8</v>
      </c>
      <c r="P632" s="4">
        <v>7156.8</v>
      </c>
      <c r="Q632" s="6">
        <v>0</v>
      </c>
    </row>
    <row r="633" spans="1:17" x14ac:dyDescent="0.25">
      <c r="A633" s="2" t="s">
        <v>548</v>
      </c>
      <c r="B633" s="2" t="s">
        <v>45</v>
      </c>
      <c r="C633" s="2" t="s">
        <v>46</v>
      </c>
      <c r="D633" s="2" t="s">
        <v>758</v>
      </c>
      <c r="E633" s="2" t="s">
        <v>827</v>
      </c>
      <c r="F633" s="2" t="s">
        <v>826</v>
      </c>
      <c r="G633" s="3">
        <v>46085</v>
      </c>
      <c r="H633" s="2" t="s">
        <v>753</v>
      </c>
      <c r="I633" s="2" t="s">
        <v>755</v>
      </c>
      <c r="J633" s="2" t="s">
        <v>754</v>
      </c>
      <c r="K633" s="2" t="s">
        <v>753</v>
      </c>
      <c r="L633" s="6">
        <v>56</v>
      </c>
      <c r="M633" s="2" t="s">
        <v>752</v>
      </c>
      <c r="N633" s="7">
        <v>44</v>
      </c>
      <c r="O633" s="4">
        <v>2464</v>
      </c>
      <c r="P633" s="4">
        <v>2464</v>
      </c>
      <c r="Q633" s="6">
        <v>0</v>
      </c>
    </row>
    <row r="634" spans="1:17" x14ac:dyDescent="0.25">
      <c r="A634" s="2" t="s">
        <v>548</v>
      </c>
      <c r="B634" s="2" t="s">
        <v>45</v>
      </c>
      <c r="C634" s="2" t="s">
        <v>46</v>
      </c>
      <c r="D634" s="2" t="s">
        <v>758</v>
      </c>
      <c r="E634" s="2" t="s">
        <v>980</v>
      </c>
      <c r="F634" s="2" t="s">
        <v>979</v>
      </c>
      <c r="G634" s="3">
        <v>46085</v>
      </c>
      <c r="H634" s="2" t="s">
        <v>753</v>
      </c>
      <c r="I634" s="2" t="s">
        <v>755</v>
      </c>
      <c r="J634" s="2" t="s">
        <v>754</v>
      </c>
      <c r="K634" s="2" t="s">
        <v>753</v>
      </c>
      <c r="L634" s="6">
        <v>56</v>
      </c>
      <c r="M634" s="2" t="s">
        <v>752</v>
      </c>
      <c r="N634" s="7">
        <v>48.2</v>
      </c>
      <c r="O634" s="4">
        <v>2699.2</v>
      </c>
      <c r="P634" s="4">
        <v>2699.2</v>
      </c>
      <c r="Q634" s="6">
        <v>0</v>
      </c>
    </row>
    <row r="635" spans="1:17" x14ac:dyDescent="0.25">
      <c r="A635" s="2" t="s">
        <v>492</v>
      </c>
      <c r="B635" s="2" t="s">
        <v>139</v>
      </c>
      <c r="C635" s="2" t="s">
        <v>140</v>
      </c>
      <c r="D635" s="2" t="s">
        <v>758</v>
      </c>
      <c r="E635" s="2" t="s">
        <v>865</v>
      </c>
      <c r="F635" s="2" t="s">
        <v>864</v>
      </c>
      <c r="G635" s="3">
        <v>46098</v>
      </c>
      <c r="H635" s="2" t="s">
        <v>753</v>
      </c>
      <c r="I635" s="2" t="s">
        <v>755</v>
      </c>
      <c r="J635" s="2" t="s">
        <v>754</v>
      </c>
      <c r="K635" s="2" t="s">
        <v>753</v>
      </c>
      <c r="L635" s="6">
        <v>40</v>
      </c>
      <c r="M635" s="2" t="s">
        <v>752</v>
      </c>
      <c r="N635" s="7">
        <v>40.11</v>
      </c>
      <c r="O635" s="4">
        <v>1604.4</v>
      </c>
      <c r="P635" s="4">
        <v>1604.4</v>
      </c>
      <c r="Q635" s="6">
        <v>0</v>
      </c>
    </row>
    <row r="636" spans="1:17" x14ac:dyDescent="0.25">
      <c r="A636" s="2" t="s">
        <v>492</v>
      </c>
      <c r="B636" s="2" t="s">
        <v>139</v>
      </c>
      <c r="C636" s="2" t="s">
        <v>140</v>
      </c>
      <c r="D636" s="2" t="s">
        <v>758</v>
      </c>
      <c r="E636" s="2" t="s">
        <v>922</v>
      </c>
      <c r="F636" s="2" t="s">
        <v>921</v>
      </c>
      <c r="G636" s="3">
        <v>46098</v>
      </c>
      <c r="H636" s="2" t="s">
        <v>753</v>
      </c>
      <c r="I636" s="2" t="s">
        <v>755</v>
      </c>
      <c r="J636" s="2" t="s">
        <v>754</v>
      </c>
      <c r="K636" s="2" t="s">
        <v>753</v>
      </c>
      <c r="L636" s="6">
        <v>12</v>
      </c>
      <c r="M636" s="2" t="s">
        <v>752</v>
      </c>
      <c r="N636" s="7">
        <v>48.57</v>
      </c>
      <c r="O636" s="4">
        <v>582.84</v>
      </c>
      <c r="P636" s="4">
        <v>582.84</v>
      </c>
      <c r="Q636" s="6">
        <v>0</v>
      </c>
    </row>
    <row r="637" spans="1:17" x14ac:dyDescent="0.25">
      <c r="A637" s="2" t="s">
        <v>492</v>
      </c>
      <c r="B637" s="2" t="s">
        <v>139</v>
      </c>
      <c r="C637" s="2" t="s">
        <v>140</v>
      </c>
      <c r="D637" s="2" t="s">
        <v>758</v>
      </c>
      <c r="E637" s="2" t="s">
        <v>827</v>
      </c>
      <c r="F637" s="2" t="s">
        <v>826</v>
      </c>
      <c r="G637" s="3">
        <v>46098</v>
      </c>
      <c r="H637" s="2" t="s">
        <v>753</v>
      </c>
      <c r="I637" s="2" t="s">
        <v>755</v>
      </c>
      <c r="J637" s="2" t="s">
        <v>754</v>
      </c>
      <c r="K637" s="2" t="s">
        <v>753</v>
      </c>
      <c r="L637" s="6">
        <v>28</v>
      </c>
      <c r="M637" s="2" t="s">
        <v>752</v>
      </c>
      <c r="N637" s="7">
        <v>40.85</v>
      </c>
      <c r="O637" s="4">
        <v>1143.8</v>
      </c>
      <c r="P637" s="4">
        <v>1143.8</v>
      </c>
      <c r="Q637" s="6">
        <v>0</v>
      </c>
    </row>
    <row r="638" spans="1:17" x14ac:dyDescent="0.25">
      <c r="A638" s="2" t="s">
        <v>492</v>
      </c>
      <c r="B638" s="2" t="s">
        <v>139</v>
      </c>
      <c r="C638" s="2" t="s">
        <v>140</v>
      </c>
      <c r="D638" s="2" t="s">
        <v>758</v>
      </c>
      <c r="E638" s="2" t="s">
        <v>879</v>
      </c>
      <c r="F638" s="2" t="s">
        <v>878</v>
      </c>
      <c r="G638" s="3">
        <v>46098</v>
      </c>
      <c r="H638" s="2" t="s">
        <v>753</v>
      </c>
      <c r="I638" s="2" t="s">
        <v>755</v>
      </c>
      <c r="J638" s="2" t="s">
        <v>754</v>
      </c>
      <c r="K638" s="2" t="s">
        <v>753</v>
      </c>
      <c r="L638" s="6">
        <v>156</v>
      </c>
      <c r="M638" s="2" t="s">
        <v>752</v>
      </c>
      <c r="N638" s="7">
        <v>40.9</v>
      </c>
      <c r="O638" s="4">
        <v>6380.4</v>
      </c>
      <c r="P638" s="4">
        <v>6380.4</v>
      </c>
      <c r="Q638" s="6">
        <v>0</v>
      </c>
    </row>
    <row r="639" spans="1:17" x14ac:dyDescent="0.25">
      <c r="A639" s="2" t="s">
        <v>492</v>
      </c>
      <c r="B639" s="2" t="s">
        <v>139</v>
      </c>
      <c r="C639" s="2" t="s">
        <v>140</v>
      </c>
      <c r="D639" s="2" t="s">
        <v>758</v>
      </c>
      <c r="E639" s="2" t="s">
        <v>847</v>
      </c>
      <c r="F639" s="2" t="s">
        <v>846</v>
      </c>
      <c r="G639" s="3">
        <v>46098</v>
      </c>
      <c r="H639" s="2" t="s">
        <v>753</v>
      </c>
      <c r="I639" s="2" t="s">
        <v>755</v>
      </c>
      <c r="J639" s="2" t="s">
        <v>754</v>
      </c>
      <c r="K639" s="2" t="s">
        <v>753</v>
      </c>
      <c r="L639" s="6">
        <v>56</v>
      </c>
      <c r="M639" s="2" t="s">
        <v>752</v>
      </c>
      <c r="N639" s="7">
        <v>38.08</v>
      </c>
      <c r="O639" s="4">
        <v>2132.48</v>
      </c>
      <c r="P639" s="4">
        <v>2132.48</v>
      </c>
      <c r="Q639" s="6">
        <v>0</v>
      </c>
    </row>
    <row r="640" spans="1:17" x14ac:dyDescent="0.25">
      <c r="A640" s="2" t="s">
        <v>492</v>
      </c>
      <c r="B640" s="2" t="s">
        <v>139</v>
      </c>
      <c r="C640" s="2" t="s">
        <v>140</v>
      </c>
      <c r="D640" s="2" t="s">
        <v>758</v>
      </c>
      <c r="E640" s="2" t="s">
        <v>819</v>
      </c>
      <c r="F640" s="2" t="s">
        <v>818</v>
      </c>
      <c r="G640" s="3">
        <v>46098</v>
      </c>
      <c r="H640" s="2" t="s">
        <v>753</v>
      </c>
      <c r="I640" s="2" t="s">
        <v>755</v>
      </c>
      <c r="J640" s="2" t="s">
        <v>754</v>
      </c>
      <c r="K640" s="2" t="s">
        <v>753</v>
      </c>
      <c r="L640" s="6">
        <v>60</v>
      </c>
      <c r="M640" s="2" t="s">
        <v>752</v>
      </c>
      <c r="N640" s="7">
        <v>40.22</v>
      </c>
      <c r="O640" s="4">
        <v>2413.1999999999998</v>
      </c>
      <c r="P640" s="4">
        <v>2413.1999999999998</v>
      </c>
      <c r="Q640" s="6">
        <v>0</v>
      </c>
    </row>
    <row r="641" spans="1:17" x14ac:dyDescent="0.25">
      <c r="A641" s="2" t="s">
        <v>988</v>
      </c>
      <c r="B641" s="2" t="s">
        <v>987</v>
      </c>
      <c r="C641" s="2" t="s">
        <v>986</v>
      </c>
      <c r="D641" s="2" t="s">
        <v>758</v>
      </c>
      <c r="E641" s="2" t="s">
        <v>805</v>
      </c>
      <c r="F641" s="2" t="s">
        <v>804</v>
      </c>
      <c r="G641" s="3">
        <v>46077</v>
      </c>
      <c r="H641" s="2" t="s">
        <v>753</v>
      </c>
      <c r="I641" s="2" t="s">
        <v>755</v>
      </c>
      <c r="J641" s="2" t="s">
        <v>754</v>
      </c>
      <c r="K641" s="2" t="s">
        <v>753</v>
      </c>
      <c r="L641" s="6">
        <v>5</v>
      </c>
      <c r="M641" s="2" t="s">
        <v>752</v>
      </c>
      <c r="N641" s="7">
        <v>44</v>
      </c>
      <c r="O641" s="4">
        <v>220</v>
      </c>
      <c r="P641" s="4">
        <v>220</v>
      </c>
      <c r="Q641" s="6">
        <v>0</v>
      </c>
    </row>
    <row r="642" spans="1:17" x14ac:dyDescent="0.25">
      <c r="A642" s="2" t="s">
        <v>532</v>
      </c>
      <c r="B642" s="2" t="s">
        <v>29</v>
      </c>
      <c r="C642" s="2" t="s">
        <v>30</v>
      </c>
      <c r="D642" s="2" t="s">
        <v>758</v>
      </c>
      <c r="E642" s="2" t="s">
        <v>780</v>
      </c>
      <c r="F642" s="2" t="s">
        <v>779</v>
      </c>
      <c r="G642" s="3">
        <v>46090</v>
      </c>
      <c r="H642" s="2" t="s">
        <v>753</v>
      </c>
      <c r="I642" s="2" t="s">
        <v>755</v>
      </c>
      <c r="J642" s="2" t="s">
        <v>754</v>
      </c>
      <c r="K642" s="2" t="s">
        <v>753</v>
      </c>
      <c r="L642" s="6">
        <v>16</v>
      </c>
      <c r="M642" s="2" t="s">
        <v>752</v>
      </c>
      <c r="N642" s="7">
        <v>36.5</v>
      </c>
      <c r="O642" s="4">
        <v>584</v>
      </c>
      <c r="P642" s="4">
        <v>584</v>
      </c>
      <c r="Q642" s="6">
        <v>0</v>
      </c>
    </row>
    <row r="643" spans="1:17" x14ac:dyDescent="0.25">
      <c r="A643" s="2" t="s">
        <v>532</v>
      </c>
      <c r="B643" s="2" t="s">
        <v>29</v>
      </c>
      <c r="C643" s="2" t="s">
        <v>30</v>
      </c>
      <c r="D643" s="2" t="s">
        <v>758</v>
      </c>
      <c r="E643" s="2" t="s">
        <v>817</v>
      </c>
      <c r="F643" s="2" t="s">
        <v>937</v>
      </c>
      <c r="G643" s="3">
        <v>46090</v>
      </c>
      <c r="H643" s="2" t="s">
        <v>753</v>
      </c>
      <c r="I643" s="2" t="s">
        <v>755</v>
      </c>
      <c r="J643" s="2" t="s">
        <v>754</v>
      </c>
      <c r="K643" s="2" t="s">
        <v>753</v>
      </c>
      <c r="L643" s="6">
        <v>28</v>
      </c>
      <c r="M643" s="2" t="s">
        <v>752</v>
      </c>
      <c r="N643" s="7">
        <v>31.42</v>
      </c>
      <c r="O643" s="4">
        <v>879.76</v>
      </c>
      <c r="P643" s="4">
        <v>879.76</v>
      </c>
      <c r="Q643" s="6">
        <v>0</v>
      </c>
    </row>
    <row r="644" spans="1:17" x14ac:dyDescent="0.25">
      <c r="A644" s="2" t="s">
        <v>532</v>
      </c>
      <c r="B644" s="2" t="s">
        <v>29</v>
      </c>
      <c r="C644" s="2" t="s">
        <v>30</v>
      </c>
      <c r="D644" s="2" t="s">
        <v>758</v>
      </c>
      <c r="E644" s="2" t="s">
        <v>815</v>
      </c>
      <c r="F644" s="2" t="s">
        <v>814</v>
      </c>
      <c r="G644" s="3">
        <v>46090</v>
      </c>
      <c r="H644" s="2" t="s">
        <v>753</v>
      </c>
      <c r="I644" s="2" t="s">
        <v>755</v>
      </c>
      <c r="J644" s="2" t="s">
        <v>754</v>
      </c>
      <c r="K644" s="2" t="s">
        <v>753</v>
      </c>
      <c r="L644" s="6">
        <v>28</v>
      </c>
      <c r="M644" s="2" t="s">
        <v>752</v>
      </c>
      <c r="N644" s="7">
        <v>34</v>
      </c>
      <c r="O644" s="4">
        <v>952</v>
      </c>
      <c r="P644" s="4">
        <v>952</v>
      </c>
      <c r="Q644" s="6">
        <v>0</v>
      </c>
    </row>
    <row r="645" spans="1:17" x14ac:dyDescent="0.25">
      <c r="A645" s="2" t="s">
        <v>532</v>
      </c>
      <c r="B645" s="2" t="s">
        <v>29</v>
      </c>
      <c r="C645" s="2" t="s">
        <v>30</v>
      </c>
      <c r="D645" s="2" t="s">
        <v>758</v>
      </c>
      <c r="E645" s="2" t="s">
        <v>813</v>
      </c>
      <c r="F645" s="2" t="s">
        <v>812</v>
      </c>
      <c r="G645" s="3">
        <v>46090</v>
      </c>
      <c r="H645" s="2" t="s">
        <v>753</v>
      </c>
      <c r="I645" s="2" t="s">
        <v>755</v>
      </c>
      <c r="J645" s="2" t="s">
        <v>754</v>
      </c>
      <c r="K645" s="2" t="s">
        <v>753</v>
      </c>
      <c r="L645" s="6">
        <v>12</v>
      </c>
      <c r="M645" s="2" t="s">
        <v>752</v>
      </c>
      <c r="N645" s="7">
        <v>43.26</v>
      </c>
      <c r="O645" s="4">
        <v>519.12</v>
      </c>
      <c r="P645" s="4">
        <v>519.12</v>
      </c>
      <c r="Q645" s="6">
        <v>0</v>
      </c>
    </row>
    <row r="646" spans="1:17" x14ac:dyDescent="0.25">
      <c r="A646" s="2" t="s">
        <v>532</v>
      </c>
      <c r="B646" s="2" t="s">
        <v>29</v>
      </c>
      <c r="C646" s="2" t="s">
        <v>30</v>
      </c>
      <c r="D646" s="2" t="s">
        <v>758</v>
      </c>
      <c r="E646" s="2" t="s">
        <v>763</v>
      </c>
      <c r="F646" s="2" t="s">
        <v>762</v>
      </c>
      <c r="G646" s="3">
        <v>46090</v>
      </c>
      <c r="H646" s="2" t="s">
        <v>753</v>
      </c>
      <c r="I646" s="2" t="s">
        <v>755</v>
      </c>
      <c r="J646" s="2" t="s">
        <v>754</v>
      </c>
      <c r="K646" s="2" t="s">
        <v>753</v>
      </c>
      <c r="L646" s="6">
        <v>56</v>
      </c>
      <c r="M646" s="2" t="s">
        <v>752</v>
      </c>
      <c r="N646" s="7">
        <v>43.36</v>
      </c>
      <c r="O646" s="4">
        <v>2428.16</v>
      </c>
      <c r="P646" s="4">
        <v>2428.16</v>
      </c>
      <c r="Q646" s="6">
        <v>0</v>
      </c>
    </row>
    <row r="647" spans="1:17" x14ac:dyDescent="0.25">
      <c r="A647" s="2" t="s">
        <v>532</v>
      </c>
      <c r="B647" s="2" t="s">
        <v>29</v>
      </c>
      <c r="C647" s="2" t="s">
        <v>30</v>
      </c>
      <c r="D647" s="2" t="s">
        <v>758</v>
      </c>
      <c r="E647" s="2" t="s">
        <v>776</v>
      </c>
      <c r="F647" s="2" t="s">
        <v>775</v>
      </c>
      <c r="G647" s="3">
        <v>46090</v>
      </c>
      <c r="H647" s="2" t="s">
        <v>753</v>
      </c>
      <c r="I647" s="2" t="s">
        <v>755</v>
      </c>
      <c r="J647" s="2" t="s">
        <v>754</v>
      </c>
      <c r="K647" s="2" t="s">
        <v>753</v>
      </c>
      <c r="L647" s="6">
        <v>80</v>
      </c>
      <c r="M647" s="2" t="s">
        <v>752</v>
      </c>
      <c r="N647" s="7">
        <v>41.2</v>
      </c>
      <c r="O647" s="4">
        <v>3296</v>
      </c>
      <c r="P647" s="4">
        <v>3296</v>
      </c>
      <c r="Q647" s="6">
        <v>0</v>
      </c>
    </row>
    <row r="648" spans="1:17" x14ac:dyDescent="0.25">
      <c r="A648" s="2" t="s">
        <v>532</v>
      </c>
      <c r="B648" s="2" t="s">
        <v>29</v>
      </c>
      <c r="C648" s="2" t="s">
        <v>30</v>
      </c>
      <c r="D648" s="2" t="s">
        <v>758</v>
      </c>
      <c r="E648" s="2" t="s">
        <v>985</v>
      </c>
      <c r="F648" s="2" t="s">
        <v>984</v>
      </c>
      <c r="G648" s="3">
        <v>46090</v>
      </c>
      <c r="H648" s="2" t="s">
        <v>753</v>
      </c>
      <c r="I648" s="2" t="s">
        <v>755</v>
      </c>
      <c r="J648" s="2" t="s">
        <v>754</v>
      </c>
      <c r="K648" s="2" t="s">
        <v>753</v>
      </c>
      <c r="L648" s="6">
        <v>10</v>
      </c>
      <c r="M648" s="2" t="s">
        <v>752</v>
      </c>
      <c r="N648" s="7">
        <v>39.869999999999997</v>
      </c>
      <c r="O648" s="4">
        <v>398.7</v>
      </c>
      <c r="P648" s="4">
        <v>398.7</v>
      </c>
      <c r="Q648" s="6">
        <v>0</v>
      </c>
    </row>
    <row r="649" spans="1:17" x14ac:dyDescent="0.25">
      <c r="A649" s="2" t="s">
        <v>532</v>
      </c>
      <c r="B649" s="2" t="s">
        <v>29</v>
      </c>
      <c r="C649" s="2" t="s">
        <v>30</v>
      </c>
      <c r="D649" s="2" t="s">
        <v>758</v>
      </c>
      <c r="E649" s="2" t="s">
        <v>805</v>
      </c>
      <c r="F649" s="2" t="s">
        <v>804</v>
      </c>
      <c r="G649" s="3">
        <v>46090</v>
      </c>
      <c r="H649" s="2" t="s">
        <v>753</v>
      </c>
      <c r="I649" s="2" t="s">
        <v>755</v>
      </c>
      <c r="J649" s="2" t="s">
        <v>754</v>
      </c>
      <c r="K649" s="2" t="s">
        <v>753</v>
      </c>
      <c r="L649" s="6">
        <v>141</v>
      </c>
      <c r="M649" s="2" t="s">
        <v>752</v>
      </c>
      <c r="N649" s="7">
        <v>41</v>
      </c>
      <c r="O649" s="4">
        <v>5781</v>
      </c>
      <c r="P649" s="4">
        <v>5781</v>
      </c>
      <c r="Q649" s="6">
        <v>0</v>
      </c>
    </row>
    <row r="650" spans="1:17" x14ac:dyDescent="0.25">
      <c r="A650" s="2" t="s">
        <v>983</v>
      </c>
      <c r="B650" s="2" t="s">
        <v>760</v>
      </c>
      <c r="C650" s="2" t="s">
        <v>759</v>
      </c>
      <c r="D650" s="2" t="s">
        <v>758</v>
      </c>
      <c r="E650" s="2" t="s">
        <v>925</v>
      </c>
      <c r="F650" s="2" t="s">
        <v>924</v>
      </c>
      <c r="G650" s="3">
        <v>46078</v>
      </c>
      <c r="H650" s="2" t="s">
        <v>753</v>
      </c>
      <c r="I650" s="2" t="s">
        <v>755</v>
      </c>
      <c r="J650" s="2" t="s">
        <v>754</v>
      </c>
      <c r="K650" s="2" t="s">
        <v>753</v>
      </c>
      <c r="L650" s="6">
        <v>2</v>
      </c>
      <c r="M650" s="2" t="s">
        <v>752</v>
      </c>
      <c r="N650" s="7">
        <v>0</v>
      </c>
      <c r="O650" s="4">
        <v>0</v>
      </c>
      <c r="P650" s="4">
        <v>0</v>
      </c>
      <c r="Q650" s="6">
        <v>0</v>
      </c>
    </row>
    <row r="651" spans="1:17" x14ac:dyDescent="0.25">
      <c r="A651" s="2" t="s">
        <v>520</v>
      </c>
      <c r="B651" s="2" t="s">
        <v>91</v>
      </c>
      <c r="C651" s="2" t="s">
        <v>92</v>
      </c>
      <c r="D651" s="2" t="s">
        <v>758</v>
      </c>
      <c r="E651" s="2" t="s">
        <v>871</v>
      </c>
      <c r="F651" s="2" t="s">
        <v>870</v>
      </c>
      <c r="G651" s="3">
        <v>46092</v>
      </c>
      <c r="H651" s="2" t="s">
        <v>753</v>
      </c>
      <c r="I651" s="2" t="s">
        <v>755</v>
      </c>
      <c r="J651" s="2" t="s">
        <v>754</v>
      </c>
      <c r="K651" s="2" t="s">
        <v>753</v>
      </c>
      <c r="L651" s="6">
        <v>45</v>
      </c>
      <c r="M651" s="2" t="s">
        <v>752</v>
      </c>
      <c r="N651" s="7">
        <v>41.7</v>
      </c>
      <c r="O651" s="4">
        <v>1876.5</v>
      </c>
      <c r="P651" s="4">
        <v>1876.5</v>
      </c>
      <c r="Q651" s="6">
        <v>0</v>
      </c>
    </row>
    <row r="652" spans="1:17" x14ac:dyDescent="0.25">
      <c r="A652" s="2" t="s">
        <v>520</v>
      </c>
      <c r="B652" s="2" t="s">
        <v>91</v>
      </c>
      <c r="C652" s="2" t="s">
        <v>92</v>
      </c>
      <c r="D652" s="2" t="s">
        <v>758</v>
      </c>
      <c r="E652" s="2" t="s">
        <v>896</v>
      </c>
      <c r="F652" s="2" t="s">
        <v>895</v>
      </c>
      <c r="G652" s="3">
        <v>46092</v>
      </c>
      <c r="H652" s="2" t="s">
        <v>753</v>
      </c>
      <c r="I652" s="2" t="s">
        <v>755</v>
      </c>
      <c r="J652" s="2" t="s">
        <v>754</v>
      </c>
      <c r="K652" s="2" t="s">
        <v>753</v>
      </c>
      <c r="L652" s="6">
        <v>60</v>
      </c>
      <c r="M652" s="2" t="s">
        <v>752</v>
      </c>
      <c r="N652" s="7">
        <v>41.49</v>
      </c>
      <c r="O652" s="4">
        <v>2489.4</v>
      </c>
      <c r="P652" s="4">
        <v>2489.4</v>
      </c>
      <c r="Q652" s="6">
        <v>0</v>
      </c>
    </row>
    <row r="653" spans="1:17" x14ac:dyDescent="0.25">
      <c r="A653" s="2" t="s">
        <v>520</v>
      </c>
      <c r="B653" s="2" t="s">
        <v>91</v>
      </c>
      <c r="C653" s="2" t="s">
        <v>92</v>
      </c>
      <c r="D653" s="2" t="s">
        <v>758</v>
      </c>
      <c r="E653" s="2" t="s">
        <v>869</v>
      </c>
      <c r="F653" s="2" t="s">
        <v>868</v>
      </c>
      <c r="G653" s="3">
        <v>46092</v>
      </c>
      <c r="H653" s="2" t="s">
        <v>753</v>
      </c>
      <c r="I653" s="2" t="s">
        <v>755</v>
      </c>
      <c r="J653" s="2" t="s">
        <v>754</v>
      </c>
      <c r="K653" s="2" t="s">
        <v>753</v>
      </c>
      <c r="L653" s="6">
        <v>312</v>
      </c>
      <c r="M653" s="2" t="s">
        <v>752</v>
      </c>
      <c r="N653" s="7">
        <v>48.49</v>
      </c>
      <c r="O653" s="4">
        <v>15128.88</v>
      </c>
      <c r="P653" s="4">
        <v>15128.88</v>
      </c>
      <c r="Q653" s="6">
        <v>0</v>
      </c>
    </row>
    <row r="654" spans="1:17" x14ac:dyDescent="0.25">
      <c r="A654" s="2" t="s">
        <v>520</v>
      </c>
      <c r="B654" s="2" t="s">
        <v>91</v>
      </c>
      <c r="C654" s="2" t="s">
        <v>92</v>
      </c>
      <c r="D654" s="2" t="s">
        <v>758</v>
      </c>
      <c r="E654" s="2" t="s">
        <v>867</v>
      </c>
      <c r="F654" s="2" t="s">
        <v>866</v>
      </c>
      <c r="G654" s="3">
        <v>46092</v>
      </c>
      <c r="H654" s="2" t="s">
        <v>753</v>
      </c>
      <c r="I654" s="2" t="s">
        <v>755</v>
      </c>
      <c r="J654" s="2" t="s">
        <v>754</v>
      </c>
      <c r="K654" s="2" t="s">
        <v>753</v>
      </c>
      <c r="L654" s="6">
        <v>40</v>
      </c>
      <c r="M654" s="2" t="s">
        <v>752</v>
      </c>
      <c r="N654" s="7">
        <v>36.299999999999997</v>
      </c>
      <c r="O654" s="4">
        <v>1452</v>
      </c>
      <c r="P654" s="4">
        <v>1452</v>
      </c>
      <c r="Q654" s="6">
        <v>0</v>
      </c>
    </row>
    <row r="655" spans="1:17" x14ac:dyDescent="0.25">
      <c r="A655" s="2" t="s">
        <v>520</v>
      </c>
      <c r="B655" s="2" t="s">
        <v>91</v>
      </c>
      <c r="C655" s="2" t="s">
        <v>92</v>
      </c>
      <c r="D655" s="2" t="s">
        <v>758</v>
      </c>
      <c r="E655" s="2" t="s">
        <v>863</v>
      </c>
      <c r="F655" s="2" t="s">
        <v>862</v>
      </c>
      <c r="G655" s="3">
        <v>46092</v>
      </c>
      <c r="H655" s="2" t="s">
        <v>753</v>
      </c>
      <c r="I655" s="2" t="s">
        <v>755</v>
      </c>
      <c r="J655" s="2" t="s">
        <v>754</v>
      </c>
      <c r="K655" s="2" t="s">
        <v>753</v>
      </c>
      <c r="L655" s="6">
        <v>24</v>
      </c>
      <c r="M655" s="2" t="s">
        <v>752</v>
      </c>
      <c r="N655" s="7">
        <v>33.299999999999997</v>
      </c>
      <c r="O655" s="4">
        <v>799.2</v>
      </c>
      <c r="P655" s="4">
        <v>799.2</v>
      </c>
      <c r="Q655" s="6">
        <v>0</v>
      </c>
    </row>
    <row r="656" spans="1:17" x14ac:dyDescent="0.25">
      <c r="A656" s="2" t="s">
        <v>520</v>
      </c>
      <c r="B656" s="2" t="s">
        <v>91</v>
      </c>
      <c r="C656" s="2" t="s">
        <v>92</v>
      </c>
      <c r="D656" s="2" t="s">
        <v>758</v>
      </c>
      <c r="E656" s="2" t="s">
        <v>763</v>
      </c>
      <c r="F656" s="2" t="s">
        <v>762</v>
      </c>
      <c r="G656" s="3">
        <v>46092</v>
      </c>
      <c r="H656" s="2" t="s">
        <v>753</v>
      </c>
      <c r="I656" s="2" t="s">
        <v>755</v>
      </c>
      <c r="J656" s="2" t="s">
        <v>754</v>
      </c>
      <c r="K656" s="2" t="s">
        <v>753</v>
      </c>
      <c r="L656" s="6">
        <v>112</v>
      </c>
      <c r="M656" s="2" t="s">
        <v>752</v>
      </c>
      <c r="N656" s="7">
        <v>36.82</v>
      </c>
      <c r="O656" s="4">
        <v>4123.84</v>
      </c>
      <c r="P656" s="4">
        <v>4123.84</v>
      </c>
      <c r="Q656" s="6">
        <v>0</v>
      </c>
    </row>
    <row r="657" spans="1:17" x14ac:dyDescent="0.25">
      <c r="A657" s="2" t="s">
        <v>520</v>
      </c>
      <c r="B657" s="2" t="s">
        <v>91</v>
      </c>
      <c r="C657" s="2" t="s">
        <v>92</v>
      </c>
      <c r="D657" s="2" t="s">
        <v>758</v>
      </c>
      <c r="E657" s="2" t="s">
        <v>861</v>
      </c>
      <c r="F657" s="2" t="s">
        <v>860</v>
      </c>
      <c r="G657" s="3">
        <v>46092</v>
      </c>
      <c r="H657" s="2" t="s">
        <v>753</v>
      </c>
      <c r="I657" s="2" t="s">
        <v>755</v>
      </c>
      <c r="J657" s="2" t="s">
        <v>754</v>
      </c>
      <c r="K657" s="2" t="s">
        <v>753</v>
      </c>
      <c r="L657" s="6">
        <v>36</v>
      </c>
      <c r="M657" s="2" t="s">
        <v>752</v>
      </c>
      <c r="N657" s="7">
        <v>39.700000000000003</v>
      </c>
      <c r="O657" s="4">
        <v>1429.2</v>
      </c>
      <c r="P657" s="4">
        <v>1429.2</v>
      </c>
      <c r="Q657" s="6">
        <v>0</v>
      </c>
    </row>
    <row r="658" spans="1:17" x14ac:dyDescent="0.25">
      <c r="A658" s="2" t="s">
        <v>520</v>
      </c>
      <c r="B658" s="2" t="s">
        <v>91</v>
      </c>
      <c r="C658" s="2" t="s">
        <v>92</v>
      </c>
      <c r="D658" s="2" t="s">
        <v>758</v>
      </c>
      <c r="E658" s="2" t="s">
        <v>757</v>
      </c>
      <c r="F658" s="2" t="s">
        <v>756</v>
      </c>
      <c r="G658" s="3">
        <v>46092</v>
      </c>
      <c r="H658" s="2" t="s">
        <v>753</v>
      </c>
      <c r="I658" s="2" t="s">
        <v>755</v>
      </c>
      <c r="J658" s="2" t="s">
        <v>754</v>
      </c>
      <c r="K658" s="2" t="s">
        <v>753</v>
      </c>
      <c r="L658" s="6">
        <v>96</v>
      </c>
      <c r="M658" s="2" t="s">
        <v>752</v>
      </c>
      <c r="N658" s="7">
        <v>39.700000000000003</v>
      </c>
      <c r="O658" s="4">
        <v>3811.2</v>
      </c>
      <c r="P658" s="4">
        <v>3811.2</v>
      </c>
      <c r="Q658" s="6">
        <v>0</v>
      </c>
    </row>
    <row r="659" spans="1:17" x14ac:dyDescent="0.25">
      <c r="A659" s="2" t="s">
        <v>518</v>
      </c>
      <c r="B659" s="2" t="s">
        <v>227</v>
      </c>
      <c r="C659" s="2" t="s">
        <v>228</v>
      </c>
      <c r="D659" s="2" t="s">
        <v>758</v>
      </c>
      <c r="E659" s="2" t="s">
        <v>813</v>
      </c>
      <c r="F659" s="2" t="s">
        <v>812</v>
      </c>
      <c r="G659" s="3">
        <v>46092</v>
      </c>
      <c r="H659" s="2" t="s">
        <v>753</v>
      </c>
      <c r="I659" s="2" t="s">
        <v>755</v>
      </c>
      <c r="J659" s="2" t="s">
        <v>754</v>
      </c>
      <c r="K659" s="2" t="s">
        <v>753</v>
      </c>
      <c r="L659" s="6">
        <v>24</v>
      </c>
      <c r="M659" s="2" t="s">
        <v>752</v>
      </c>
      <c r="N659" s="7">
        <v>45</v>
      </c>
      <c r="O659" s="4">
        <v>1080</v>
      </c>
      <c r="P659" s="4">
        <v>1080</v>
      </c>
      <c r="Q659" s="6">
        <v>0</v>
      </c>
    </row>
    <row r="660" spans="1:17" x14ac:dyDescent="0.25">
      <c r="A660" s="2" t="s">
        <v>518</v>
      </c>
      <c r="B660" s="2" t="s">
        <v>227</v>
      </c>
      <c r="C660" s="2" t="s">
        <v>228</v>
      </c>
      <c r="D660" s="2" t="s">
        <v>758</v>
      </c>
      <c r="E660" s="2" t="s">
        <v>763</v>
      </c>
      <c r="F660" s="2" t="s">
        <v>762</v>
      </c>
      <c r="G660" s="3">
        <v>46092</v>
      </c>
      <c r="H660" s="2" t="s">
        <v>753</v>
      </c>
      <c r="I660" s="2" t="s">
        <v>755</v>
      </c>
      <c r="J660" s="2" t="s">
        <v>754</v>
      </c>
      <c r="K660" s="2" t="s">
        <v>753</v>
      </c>
      <c r="L660" s="6">
        <v>64</v>
      </c>
      <c r="M660" s="2" t="s">
        <v>752</v>
      </c>
      <c r="N660" s="7">
        <v>42.6</v>
      </c>
      <c r="O660" s="4">
        <v>2726.4</v>
      </c>
      <c r="P660" s="4">
        <v>2726.4</v>
      </c>
      <c r="Q660" s="6">
        <v>0</v>
      </c>
    </row>
    <row r="661" spans="1:17" x14ac:dyDescent="0.25">
      <c r="A661" s="2" t="s">
        <v>518</v>
      </c>
      <c r="B661" s="2" t="s">
        <v>227</v>
      </c>
      <c r="C661" s="2" t="s">
        <v>228</v>
      </c>
      <c r="D661" s="2" t="s">
        <v>758</v>
      </c>
      <c r="E661" s="2" t="s">
        <v>847</v>
      </c>
      <c r="F661" s="2" t="s">
        <v>846</v>
      </c>
      <c r="G661" s="3">
        <v>46092</v>
      </c>
      <c r="H661" s="2" t="s">
        <v>753</v>
      </c>
      <c r="I661" s="2" t="s">
        <v>755</v>
      </c>
      <c r="J661" s="2" t="s">
        <v>754</v>
      </c>
      <c r="K661" s="2" t="s">
        <v>753</v>
      </c>
      <c r="L661" s="6">
        <v>140</v>
      </c>
      <c r="M661" s="2" t="s">
        <v>752</v>
      </c>
      <c r="N661" s="7">
        <v>40</v>
      </c>
      <c r="O661" s="4">
        <v>5600</v>
      </c>
      <c r="P661" s="4">
        <v>5600</v>
      </c>
      <c r="Q661" s="6">
        <v>0</v>
      </c>
    </row>
    <row r="662" spans="1:17" x14ac:dyDescent="0.25">
      <c r="A662" s="2" t="s">
        <v>516</v>
      </c>
      <c r="B662" s="2" t="s">
        <v>69</v>
      </c>
      <c r="C662" s="2" t="s">
        <v>70</v>
      </c>
      <c r="D662" s="2" t="s">
        <v>758</v>
      </c>
      <c r="E662" s="2" t="s">
        <v>847</v>
      </c>
      <c r="F662" s="2" t="s">
        <v>846</v>
      </c>
      <c r="G662" s="3">
        <v>46092</v>
      </c>
      <c r="H662" s="2" t="s">
        <v>753</v>
      </c>
      <c r="I662" s="2" t="s">
        <v>755</v>
      </c>
      <c r="J662" s="2" t="s">
        <v>754</v>
      </c>
      <c r="K662" s="2" t="s">
        <v>753</v>
      </c>
      <c r="L662" s="6">
        <v>25</v>
      </c>
      <c r="M662" s="2" t="s">
        <v>752</v>
      </c>
      <c r="N662" s="7">
        <v>30.32</v>
      </c>
      <c r="O662" s="4">
        <v>758</v>
      </c>
      <c r="P662" s="4">
        <v>758</v>
      </c>
      <c r="Q662" s="6">
        <v>0</v>
      </c>
    </row>
    <row r="663" spans="1:17" x14ac:dyDescent="0.25">
      <c r="A663" s="2" t="s">
        <v>516</v>
      </c>
      <c r="B663" s="2" t="s">
        <v>69</v>
      </c>
      <c r="C663" s="2" t="s">
        <v>70</v>
      </c>
      <c r="D663" s="2" t="s">
        <v>758</v>
      </c>
      <c r="E663" s="2" t="s">
        <v>857</v>
      </c>
      <c r="F663" s="2" t="s">
        <v>856</v>
      </c>
      <c r="G663" s="3">
        <v>46092</v>
      </c>
      <c r="H663" s="2" t="s">
        <v>753</v>
      </c>
      <c r="I663" s="2" t="s">
        <v>755</v>
      </c>
      <c r="J663" s="2" t="s">
        <v>754</v>
      </c>
      <c r="K663" s="2" t="s">
        <v>753</v>
      </c>
      <c r="L663" s="6">
        <v>40</v>
      </c>
      <c r="M663" s="2" t="s">
        <v>752</v>
      </c>
      <c r="N663" s="7">
        <v>34.18</v>
      </c>
      <c r="O663" s="4">
        <v>1367.2</v>
      </c>
      <c r="P663" s="4">
        <v>1367.2</v>
      </c>
      <c r="Q663" s="6">
        <v>0</v>
      </c>
    </row>
    <row r="664" spans="1:17" x14ac:dyDescent="0.25">
      <c r="A664" s="2" t="s">
        <v>516</v>
      </c>
      <c r="B664" s="2" t="s">
        <v>69</v>
      </c>
      <c r="C664" s="2" t="s">
        <v>70</v>
      </c>
      <c r="D664" s="2" t="s">
        <v>758</v>
      </c>
      <c r="E664" s="2" t="s">
        <v>855</v>
      </c>
      <c r="F664" s="2" t="s">
        <v>854</v>
      </c>
      <c r="G664" s="3">
        <v>46092</v>
      </c>
      <c r="H664" s="2" t="s">
        <v>753</v>
      </c>
      <c r="I664" s="2" t="s">
        <v>755</v>
      </c>
      <c r="J664" s="2" t="s">
        <v>754</v>
      </c>
      <c r="K664" s="2" t="s">
        <v>753</v>
      </c>
      <c r="L664" s="6">
        <v>25</v>
      </c>
      <c r="M664" s="2" t="s">
        <v>752</v>
      </c>
      <c r="N664" s="7">
        <v>53.2</v>
      </c>
      <c r="O664" s="4">
        <v>1330</v>
      </c>
      <c r="P664" s="4">
        <v>1330</v>
      </c>
      <c r="Q664" s="6">
        <v>0</v>
      </c>
    </row>
    <row r="665" spans="1:17" x14ac:dyDescent="0.25">
      <c r="A665" s="2" t="s">
        <v>484</v>
      </c>
      <c r="B665" s="2" t="s">
        <v>87</v>
      </c>
      <c r="C665" s="2" t="s">
        <v>88</v>
      </c>
      <c r="D665" s="2" t="s">
        <v>758</v>
      </c>
      <c r="E665" s="2" t="s">
        <v>786</v>
      </c>
      <c r="F665" s="2" t="s">
        <v>785</v>
      </c>
      <c r="G665" s="3">
        <v>46099</v>
      </c>
      <c r="H665" s="2" t="s">
        <v>753</v>
      </c>
      <c r="I665" s="2" t="s">
        <v>755</v>
      </c>
      <c r="J665" s="2" t="s">
        <v>754</v>
      </c>
      <c r="K665" s="2" t="s">
        <v>753</v>
      </c>
      <c r="L665" s="6">
        <v>76</v>
      </c>
      <c r="M665" s="2" t="s">
        <v>752</v>
      </c>
      <c r="N665" s="7">
        <v>35</v>
      </c>
      <c r="O665" s="4">
        <v>2660</v>
      </c>
      <c r="P665" s="4">
        <v>2660</v>
      </c>
      <c r="Q665" s="6">
        <v>0</v>
      </c>
    </row>
    <row r="666" spans="1:17" x14ac:dyDescent="0.25">
      <c r="A666" s="2" t="s">
        <v>484</v>
      </c>
      <c r="B666" s="2" t="s">
        <v>87</v>
      </c>
      <c r="C666" s="2" t="s">
        <v>88</v>
      </c>
      <c r="D666" s="2" t="s">
        <v>758</v>
      </c>
      <c r="E666" s="2" t="s">
        <v>845</v>
      </c>
      <c r="F666" s="2" t="s">
        <v>844</v>
      </c>
      <c r="G666" s="3">
        <v>46099</v>
      </c>
      <c r="H666" s="2" t="s">
        <v>753</v>
      </c>
      <c r="I666" s="2" t="s">
        <v>755</v>
      </c>
      <c r="J666" s="2" t="s">
        <v>754</v>
      </c>
      <c r="K666" s="2" t="s">
        <v>753</v>
      </c>
      <c r="L666" s="6">
        <v>80</v>
      </c>
      <c r="M666" s="2" t="s">
        <v>752</v>
      </c>
      <c r="N666" s="7">
        <v>40.119999999999997</v>
      </c>
      <c r="O666" s="4">
        <v>3209.6</v>
      </c>
      <c r="P666" s="4">
        <v>3209.6</v>
      </c>
      <c r="Q666" s="6">
        <v>0</v>
      </c>
    </row>
    <row r="667" spans="1:17" x14ac:dyDescent="0.25">
      <c r="A667" s="2" t="s">
        <v>484</v>
      </c>
      <c r="B667" s="2" t="s">
        <v>87</v>
      </c>
      <c r="C667" s="2" t="s">
        <v>88</v>
      </c>
      <c r="D667" s="2" t="s">
        <v>758</v>
      </c>
      <c r="E667" s="2" t="s">
        <v>910</v>
      </c>
      <c r="F667" s="2" t="s">
        <v>909</v>
      </c>
      <c r="G667" s="3">
        <v>46099</v>
      </c>
      <c r="H667" s="2" t="s">
        <v>753</v>
      </c>
      <c r="I667" s="2" t="s">
        <v>755</v>
      </c>
      <c r="J667" s="2" t="s">
        <v>754</v>
      </c>
      <c r="K667" s="2" t="s">
        <v>753</v>
      </c>
      <c r="L667" s="6">
        <v>4</v>
      </c>
      <c r="M667" s="2" t="s">
        <v>752</v>
      </c>
      <c r="N667" s="7">
        <v>42.03</v>
      </c>
      <c r="O667" s="4">
        <v>168.12</v>
      </c>
      <c r="P667" s="4">
        <v>168.12</v>
      </c>
      <c r="Q667" s="6">
        <v>0</v>
      </c>
    </row>
    <row r="668" spans="1:17" x14ac:dyDescent="0.25">
      <c r="A668" s="2" t="s">
        <v>484</v>
      </c>
      <c r="B668" s="2" t="s">
        <v>87</v>
      </c>
      <c r="C668" s="2" t="s">
        <v>88</v>
      </c>
      <c r="D668" s="2" t="s">
        <v>758</v>
      </c>
      <c r="E668" s="2" t="s">
        <v>908</v>
      </c>
      <c r="F668" s="2" t="s">
        <v>907</v>
      </c>
      <c r="G668" s="3">
        <v>46099</v>
      </c>
      <c r="H668" s="2" t="s">
        <v>753</v>
      </c>
      <c r="I668" s="2" t="s">
        <v>755</v>
      </c>
      <c r="J668" s="2" t="s">
        <v>754</v>
      </c>
      <c r="K668" s="2" t="s">
        <v>753</v>
      </c>
      <c r="L668" s="6">
        <v>144</v>
      </c>
      <c r="M668" s="2" t="s">
        <v>752</v>
      </c>
      <c r="N668" s="7">
        <v>39</v>
      </c>
      <c r="O668" s="4">
        <v>5616</v>
      </c>
      <c r="P668" s="4">
        <v>5616</v>
      </c>
      <c r="Q668" s="6">
        <v>0</v>
      </c>
    </row>
    <row r="669" spans="1:17" x14ac:dyDescent="0.25">
      <c r="A669" s="2" t="s">
        <v>484</v>
      </c>
      <c r="B669" s="2" t="s">
        <v>87</v>
      </c>
      <c r="C669" s="2" t="s">
        <v>88</v>
      </c>
      <c r="D669" s="2" t="s">
        <v>758</v>
      </c>
      <c r="E669" s="2" t="s">
        <v>815</v>
      </c>
      <c r="F669" s="2" t="s">
        <v>814</v>
      </c>
      <c r="G669" s="3">
        <v>46099</v>
      </c>
      <c r="H669" s="2" t="s">
        <v>753</v>
      </c>
      <c r="I669" s="2" t="s">
        <v>755</v>
      </c>
      <c r="J669" s="2" t="s">
        <v>754</v>
      </c>
      <c r="K669" s="2" t="s">
        <v>753</v>
      </c>
      <c r="L669" s="6">
        <v>64</v>
      </c>
      <c r="M669" s="2" t="s">
        <v>752</v>
      </c>
      <c r="N669" s="7">
        <v>36.24</v>
      </c>
      <c r="O669" s="4">
        <v>2319.36</v>
      </c>
      <c r="P669" s="4">
        <v>2319.36</v>
      </c>
      <c r="Q669" s="6">
        <v>0</v>
      </c>
    </row>
    <row r="670" spans="1:17" x14ac:dyDescent="0.25">
      <c r="A670" s="2" t="s">
        <v>484</v>
      </c>
      <c r="B670" s="2" t="s">
        <v>87</v>
      </c>
      <c r="C670" s="2" t="s">
        <v>88</v>
      </c>
      <c r="D670" s="2" t="s">
        <v>758</v>
      </c>
      <c r="E670" s="2" t="s">
        <v>757</v>
      </c>
      <c r="F670" s="2" t="s">
        <v>756</v>
      </c>
      <c r="G670" s="3">
        <v>46099</v>
      </c>
      <c r="H670" s="2" t="s">
        <v>753</v>
      </c>
      <c r="I670" s="2" t="s">
        <v>755</v>
      </c>
      <c r="J670" s="2" t="s">
        <v>754</v>
      </c>
      <c r="K670" s="2" t="s">
        <v>753</v>
      </c>
      <c r="L670" s="6">
        <v>28</v>
      </c>
      <c r="M670" s="2" t="s">
        <v>752</v>
      </c>
      <c r="N670" s="7">
        <v>41.5</v>
      </c>
      <c r="O670" s="4">
        <v>1162</v>
      </c>
      <c r="P670" s="4">
        <v>1162</v>
      </c>
      <c r="Q670" s="6">
        <v>0</v>
      </c>
    </row>
    <row r="671" spans="1:17" x14ac:dyDescent="0.25">
      <c r="A671" s="2" t="s">
        <v>484</v>
      </c>
      <c r="B671" s="2" t="s">
        <v>87</v>
      </c>
      <c r="C671" s="2" t="s">
        <v>88</v>
      </c>
      <c r="D671" s="2" t="s">
        <v>758</v>
      </c>
      <c r="E671" s="2" t="s">
        <v>906</v>
      </c>
      <c r="F671" s="2" t="s">
        <v>905</v>
      </c>
      <c r="G671" s="3">
        <v>46099</v>
      </c>
      <c r="H671" s="2" t="s">
        <v>753</v>
      </c>
      <c r="I671" s="2" t="s">
        <v>755</v>
      </c>
      <c r="J671" s="2" t="s">
        <v>754</v>
      </c>
      <c r="K671" s="2" t="s">
        <v>753</v>
      </c>
      <c r="L671" s="6">
        <v>28</v>
      </c>
      <c r="M671" s="2" t="s">
        <v>752</v>
      </c>
      <c r="N671" s="7">
        <v>35.21</v>
      </c>
      <c r="O671" s="4">
        <v>985.88</v>
      </c>
      <c r="P671" s="4">
        <v>985.88</v>
      </c>
      <c r="Q671" s="6">
        <v>0</v>
      </c>
    </row>
    <row r="672" spans="1:17" x14ac:dyDescent="0.25">
      <c r="A672" s="2" t="s">
        <v>484</v>
      </c>
      <c r="B672" s="2" t="s">
        <v>87</v>
      </c>
      <c r="C672" s="2" t="s">
        <v>88</v>
      </c>
      <c r="D672" s="2" t="s">
        <v>758</v>
      </c>
      <c r="E672" s="2" t="s">
        <v>763</v>
      </c>
      <c r="F672" s="2" t="s">
        <v>762</v>
      </c>
      <c r="G672" s="3">
        <v>46099</v>
      </c>
      <c r="H672" s="2" t="s">
        <v>753</v>
      </c>
      <c r="I672" s="2" t="s">
        <v>755</v>
      </c>
      <c r="J672" s="2" t="s">
        <v>754</v>
      </c>
      <c r="K672" s="2" t="s">
        <v>753</v>
      </c>
      <c r="L672" s="6">
        <v>190</v>
      </c>
      <c r="M672" s="2" t="s">
        <v>752</v>
      </c>
      <c r="N672" s="7">
        <v>45.49</v>
      </c>
      <c r="O672" s="4">
        <v>8643.1</v>
      </c>
      <c r="P672" s="4">
        <v>8643.1</v>
      </c>
      <c r="Q672" s="6">
        <v>0</v>
      </c>
    </row>
    <row r="673" spans="1:17" x14ac:dyDescent="0.25">
      <c r="A673" s="2" t="s">
        <v>484</v>
      </c>
      <c r="B673" s="2" t="s">
        <v>87</v>
      </c>
      <c r="C673" s="2" t="s">
        <v>88</v>
      </c>
      <c r="D673" s="2" t="s">
        <v>758</v>
      </c>
      <c r="E673" s="2" t="s">
        <v>863</v>
      </c>
      <c r="F673" s="2" t="s">
        <v>862</v>
      </c>
      <c r="G673" s="3">
        <v>46099</v>
      </c>
      <c r="H673" s="2" t="s">
        <v>753</v>
      </c>
      <c r="I673" s="2" t="s">
        <v>755</v>
      </c>
      <c r="J673" s="2" t="s">
        <v>754</v>
      </c>
      <c r="K673" s="2" t="s">
        <v>753</v>
      </c>
      <c r="L673" s="6">
        <v>4</v>
      </c>
      <c r="M673" s="2" t="s">
        <v>752</v>
      </c>
      <c r="N673" s="7">
        <v>52.47</v>
      </c>
      <c r="O673" s="4">
        <v>209.88</v>
      </c>
      <c r="P673" s="4">
        <v>209.88</v>
      </c>
      <c r="Q673" s="6">
        <v>0</v>
      </c>
    </row>
    <row r="674" spans="1:17" x14ac:dyDescent="0.25">
      <c r="A674" s="2" t="s">
        <v>484</v>
      </c>
      <c r="B674" s="2" t="s">
        <v>87</v>
      </c>
      <c r="C674" s="2" t="s">
        <v>88</v>
      </c>
      <c r="D674" s="2" t="s">
        <v>758</v>
      </c>
      <c r="E674" s="2" t="s">
        <v>813</v>
      </c>
      <c r="F674" s="2" t="s">
        <v>812</v>
      </c>
      <c r="G674" s="3">
        <v>46099</v>
      </c>
      <c r="H674" s="2" t="s">
        <v>753</v>
      </c>
      <c r="I674" s="2" t="s">
        <v>755</v>
      </c>
      <c r="J674" s="2" t="s">
        <v>754</v>
      </c>
      <c r="K674" s="2" t="s">
        <v>753</v>
      </c>
      <c r="L674" s="6">
        <v>8</v>
      </c>
      <c r="M674" s="2" t="s">
        <v>752</v>
      </c>
      <c r="N674" s="7">
        <v>54</v>
      </c>
      <c r="O674" s="4">
        <v>432</v>
      </c>
      <c r="P674" s="4">
        <v>432</v>
      </c>
      <c r="Q674" s="6">
        <v>0</v>
      </c>
    </row>
    <row r="675" spans="1:17" x14ac:dyDescent="0.25">
      <c r="A675" s="2" t="s">
        <v>484</v>
      </c>
      <c r="B675" s="2" t="s">
        <v>87</v>
      </c>
      <c r="C675" s="2" t="s">
        <v>88</v>
      </c>
      <c r="D675" s="2" t="s">
        <v>758</v>
      </c>
      <c r="E675" s="2" t="s">
        <v>807</v>
      </c>
      <c r="F675" s="2" t="s">
        <v>806</v>
      </c>
      <c r="G675" s="3">
        <v>46099</v>
      </c>
      <c r="H675" s="2" t="s">
        <v>753</v>
      </c>
      <c r="I675" s="2" t="s">
        <v>755</v>
      </c>
      <c r="J675" s="2" t="s">
        <v>754</v>
      </c>
      <c r="K675" s="2" t="s">
        <v>753</v>
      </c>
      <c r="L675" s="6">
        <v>28</v>
      </c>
      <c r="M675" s="2" t="s">
        <v>752</v>
      </c>
      <c r="N675" s="7">
        <v>44.15</v>
      </c>
      <c r="O675" s="4">
        <v>1236.2</v>
      </c>
      <c r="P675" s="4">
        <v>1236.2</v>
      </c>
      <c r="Q675" s="6">
        <v>0</v>
      </c>
    </row>
    <row r="676" spans="1:17" x14ac:dyDescent="0.25">
      <c r="A676" s="2" t="s">
        <v>484</v>
      </c>
      <c r="B676" s="2" t="s">
        <v>87</v>
      </c>
      <c r="C676" s="2" t="s">
        <v>88</v>
      </c>
      <c r="D676" s="2" t="s">
        <v>758</v>
      </c>
      <c r="E676" s="2" t="s">
        <v>956</v>
      </c>
      <c r="F676" s="2" t="s">
        <v>955</v>
      </c>
      <c r="G676" s="3">
        <v>46099</v>
      </c>
      <c r="H676" s="2" t="s">
        <v>753</v>
      </c>
      <c r="I676" s="2" t="s">
        <v>755</v>
      </c>
      <c r="J676" s="2" t="s">
        <v>754</v>
      </c>
      <c r="K676" s="2" t="s">
        <v>753</v>
      </c>
      <c r="L676" s="6">
        <v>4</v>
      </c>
      <c r="M676" s="2" t="s">
        <v>752</v>
      </c>
      <c r="N676" s="7">
        <v>47.4</v>
      </c>
      <c r="O676" s="4">
        <v>189.6</v>
      </c>
      <c r="P676" s="4">
        <v>189.6</v>
      </c>
      <c r="Q676" s="6">
        <v>0</v>
      </c>
    </row>
    <row r="677" spans="1:17" x14ac:dyDescent="0.25">
      <c r="A677" s="2" t="s">
        <v>484</v>
      </c>
      <c r="B677" s="2" t="s">
        <v>87</v>
      </c>
      <c r="C677" s="2" t="s">
        <v>88</v>
      </c>
      <c r="D677" s="2" t="s">
        <v>758</v>
      </c>
      <c r="E677" s="2" t="s">
        <v>904</v>
      </c>
      <c r="F677" s="2" t="s">
        <v>903</v>
      </c>
      <c r="G677" s="3">
        <v>46099</v>
      </c>
      <c r="H677" s="2" t="s">
        <v>753</v>
      </c>
      <c r="I677" s="2" t="s">
        <v>755</v>
      </c>
      <c r="J677" s="2" t="s">
        <v>754</v>
      </c>
      <c r="K677" s="2" t="s">
        <v>753</v>
      </c>
      <c r="L677" s="6">
        <v>8</v>
      </c>
      <c r="M677" s="2" t="s">
        <v>752</v>
      </c>
      <c r="N677" s="7">
        <v>40.22</v>
      </c>
      <c r="O677" s="4">
        <v>321.76</v>
      </c>
      <c r="P677" s="4">
        <v>321.76</v>
      </c>
      <c r="Q677" s="6">
        <v>0</v>
      </c>
    </row>
    <row r="678" spans="1:17" x14ac:dyDescent="0.25">
      <c r="A678" s="2" t="s">
        <v>484</v>
      </c>
      <c r="B678" s="2" t="s">
        <v>87</v>
      </c>
      <c r="C678" s="2" t="s">
        <v>88</v>
      </c>
      <c r="D678" s="2" t="s">
        <v>758</v>
      </c>
      <c r="E678" s="2" t="s">
        <v>855</v>
      </c>
      <c r="F678" s="2" t="s">
        <v>854</v>
      </c>
      <c r="G678" s="3">
        <v>46099</v>
      </c>
      <c r="H678" s="2" t="s">
        <v>753</v>
      </c>
      <c r="I678" s="2" t="s">
        <v>755</v>
      </c>
      <c r="J678" s="2" t="s">
        <v>754</v>
      </c>
      <c r="K678" s="2" t="s">
        <v>753</v>
      </c>
      <c r="L678" s="6">
        <v>63</v>
      </c>
      <c r="M678" s="2" t="s">
        <v>752</v>
      </c>
      <c r="N678" s="7">
        <v>42.37</v>
      </c>
      <c r="O678" s="4">
        <v>2669.31</v>
      </c>
      <c r="P678" s="4">
        <v>2669.31</v>
      </c>
      <c r="Q678" s="6">
        <v>0</v>
      </c>
    </row>
    <row r="679" spans="1:17" x14ac:dyDescent="0.25">
      <c r="A679" s="2" t="s">
        <v>484</v>
      </c>
      <c r="B679" s="2" t="s">
        <v>87</v>
      </c>
      <c r="C679" s="2" t="s">
        <v>88</v>
      </c>
      <c r="D679" s="2" t="s">
        <v>758</v>
      </c>
      <c r="E679" s="2" t="s">
        <v>902</v>
      </c>
      <c r="F679" s="2" t="s">
        <v>901</v>
      </c>
      <c r="G679" s="3">
        <v>46099</v>
      </c>
      <c r="H679" s="2" t="s">
        <v>753</v>
      </c>
      <c r="I679" s="2" t="s">
        <v>755</v>
      </c>
      <c r="J679" s="2" t="s">
        <v>754</v>
      </c>
      <c r="K679" s="2" t="s">
        <v>753</v>
      </c>
      <c r="L679" s="6">
        <v>7</v>
      </c>
      <c r="M679" s="2" t="s">
        <v>752</v>
      </c>
      <c r="N679" s="7">
        <v>42.22</v>
      </c>
      <c r="O679" s="4">
        <v>295.54000000000002</v>
      </c>
      <c r="P679" s="4">
        <v>295.54000000000002</v>
      </c>
      <c r="Q679" s="6">
        <v>0</v>
      </c>
    </row>
    <row r="680" spans="1:17" x14ac:dyDescent="0.25">
      <c r="A680" s="2" t="s">
        <v>484</v>
      </c>
      <c r="B680" s="2" t="s">
        <v>87</v>
      </c>
      <c r="C680" s="2" t="s">
        <v>88</v>
      </c>
      <c r="D680" s="2" t="s">
        <v>758</v>
      </c>
      <c r="E680" s="2" t="s">
        <v>954</v>
      </c>
      <c r="F680" s="2" t="s">
        <v>953</v>
      </c>
      <c r="G680" s="3">
        <v>46099</v>
      </c>
      <c r="H680" s="2" t="s">
        <v>753</v>
      </c>
      <c r="I680" s="2" t="s">
        <v>755</v>
      </c>
      <c r="J680" s="2" t="s">
        <v>754</v>
      </c>
      <c r="K680" s="2" t="s">
        <v>753</v>
      </c>
      <c r="L680" s="6">
        <v>4</v>
      </c>
      <c r="M680" s="2" t="s">
        <v>752</v>
      </c>
      <c r="N680" s="7">
        <v>36.24</v>
      </c>
      <c r="O680" s="4">
        <v>144.96</v>
      </c>
      <c r="P680" s="4">
        <v>144.96</v>
      </c>
      <c r="Q680" s="6">
        <v>0</v>
      </c>
    </row>
    <row r="681" spans="1:17" x14ac:dyDescent="0.25">
      <c r="A681" s="2" t="s">
        <v>484</v>
      </c>
      <c r="B681" s="2" t="s">
        <v>87</v>
      </c>
      <c r="C681" s="2" t="s">
        <v>88</v>
      </c>
      <c r="D681" s="2" t="s">
        <v>758</v>
      </c>
      <c r="E681" s="2" t="s">
        <v>900</v>
      </c>
      <c r="F681" s="2" t="s">
        <v>899</v>
      </c>
      <c r="G681" s="3">
        <v>46099</v>
      </c>
      <c r="H681" s="2" t="s">
        <v>753</v>
      </c>
      <c r="I681" s="2" t="s">
        <v>755</v>
      </c>
      <c r="J681" s="2" t="s">
        <v>754</v>
      </c>
      <c r="K681" s="2" t="s">
        <v>753</v>
      </c>
      <c r="L681" s="6">
        <v>40</v>
      </c>
      <c r="M681" s="2" t="s">
        <v>752</v>
      </c>
      <c r="N681" s="7">
        <v>32.549999999999997</v>
      </c>
      <c r="O681" s="4">
        <v>1302</v>
      </c>
      <c r="P681" s="4">
        <v>1302</v>
      </c>
      <c r="Q681" s="6">
        <v>0</v>
      </c>
    </row>
    <row r="682" spans="1:17" x14ac:dyDescent="0.25">
      <c r="A682" s="2" t="s">
        <v>484</v>
      </c>
      <c r="B682" s="2" t="s">
        <v>87</v>
      </c>
      <c r="C682" s="2" t="s">
        <v>88</v>
      </c>
      <c r="D682" s="2" t="s">
        <v>758</v>
      </c>
      <c r="E682" s="2" t="s">
        <v>780</v>
      </c>
      <c r="F682" s="2" t="s">
        <v>779</v>
      </c>
      <c r="G682" s="3">
        <v>46099</v>
      </c>
      <c r="H682" s="2" t="s">
        <v>753</v>
      </c>
      <c r="I682" s="2" t="s">
        <v>755</v>
      </c>
      <c r="J682" s="2" t="s">
        <v>754</v>
      </c>
      <c r="K682" s="2" t="s">
        <v>753</v>
      </c>
      <c r="L682" s="6">
        <v>4</v>
      </c>
      <c r="M682" s="2" t="s">
        <v>752</v>
      </c>
      <c r="N682" s="7">
        <v>35.57</v>
      </c>
      <c r="O682" s="4">
        <v>142.28</v>
      </c>
      <c r="P682" s="4">
        <v>142.28</v>
      </c>
      <c r="Q682" s="6">
        <v>0</v>
      </c>
    </row>
    <row r="683" spans="1:17" x14ac:dyDescent="0.25">
      <c r="A683" s="2" t="s">
        <v>484</v>
      </c>
      <c r="B683" s="2" t="s">
        <v>87</v>
      </c>
      <c r="C683" s="2" t="s">
        <v>88</v>
      </c>
      <c r="D683" s="2" t="s">
        <v>758</v>
      </c>
      <c r="E683" s="2" t="s">
        <v>898</v>
      </c>
      <c r="F683" s="2" t="s">
        <v>897</v>
      </c>
      <c r="G683" s="3">
        <v>46099</v>
      </c>
      <c r="H683" s="2" t="s">
        <v>753</v>
      </c>
      <c r="I683" s="2" t="s">
        <v>755</v>
      </c>
      <c r="J683" s="2" t="s">
        <v>754</v>
      </c>
      <c r="K683" s="2" t="s">
        <v>753</v>
      </c>
      <c r="L683" s="6">
        <v>28</v>
      </c>
      <c r="M683" s="2" t="s">
        <v>752</v>
      </c>
      <c r="N683" s="7">
        <v>41.25</v>
      </c>
      <c r="O683" s="4">
        <v>1155</v>
      </c>
      <c r="P683" s="4">
        <v>1155</v>
      </c>
      <c r="Q683" s="6">
        <v>0</v>
      </c>
    </row>
    <row r="684" spans="1:17" x14ac:dyDescent="0.25">
      <c r="A684" s="2" t="s">
        <v>484</v>
      </c>
      <c r="B684" s="2" t="s">
        <v>87</v>
      </c>
      <c r="C684" s="2" t="s">
        <v>88</v>
      </c>
      <c r="D684" s="2" t="s">
        <v>758</v>
      </c>
      <c r="E684" s="2" t="s">
        <v>819</v>
      </c>
      <c r="F684" s="2" t="s">
        <v>818</v>
      </c>
      <c r="G684" s="3">
        <v>46099</v>
      </c>
      <c r="H684" s="2" t="s">
        <v>753</v>
      </c>
      <c r="I684" s="2" t="s">
        <v>755</v>
      </c>
      <c r="J684" s="2" t="s">
        <v>754</v>
      </c>
      <c r="K684" s="2" t="s">
        <v>753</v>
      </c>
      <c r="L684" s="6">
        <v>28</v>
      </c>
      <c r="M684" s="2" t="s">
        <v>752</v>
      </c>
      <c r="N684" s="7">
        <v>40.22</v>
      </c>
      <c r="O684" s="4">
        <v>1126.1600000000001</v>
      </c>
      <c r="P684" s="4">
        <v>1126.1600000000001</v>
      </c>
      <c r="Q684" s="6">
        <v>0</v>
      </c>
    </row>
    <row r="685" spans="1:17" x14ac:dyDescent="0.25">
      <c r="A685" s="2" t="s">
        <v>528</v>
      </c>
      <c r="B685" s="2" t="s">
        <v>81</v>
      </c>
      <c r="C685" s="2" t="s">
        <v>82</v>
      </c>
      <c r="D685" s="2" t="s">
        <v>758</v>
      </c>
      <c r="E685" s="2" t="s">
        <v>763</v>
      </c>
      <c r="F685" s="2" t="s">
        <v>762</v>
      </c>
      <c r="G685" s="3">
        <v>46091</v>
      </c>
      <c r="H685" s="2" t="s">
        <v>753</v>
      </c>
      <c r="I685" s="2" t="s">
        <v>755</v>
      </c>
      <c r="J685" s="2" t="s">
        <v>754</v>
      </c>
      <c r="K685" s="2" t="s">
        <v>753</v>
      </c>
      <c r="L685" s="6">
        <v>840</v>
      </c>
      <c r="M685" s="2" t="s">
        <v>752</v>
      </c>
      <c r="N685" s="7">
        <v>46</v>
      </c>
      <c r="O685" s="4">
        <v>38640</v>
      </c>
      <c r="P685" s="4">
        <v>38640</v>
      </c>
      <c r="Q685" s="6">
        <v>0</v>
      </c>
    </row>
    <row r="686" spans="1:17" x14ac:dyDescent="0.25">
      <c r="A686" s="2" t="s">
        <v>526</v>
      </c>
      <c r="B686" s="2" t="s">
        <v>81</v>
      </c>
      <c r="C686" s="2" t="s">
        <v>82</v>
      </c>
      <c r="D686" s="2" t="s">
        <v>758</v>
      </c>
      <c r="E686" s="2" t="s">
        <v>763</v>
      </c>
      <c r="F686" s="2" t="s">
        <v>762</v>
      </c>
      <c r="G686" s="3">
        <v>46091</v>
      </c>
      <c r="H686" s="2" t="s">
        <v>753</v>
      </c>
      <c r="I686" s="2" t="s">
        <v>755</v>
      </c>
      <c r="J686" s="2" t="s">
        <v>754</v>
      </c>
      <c r="K686" s="2" t="s">
        <v>753</v>
      </c>
      <c r="L686" s="6">
        <v>840</v>
      </c>
      <c r="M686" s="2" t="s">
        <v>752</v>
      </c>
      <c r="N686" s="7">
        <v>46</v>
      </c>
      <c r="O686" s="4">
        <v>38640</v>
      </c>
      <c r="P686" s="4">
        <v>38640</v>
      </c>
      <c r="Q686" s="6">
        <v>0</v>
      </c>
    </row>
    <row r="687" spans="1:17" x14ac:dyDescent="0.25">
      <c r="A687" s="2" t="s">
        <v>510</v>
      </c>
      <c r="B687" s="2" t="s">
        <v>103</v>
      </c>
      <c r="C687" s="2" t="s">
        <v>104</v>
      </c>
      <c r="D687" s="2" t="s">
        <v>758</v>
      </c>
      <c r="E687" s="2" t="s">
        <v>859</v>
      </c>
      <c r="F687" s="2" t="s">
        <v>858</v>
      </c>
      <c r="G687" s="3">
        <v>46093</v>
      </c>
      <c r="H687" s="2" t="s">
        <v>753</v>
      </c>
      <c r="I687" s="2" t="s">
        <v>755</v>
      </c>
      <c r="J687" s="2" t="s">
        <v>754</v>
      </c>
      <c r="K687" s="2" t="s">
        <v>753</v>
      </c>
      <c r="L687" s="6">
        <v>224</v>
      </c>
      <c r="M687" s="2" t="s">
        <v>752</v>
      </c>
      <c r="N687" s="7">
        <v>33.42</v>
      </c>
      <c r="O687" s="4">
        <v>7486.08</v>
      </c>
      <c r="P687" s="4">
        <v>7486.08</v>
      </c>
      <c r="Q687" s="6">
        <v>0</v>
      </c>
    </row>
    <row r="688" spans="1:17" x14ac:dyDescent="0.25">
      <c r="A688" s="2" t="s">
        <v>510</v>
      </c>
      <c r="B688" s="2" t="s">
        <v>103</v>
      </c>
      <c r="C688" s="2" t="s">
        <v>104</v>
      </c>
      <c r="D688" s="2" t="s">
        <v>758</v>
      </c>
      <c r="E688" s="2" t="s">
        <v>976</v>
      </c>
      <c r="F688" s="2" t="s">
        <v>975</v>
      </c>
      <c r="G688" s="3">
        <v>46093</v>
      </c>
      <c r="H688" s="2" t="s">
        <v>753</v>
      </c>
      <c r="I688" s="2" t="s">
        <v>755</v>
      </c>
      <c r="J688" s="2" t="s">
        <v>754</v>
      </c>
      <c r="K688" s="2" t="s">
        <v>753</v>
      </c>
      <c r="L688" s="6">
        <v>204</v>
      </c>
      <c r="M688" s="2" t="s">
        <v>752</v>
      </c>
      <c r="N688" s="7">
        <v>26.96</v>
      </c>
      <c r="O688" s="4">
        <v>5499.84</v>
      </c>
      <c r="P688" s="4">
        <v>5499.84</v>
      </c>
      <c r="Q688" s="6">
        <v>0</v>
      </c>
    </row>
    <row r="689" spans="1:17" x14ac:dyDescent="0.25">
      <c r="A689" s="2" t="s">
        <v>510</v>
      </c>
      <c r="B689" s="2" t="s">
        <v>103</v>
      </c>
      <c r="C689" s="2" t="s">
        <v>104</v>
      </c>
      <c r="D689" s="2" t="s">
        <v>758</v>
      </c>
      <c r="E689" s="2" t="s">
        <v>982</v>
      </c>
      <c r="F689" s="2" t="s">
        <v>981</v>
      </c>
      <c r="G689" s="3">
        <v>46093</v>
      </c>
      <c r="H689" s="2" t="s">
        <v>753</v>
      </c>
      <c r="I689" s="2" t="s">
        <v>755</v>
      </c>
      <c r="J689" s="2" t="s">
        <v>754</v>
      </c>
      <c r="K689" s="2" t="s">
        <v>753</v>
      </c>
      <c r="L689" s="6">
        <v>44</v>
      </c>
      <c r="M689" s="2" t="s">
        <v>752</v>
      </c>
      <c r="N689" s="7">
        <v>29.53</v>
      </c>
      <c r="O689" s="4">
        <v>1299.32</v>
      </c>
      <c r="P689" s="4">
        <v>1299.32</v>
      </c>
      <c r="Q689" s="6">
        <v>0</v>
      </c>
    </row>
    <row r="690" spans="1:17" x14ac:dyDescent="0.25">
      <c r="A690" s="2" t="s">
        <v>510</v>
      </c>
      <c r="B690" s="2" t="s">
        <v>103</v>
      </c>
      <c r="C690" s="2" t="s">
        <v>104</v>
      </c>
      <c r="D690" s="2" t="s">
        <v>758</v>
      </c>
      <c r="E690" s="2" t="s">
        <v>958</v>
      </c>
      <c r="F690" s="2" t="s">
        <v>957</v>
      </c>
      <c r="G690" s="3">
        <v>46093</v>
      </c>
      <c r="H690" s="2" t="s">
        <v>753</v>
      </c>
      <c r="I690" s="2" t="s">
        <v>755</v>
      </c>
      <c r="J690" s="2" t="s">
        <v>754</v>
      </c>
      <c r="K690" s="2" t="s">
        <v>753</v>
      </c>
      <c r="L690" s="6">
        <v>14</v>
      </c>
      <c r="M690" s="2" t="s">
        <v>752</v>
      </c>
      <c r="N690" s="7">
        <v>40.6</v>
      </c>
      <c r="O690" s="4">
        <v>568.4</v>
      </c>
      <c r="P690" s="4">
        <v>568.4</v>
      </c>
      <c r="Q690" s="6">
        <v>0</v>
      </c>
    </row>
    <row r="691" spans="1:17" x14ac:dyDescent="0.25">
      <c r="A691" s="2" t="s">
        <v>510</v>
      </c>
      <c r="B691" s="2" t="s">
        <v>103</v>
      </c>
      <c r="C691" s="2" t="s">
        <v>104</v>
      </c>
      <c r="D691" s="2" t="s">
        <v>758</v>
      </c>
      <c r="E691" s="2" t="s">
        <v>888</v>
      </c>
      <c r="F691" s="2" t="s">
        <v>887</v>
      </c>
      <c r="G691" s="3">
        <v>46093</v>
      </c>
      <c r="H691" s="2" t="s">
        <v>753</v>
      </c>
      <c r="I691" s="2" t="s">
        <v>755</v>
      </c>
      <c r="J691" s="2" t="s">
        <v>754</v>
      </c>
      <c r="K691" s="2" t="s">
        <v>753</v>
      </c>
      <c r="L691" s="6">
        <v>8</v>
      </c>
      <c r="M691" s="2" t="s">
        <v>752</v>
      </c>
      <c r="N691" s="7">
        <v>26.22</v>
      </c>
      <c r="O691" s="4">
        <v>209.76</v>
      </c>
      <c r="P691" s="4">
        <v>209.76</v>
      </c>
      <c r="Q691" s="6">
        <v>0</v>
      </c>
    </row>
    <row r="692" spans="1:17" x14ac:dyDescent="0.25">
      <c r="A692" s="2" t="s">
        <v>530</v>
      </c>
      <c r="B692" s="2" t="s">
        <v>81</v>
      </c>
      <c r="C692" s="2" t="s">
        <v>82</v>
      </c>
      <c r="D692" s="2" t="s">
        <v>758</v>
      </c>
      <c r="E692" s="2" t="s">
        <v>763</v>
      </c>
      <c r="F692" s="2" t="s">
        <v>762</v>
      </c>
      <c r="G692" s="3">
        <v>46090</v>
      </c>
      <c r="H692" s="2" t="s">
        <v>753</v>
      </c>
      <c r="I692" s="2" t="s">
        <v>755</v>
      </c>
      <c r="J692" s="2" t="s">
        <v>754</v>
      </c>
      <c r="K692" s="2" t="s">
        <v>753</v>
      </c>
      <c r="L692" s="6">
        <v>406</v>
      </c>
      <c r="M692" s="2" t="s">
        <v>752</v>
      </c>
      <c r="N692" s="7">
        <v>46</v>
      </c>
      <c r="O692" s="4">
        <v>18676</v>
      </c>
      <c r="P692" s="4">
        <v>18676</v>
      </c>
      <c r="Q692" s="6">
        <v>0</v>
      </c>
    </row>
    <row r="693" spans="1:17" x14ac:dyDescent="0.25">
      <c r="A693" s="2" t="s">
        <v>530</v>
      </c>
      <c r="B693" s="2" t="s">
        <v>81</v>
      </c>
      <c r="C693" s="2" t="s">
        <v>82</v>
      </c>
      <c r="D693" s="2" t="s">
        <v>758</v>
      </c>
      <c r="E693" s="2" t="s">
        <v>766</v>
      </c>
      <c r="F693" s="2" t="s">
        <v>765</v>
      </c>
      <c r="G693" s="3">
        <v>46090</v>
      </c>
      <c r="H693" s="2" t="s">
        <v>753</v>
      </c>
      <c r="I693" s="2" t="s">
        <v>755</v>
      </c>
      <c r="J693" s="2" t="s">
        <v>754</v>
      </c>
      <c r="K693" s="2" t="s">
        <v>753</v>
      </c>
      <c r="L693" s="6">
        <v>294</v>
      </c>
      <c r="M693" s="2" t="s">
        <v>752</v>
      </c>
      <c r="N693" s="7">
        <v>40</v>
      </c>
      <c r="O693" s="4">
        <v>11760</v>
      </c>
      <c r="P693" s="4">
        <v>11760</v>
      </c>
      <c r="Q693" s="6">
        <v>0</v>
      </c>
    </row>
    <row r="694" spans="1:17" x14ac:dyDescent="0.25">
      <c r="A694" s="2" t="s">
        <v>530</v>
      </c>
      <c r="B694" s="2" t="s">
        <v>81</v>
      </c>
      <c r="C694" s="2" t="s">
        <v>82</v>
      </c>
      <c r="D694" s="2" t="s">
        <v>758</v>
      </c>
      <c r="E694" s="2" t="s">
        <v>780</v>
      </c>
      <c r="F694" s="2" t="s">
        <v>779</v>
      </c>
      <c r="G694" s="3">
        <v>46090</v>
      </c>
      <c r="H694" s="2" t="s">
        <v>753</v>
      </c>
      <c r="I694" s="2" t="s">
        <v>755</v>
      </c>
      <c r="J694" s="2" t="s">
        <v>754</v>
      </c>
      <c r="K694" s="2" t="s">
        <v>753</v>
      </c>
      <c r="L694" s="6">
        <v>140</v>
      </c>
      <c r="M694" s="2" t="s">
        <v>752</v>
      </c>
      <c r="N694" s="7">
        <v>38</v>
      </c>
      <c r="O694" s="4">
        <v>5320</v>
      </c>
      <c r="P694" s="4">
        <v>5320</v>
      </c>
      <c r="Q694" s="6">
        <v>0</v>
      </c>
    </row>
    <row r="695" spans="1:17" x14ac:dyDescent="0.25">
      <c r="A695" s="2" t="s">
        <v>508</v>
      </c>
      <c r="B695" s="2" t="s">
        <v>29</v>
      </c>
      <c r="C695" s="2" t="s">
        <v>30</v>
      </c>
      <c r="D695" s="2" t="s">
        <v>758</v>
      </c>
      <c r="E695" s="2" t="s">
        <v>817</v>
      </c>
      <c r="F695" s="2" t="s">
        <v>937</v>
      </c>
      <c r="G695" s="3">
        <v>46093</v>
      </c>
      <c r="H695" s="2" t="s">
        <v>753</v>
      </c>
      <c r="I695" s="2" t="s">
        <v>755</v>
      </c>
      <c r="J695" s="2" t="s">
        <v>754</v>
      </c>
      <c r="K695" s="2" t="s">
        <v>753</v>
      </c>
      <c r="L695" s="6">
        <v>56</v>
      </c>
      <c r="M695" s="2" t="s">
        <v>752</v>
      </c>
      <c r="N695" s="7">
        <v>31.42</v>
      </c>
      <c r="O695" s="4">
        <v>1759.52</v>
      </c>
      <c r="P695" s="4">
        <v>1759.52</v>
      </c>
      <c r="Q695" s="6">
        <v>0</v>
      </c>
    </row>
    <row r="696" spans="1:17" x14ac:dyDescent="0.25">
      <c r="A696" s="2" t="s">
        <v>508</v>
      </c>
      <c r="B696" s="2" t="s">
        <v>29</v>
      </c>
      <c r="C696" s="2" t="s">
        <v>30</v>
      </c>
      <c r="D696" s="2" t="s">
        <v>758</v>
      </c>
      <c r="E696" s="2" t="s">
        <v>815</v>
      </c>
      <c r="F696" s="2" t="s">
        <v>814</v>
      </c>
      <c r="G696" s="3">
        <v>46093</v>
      </c>
      <c r="H696" s="2" t="s">
        <v>753</v>
      </c>
      <c r="I696" s="2" t="s">
        <v>755</v>
      </c>
      <c r="J696" s="2" t="s">
        <v>754</v>
      </c>
      <c r="K696" s="2" t="s">
        <v>753</v>
      </c>
      <c r="L696" s="6">
        <v>112</v>
      </c>
      <c r="M696" s="2" t="s">
        <v>752</v>
      </c>
      <c r="N696" s="7">
        <v>34</v>
      </c>
      <c r="O696" s="4">
        <v>3808</v>
      </c>
      <c r="P696" s="4">
        <v>3808</v>
      </c>
      <c r="Q696" s="6">
        <v>0</v>
      </c>
    </row>
    <row r="697" spans="1:17" x14ac:dyDescent="0.25">
      <c r="A697" s="2" t="s">
        <v>508</v>
      </c>
      <c r="B697" s="2" t="s">
        <v>29</v>
      </c>
      <c r="C697" s="2" t="s">
        <v>30</v>
      </c>
      <c r="D697" s="2" t="s">
        <v>758</v>
      </c>
      <c r="E697" s="2" t="s">
        <v>813</v>
      </c>
      <c r="F697" s="2" t="s">
        <v>812</v>
      </c>
      <c r="G697" s="3">
        <v>46093</v>
      </c>
      <c r="H697" s="2" t="s">
        <v>753</v>
      </c>
      <c r="I697" s="2" t="s">
        <v>755</v>
      </c>
      <c r="J697" s="2" t="s">
        <v>754</v>
      </c>
      <c r="K697" s="2" t="s">
        <v>753</v>
      </c>
      <c r="L697" s="6">
        <v>12</v>
      </c>
      <c r="M697" s="2" t="s">
        <v>752</v>
      </c>
      <c r="N697" s="7">
        <v>43.26</v>
      </c>
      <c r="O697" s="4">
        <v>519.12</v>
      </c>
      <c r="P697" s="4">
        <v>519.12</v>
      </c>
      <c r="Q697" s="6">
        <v>0</v>
      </c>
    </row>
    <row r="698" spans="1:17" x14ac:dyDescent="0.25">
      <c r="A698" s="2" t="s">
        <v>508</v>
      </c>
      <c r="B698" s="2" t="s">
        <v>29</v>
      </c>
      <c r="C698" s="2" t="s">
        <v>30</v>
      </c>
      <c r="D698" s="2" t="s">
        <v>758</v>
      </c>
      <c r="E698" s="2" t="s">
        <v>811</v>
      </c>
      <c r="F698" s="2" t="s">
        <v>810</v>
      </c>
      <c r="G698" s="3">
        <v>46093</v>
      </c>
      <c r="H698" s="2" t="s">
        <v>753</v>
      </c>
      <c r="I698" s="2" t="s">
        <v>755</v>
      </c>
      <c r="J698" s="2" t="s">
        <v>754</v>
      </c>
      <c r="K698" s="2" t="s">
        <v>753</v>
      </c>
      <c r="L698" s="6">
        <v>20</v>
      </c>
      <c r="M698" s="2" t="s">
        <v>752</v>
      </c>
      <c r="N698" s="7">
        <v>43.26</v>
      </c>
      <c r="O698" s="4">
        <v>865.2</v>
      </c>
      <c r="P698" s="4">
        <v>865.2</v>
      </c>
      <c r="Q698" s="6">
        <v>0</v>
      </c>
    </row>
    <row r="699" spans="1:17" x14ac:dyDescent="0.25">
      <c r="A699" s="2" t="s">
        <v>508</v>
      </c>
      <c r="B699" s="2" t="s">
        <v>29</v>
      </c>
      <c r="C699" s="2" t="s">
        <v>30</v>
      </c>
      <c r="D699" s="2" t="s">
        <v>758</v>
      </c>
      <c r="E699" s="2" t="s">
        <v>763</v>
      </c>
      <c r="F699" s="2" t="s">
        <v>762</v>
      </c>
      <c r="G699" s="3">
        <v>46093</v>
      </c>
      <c r="H699" s="2" t="s">
        <v>753</v>
      </c>
      <c r="I699" s="2" t="s">
        <v>755</v>
      </c>
      <c r="J699" s="2" t="s">
        <v>754</v>
      </c>
      <c r="K699" s="2" t="s">
        <v>753</v>
      </c>
      <c r="L699" s="6">
        <v>112</v>
      </c>
      <c r="M699" s="2" t="s">
        <v>752</v>
      </c>
      <c r="N699" s="7">
        <v>43.36</v>
      </c>
      <c r="O699" s="4">
        <v>4856.32</v>
      </c>
      <c r="P699" s="4">
        <v>4856.32</v>
      </c>
      <c r="Q699" s="6">
        <v>0</v>
      </c>
    </row>
    <row r="700" spans="1:17" x14ac:dyDescent="0.25">
      <c r="A700" s="2" t="s">
        <v>508</v>
      </c>
      <c r="B700" s="2" t="s">
        <v>29</v>
      </c>
      <c r="C700" s="2" t="s">
        <v>30</v>
      </c>
      <c r="D700" s="2" t="s">
        <v>758</v>
      </c>
      <c r="E700" s="2" t="s">
        <v>807</v>
      </c>
      <c r="F700" s="2" t="s">
        <v>806</v>
      </c>
      <c r="G700" s="3">
        <v>46093</v>
      </c>
      <c r="H700" s="2" t="s">
        <v>753</v>
      </c>
      <c r="I700" s="2" t="s">
        <v>755</v>
      </c>
      <c r="J700" s="2" t="s">
        <v>754</v>
      </c>
      <c r="K700" s="2" t="s">
        <v>753</v>
      </c>
      <c r="L700" s="6">
        <v>12</v>
      </c>
      <c r="M700" s="2" t="s">
        <v>752</v>
      </c>
      <c r="N700" s="7">
        <v>42.02</v>
      </c>
      <c r="O700" s="4">
        <v>504.24</v>
      </c>
      <c r="P700" s="4">
        <v>504.24</v>
      </c>
      <c r="Q700" s="6">
        <v>0</v>
      </c>
    </row>
    <row r="701" spans="1:17" x14ac:dyDescent="0.25">
      <c r="A701" s="2" t="s">
        <v>508</v>
      </c>
      <c r="B701" s="2" t="s">
        <v>29</v>
      </c>
      <c r="C701" s="2" t="s">
        <v>30</v>
      </c>
      <c r="D701" s="2" t="s">
        <v>758</v>
      </c>
      <c r="E701" s="2" t="s">
        <v>805</v>
      </c>
      <c r="F701" s="2" t="s">
        <v>804</v>
      </c>
      <c r="G701" s="3">
        <v>46093</v>
      </c>
      <c r="H701" s="2" t="s">
        <v>753</v>
      </c>
      <c r="I701" s="2" t="s">
        <v>755</v>
      </c>
      <c r="J701" s="2" t="s">
        <v>754</v>
      </c>
      <c r="K701" s="2" t="s">
        <v>753</v>
      </c>
      <c r="L701" s="6">
        <v>59</v>
      </c>
      <c r="M701" s="2" t="s">
        <v>752</v>
      </c>
      <c r="N701" s="7">
        <v>41</v>
      </c>
      <c r="O701" s="4">
        <v>2419</v>
      </c>
      <c r="P701" s="4">
        <v>2419</v>
      </c>
      <c r="Q701" s="6">
        <v>0</v>
      </c>
    </row>
    <row r="702" spans="1:17" x14ac:dyDescent="0.25">
      <c r="A702" s="2" t="s">
        <v>506</v>
      </c>
      <c r="B702" s="2" t="s">
        <v>195</v>
      </c>
      <c r="C702" s="2" t="s">
        <v>196</v>
      </c>
      <c r="D702" s="2" t="s">
        <v>758</v>
      </c>
      <c r="E702" s="2" t="s">
        <v>869</v>
      </c>
      <c r="F702" s="2" t="s">
        <v>868</v>
      </c>
      <c r="G702" s="3">
        <v>46093</v>
      </c>
      <c r="H702" s="2" t="s">
        <v>753</v>
      </c>
      <c r="I702" s="2" t="s">
        <v>755</v>
      </c>
      <c r="J702" s="2" t="s">
        <v>754</v>
      </c>
      <c r="K702" s="2" t="s">
        <v>753</v>
      </c>
      <c r="L702" s="6">
        <v>100</v>
      </c>
      <c r="M702" s="2" t="s">
        <v>752</v>
      </c>
      <c r="N702" s="7">
        <v>51.38</v>
      </c>
      <c r="O702" s="4">
        <v>5138</v>
      </c>
      <c r="P702" s="4">
        <v>5138</v>
      </c>
      <c r="Q702" s="6">
        <v>0</v>
      </c>
    </row>
    <row r="703" spans="1:17" x14ac:dyDescent="0.25">
      <c r="A703" s="2" t="s">
        <v>506</v>
      </c>
      <c r="B703" s="2" t="s">
        <v>195</v>
      </c>
      <c r="C703" s="2" t="s">
        <v>196</v>
      </c>
      <c r="D703" s="2" t="s">
        <v>758</v>
      </c>
      <c r="E703" s="2" t="s">
        <v>829</v>
      </c>
      <c r="F703" s="2" t="s">
        <v>828</v>
      </c>
      <c r="G703" s="3">
        <v>46093</v>
      </c>
      <c r="H703" s="2" t="s">
        <v>753</v>
      </c>
      <c r="I703" s="2" t="s">
        <v>755</v>
      </c>
      <c r="J703" s="2" t="s">
        <v>754</v>
      </c>
      <c r="K703" s="2" t="s">
        <v>753</v>
      </c>
      <c r="L703" s="6">
        <v>72</v>
      </c>
      <c r="M703" s="2" t="s">
        <v>752</v>
      </c>
      <c r="N703" s="7">
        <v>28.5</v>
      </c>
      <c r="O703" s="4">
        <v>2052</v>
      </c>
      <c r="P703" s="4">
        <v>2052</v>
      </c>
      <c r="Q703" s="6">
        <v>0</v>
      </c>
    </row>
    <row r="704" spans="1:17" x14ac:dyDescent="0.25">
      <c r="A704" s="2" t="s">
        <v>506</v>
      </c>
      <c r="B704" s="2" t="s">
        <v>195</v>
      </c>
      <c r="C704" s="2" t="s">
        <v>196</v>
      </c>
      <c r="D704" s="2" t="s">
        <v>758</v>
      </c>
      <c r="E704" s="2" t="s">
        <v>929</v>
      </c>
      <c r="F704" s="2" t="s">
        <v>928</v>
      </c>
      <c r="G704" s="3">
        <v>46093</v>
      </c>
      <c r="H704" s="2" t="s">
        <v>753</v>
      </c>
      <c r="I704" s="2" t="s">
        <v>755</v>
      </c>
      <c r="J704" s="2" t="s">
        <v>754</v>
      </c>
      <c r="K704" s="2" t="s">
        <v>753</v>
      </c>
      <c r="L704" s="6">
        <v>300</v>
      </c>
      <c r="M704" s="2" t="s">
        <v>752</v>
      </c>
      <c r="N704" s="7">
        <v>61.02</v>
      </c>
      <c r="O704" s="4">
        <v>18306</v>
      </c>
      <c r="P704" s="4">
        <v>18306</v>
      </c>
      <c r="Q704" s="6">
        <v>0</v>
      </c>
    </row>
    <row r="705" spans="1:17" x14ac:dyDescent="0.25">
      <c r="A705" s="2" t="s">
        <v>500</v>
      </c>
      <c r="B705" s="2" t="s">
        <v>99</v>
      </c>
      <c r="C705" s="2" t="s">
        <v>100</v>
      </c>
      <c r="D705" s="2" t="s">
        <v>758</v>
      </c>
      <c r="E705" s="2" t="s">
        <v>863</v>
      </c>
      <c r="F705" s="2" t="s">
        <v>862</v>
      </c>
      <c r="G705" s="3">
        <v>46097</v>
      </c>
      <c r="H705" s="2" t="s">
        <v>770</v>
      </c>
      <c r="I705" s="2" t="s">
        <v>755</v>
      </c>
      <c r="J705" s="2" t="s">
        <v>754</v>
      </c>
      <c r="K705" s="2" t="s">
        <v>753</v>
      </c>
      <c r="L705" s="6">
        <v>80</v>
      </c>
      <c r="M705" s="2" t="s">
        <v>752</v>
      </c>
      <c r="N705" s="7">
        <v>33.299999999999997</v>
      </c>
      <c r="O705" s="4">
        <v>2664</v>
      </c>
      <c r="P705" s="4">
        <v>2664</v>
      </c>
      <c r="Q705" s="6">
        <v>0</v>
      </c>
    </row>
    <row r="706" spans="1:17" x14ac:dyDescent="0.25">
      <c r="A706" s="2" t="s">
        <v>500</v>
      </c>
      <c r="B706" s="2" t="s">
        <v>99</v>
      </c>
      <c r="C706" s="2" t="s">
        <v>100</v>
      </c>
      <c r="D706" s="2" t="s">
        <v>758</v>
      </c>
      <c r="E706" s="2" t="s">
        <v>763</v>
      </c>
      <c r="F706" s="2" t="s">
        <v>762</v>
      </c>
      <c r="G706" s="3">
        <v>46097</v>
      </c>
      <c r="H706" s="2" t="s">
        <v>770</v>
      </c>
      <c r="I706" s="2" t="s">
        <v>755</v>
      </c>
      <c r="J706" s="2" t="s">
        <v>754</v>
      </c>
      <c r="K706" s="2" t="s">
        <v>753</v>
      </c>
      <c r="L706" s="6">
        <v>332</v>
      </c>
      <c r="M706" s="2" t="s">
        <v>752</v>
      </c>
      <c r="N706" s="7">
        <v>36.82</v>
      </c>
      <c r="O706" s="4">
        <v>12224.24</v>
      </c>
      <c r="P706" s="4">
        <v>12224.24</v>
      </c>
      <c r="Q706" s="6">
        <v>0</v>
      </c>
    </row>
    <row r="707" spans="1:17" x14ac:dyDescent="0.25">
      <c r="A707" s="2" t="s">
        <v>500</v>
      </c>
      <c r="B707" s="2" t="s">
        <v>99</v>
      </c>
      <c r="C707" s="2" t="s">
        <v>100</v>
      </c>
      <c r="D707" s="2" t="s">
        <v>758</v>
      </c>
      <c r="E707" s="2" t="s">
        <v>861</v>
      </c>
      <c r="F707" s="2" t="s">
        <v>860</v>
      </c>
      <c r="G707" s="3">
        <v>46097</v>
      </c>
      <c r="H707" s="2" t="s">
        <v>770</v>
      </c>
      <c r="I707" s="2" t="s">
        <v>755</v>
      </c>
      <c r="J707" s="2" t="s">
        <v>754</v>
      </c>
      <c r="K707" s="2" t="s">
        <v>753</v>
      </c>
      <c r="L707" s="6">
        <v>112</v>
      </c>
      <c r="M707" s="2" t="s">
        <v>752</v>
      </c>
      <c r="N707" s="7">
        <v>39.700000000000003</v>
      </c>
      <c r="O707" s="4">
        <v>4446.3999999999996</v>
      </c>
      <c r="P707" s="4">
        <v>4446.3999999999996</v>
      </c>
      <c r="Q707" s="6">
        <v>0</v>
      </c>
    </row>
    <row r="708" spans="1:17" x14ac:dyDescent="0.25">
      <c r="A708" s="2" t="s">
        <v>500</v>
      </c>
      <c r="B708" s="2" t="s">
        <v>99</v>
      </c>
      <c r="C708" s="2" t="s">
        <v>100</v>
      </c>
      <c r="D708" s="2" t="s">
        <v>758</v>
      </c>
      <c r="E708" s="2" t="s">
        <v>757</v>
      </c>
      <c r="F708" s="2" t="s">
        <v>756</v>
      </c>
      <c r="G708" s="3">
        <v>46097</v>
      </c>
      <c r="H708" s="2" t="s">
        <v>770</v>
      </c>
      <c r="I708" s="2" t="s">
        <v>755</v>
      </c>
      <c r="J708" s="2" t="s">
        <v>754</v>
      </c>
      <c r="K708" s="2" t="s">
        <v>753</v>
      </c>
      <c r="L708" s="6">
        <v>304</v>
      </c>
      <c r="M708" s="2" t="s">
        <v>752</v>
      </c>
      <c r="N708" s="7">
        <v>39.700000000000003</v>
      </c>
      <c r="O708" s="4">
        <v>12068.8</v>
      </c>
      <c r="P708" s="4">
        <v>12068.8</v>
      </c>
      <c r="Q708" s="6">
        <v>0</v>
      </c>
    </row>
    <row r="709" spans="1:17" x14ac:dyDescent="0.25">
      <c r="A709" s="2" t="s">
        <v>504</v>
      </c>
      <c r="B709" s="2" t="s">
        <v>21</v>
      </c>
      <c r="C709" s="2" t="s">
        <v>22</v>
      </c>
      <c r="D709" s="2" t="s">
        <v>758</v>
      </c>
      <c r="E709" s="2" t="s">
        <v>763</v>
      </c>
      <c r="F709" s="2" t="s">
        <v>762</v>
      </c>
      <c r="G709" s="3">
        <v>46093</v>
      </c>
      <c r="H709" s="2" t="s">
        <v>753</v>
      </c>
      <c r="I709" s="2" t="s">
        <v>755</v>
      </c>
      <c r="J709" s="2" t="s">
        <v>754</v>
      </c>
      <c r="K709" s="2" t="s">
        <v>753</v>
      </c>
      <c r="L709" s="6">
        <v>0</v>
      </c>
      <c r="M709" s="2" t="s">
        <v>752</v>
      </c>
      <c r="N709" s="7">
        <v>42.6</v>
      </c>
      <c r="O709" s="4">
        <v>0</v>
      </c>
      <c r="P709" s="4">
        <v>0</v>
      </c>
      <c r="Q709" s="6">
        <v>0</v>
      </c>
    </row>
    <row r="710" spans="1:17" x14ac:dyDescent="0.25">
      <c r="A710" s="2" t="s">
        <v>504</v>
      </c>
      <c r="B710" s="2" t="s">
        <v>21</v>
      </c>
      <c r="C710" s="2" t="s">
        <v>22</v>
      </c>
      <c r="D710" s="2" t="s">
        <v>758</v>
      </c>
      <c r="E710" s="2" t="s">
        <v>774</v>
      </c>
      <c r="F710" s="2" t="s">
        <v>773</v>
      </c>
      <c r="G710" s="3">
        <v>46093</v>
      </c>
      <c r="H710" s="2" t="s">
        <v>753</v>
      </c>
      <c r="I710" s="2" t="s">
        <v>755</v>
      </c>
      <c r="J710" s="2" t="s">
        <v>754</v>
      </c>
      <c r="K710" s="2" t="s">
        <v>753</v>
      </c>
      <c r="L710" s="6">
        <v>28</v>
      </c>
      <c r="M710" s="2" t="s">
        <v>752</v>
      </c>
      <c r="N710" s="7">
        <v>38.299999999999997</v>
      </c>
      <c r="O710" s="4">
        <v>1072.4000000000001</v>
      </c>
      <c r="P710" s="4">
        <v>1072.4000000000001</v>
      </c>
      <c r="Q710" s="6">
        <v>0</v>
      </c>
    </row>
    <row r="711" spans="1:17" x14ac:dyDescent="0.25">
      <c r="A711" s="2" t="s">
        <v>504</v>
      </c>
      <c r="B711" s="2" t="s">
        <v>21</v>
      </c>
      <c r="C711" s="2" t="s">
        <v>22</v>
      </c>
      <c r="D711" s="2" t="s">
        <v>758</v>
      </c>
      <c r="E711" s="2" t="s">
        <v>794</v>
      </c>
      <c r="F711" s="2" t="s">
        <v>793</v>
      </c>
      <c r="G711" s="3">
        <v>46093</v>
      </c>
      <c r="H711" s="2" t="s">
        <v>753</v>
      </c>
      <c r="I711" s="2" t="s">
        <v>755</v>
      </c>
      <c r="J711" s="2" t="s">
        <v>754</v>
      </c>
      <c r="K711" s="2" t="s">
        <v>753</v>
      </c>
      <c r="L711" s="6">
        <v>0</v>
      </c>
      <c r="M711" s="2" t="s">
        <v>752</v>
      </c>
      <c r="N711" s="7">
        <v>40.619999999999997</v>
      </c>
      <c r="O711" s="4">
        <v>0</v>
      </c>
      <c r="P711" s="4">
        <v>0</v>
      </c>
      <c r="Q711" s="6">
        <v>0</v>
      </c>
    </row>
    <row r="712" spans="1:17" x14ac:dyDescent="0.25">
      <c r="A712" s="2" t="s">
        <v>504</v>
      </c>
      <c r="B712" s="2" t="s">
        <v>21</v>
      </c>
      <c r="C712" s="2" t="s">
        <v>22</v>
      </c>
      <c r="D712" s="2" t="s">
        <v>758</v>
      </c>
      <c r="E712" s="2" t="s">
        <v>792</v>
      </c>
      <c r="F712" s="2" t="s">
        <v>943</v>
      </c>
      <c r="G712" s="3">
        <v>46093</v>
      </c>
      <c r="H712" s="2" t="s">
        <v>753</v>
      </c>
      <c r="I712" s="2" t="s">
        <v>755</v>
      </c>
      <c r="J712" s="2" t="s">
        <v>754</v>
      </c>
      <c r="K712" s="2" t="s">
        <v>753</v>
      </c>
      <c r="L712" s="6">
        <v>48</v>
      </c>
      <c r="M712" s="2" t="s">
        <v>752</v>
      </c>
      <c r="N712" s="7">
        <v>35</v>
      </c>
      <c r="O712" s="4">
        <v>1680</v>
      </c>
      <c r="P712" s="4">
        <v>1680</v>
      </c>
      <c r="Q712" s="6">
        <v>0</v>
      </c>
    </row>
    <row r="713" spans="1:17" x14ac:dyDescent="0.25">
      <c r="A713" s="2" t="s">
        <v>504</v>
      </c>
      <c r="B713" s="2" t="s">
        <v>21</v>
      </c>
      <c r="C713" s="2" t="s">
        <v>22</v>
      </c>
      <c r="D713" s="2" t="s">
        <v>758</v>
      </c>
      <c r="E713" s="2" t="s">
        <v>788</v>
      </c>
      <c r="F713" s="2" t="s">
        <v>787</v>
      </c>
      <c r="G713" s="3">
        <v>46093</v>
      </c>
      <c r="H713" s="2" t="s">
        <v>753</v>
      </c>
      <c r="I713" s="2" t="s">
        <v>755</v>
      </c>
      <c r="J713" s="2" t="s">
        <v>754</v>
      </c>
      <c r="K713" s="2" t="s">
        <v>753</v>
      </c>
      <c r="L713" s="6">
        <v>84</v>
      </c>
      <c r="M713" s="2" t="s">
        <v>752</v>
      </c>
      <c r="N713" s="7">
        <v>38.299999999999997</v>
      </c>
      <c r="O713" s="4">
        <v>3217.2</v>
      </c>
      <c r="P713" s="4">
        <v>3217.2</v>
      </c>
      <c r="Q713" s="6">
        <v>0</v>
      </c>
    </row>
    <row r="714" spans="1:17" x14ac:dyDescent="0.25">
      <c r="A714" s="2" t="s">
        <v>504</v>
      </c>
      <c r="B714" s="2" t="s">
        <v>21</v>
      </c>
      <c r="C714" s="2" t="s">
        <v>22</v>
      </c>
      <c r="D714" s="2" t="s">
        <v>758</v>
      </c>
      <c r="E714" s="2" t="s">
        <v>786</v>
      </c>
      <c r="F714" s="2" t="s">
        <v>785</v>
      </c>
      <c r="G714" s="3">
        <v>46093</v>
      </c>
      <c r="H714" s="2" t="s">
        <v>753</v>
      </c>
      <c r="I714" s="2" t="s">
        <v>755</v>
      </c>
      <c r="J714" s="2" t="s">
        <v>754</v>
      </c>
      <c r="K714" s="2" t="s">
        <v>753</v>
      </c>
      <c r="L714" s="6">
        <v>140</v>
      </c>
      <c r="M714" s="2" t="s">
        <v>752</v>
      </c>
      <c r="N714" s="7">
        <v>35</v>
      </c>
      <c r="O714" s="4">
        <v>4900</v>
      </c>
      <c r="P714" s="4">
        <v>4900</v>
      </c>
      <c r="Q714" s="6">
        <v>0</v>
      </c>
    </row>
    <row r="715" spans="1:17" x14ac:dyDescent="0.25">
      <c r="A715" s="2" t="s">
        <v>504</v>
      </c>
      <c r="B715" s="2" t="s">
        <v>21</v>
      </c>
      <c r="C715" s="2" t="s">
        <v>22</v>
      </c>
      <c r="D715" s="2" t="s">
        <v>758</v>
      </c>
      <c r="E715" s="2" t="s">
        <v>784</v>
      </c>
      <c r="F715" s="2" t="s">
        <v>783</v>
      </c>
      <c r="G715" s="3">
        <v>46093</v>
      </c>
      <c r="H715" s="2" t="s">
        <v>753</v>
      </c>
      <c r="I715" s="2" t="s">
        <v>755</v>
      </c>
      <c r="J715" s="2" t="s">
        <v>754</v>
      </c>
      <c r="K715" s="2" t="s">
        <v>753</v>
      </c>
      <c r="L715" s="6">
        <v>12</v>
      </c>
      <c r="M715" s="2" t="s">
        <v>752</v>
      </c>
      <c r="N715" s="7">
        <v>38.07</v>
      </c>
      <c r="O715" s="4">
        <v>456.84</v>
      </c>
      <c r="P715" s="4">
        <v>456.84</v>
      </c>
      <c r="Q715" s="6">
        <v>0</v>
      </c>
    </row>
    <row r="716" spans="1:17" x14ac:dyDescent="0.25">
      <c r="A716" s="2" t="s">
        <v>504</v>
      </c>
      <c r="B716" s="2" t="s">
        <v>21</v>
      </c>
      <c r="C716" s="2" t="s">
        <v>22</v>
      </c>
      <c r="D716" s="2" t="s">
        <v>758</v>
      </c>
      <c r="E716" s="2" t="s">
        <v>782</v>
      </c>
      <c r="F716" s="2" t="s">
        <v>781</v>
      </c>
      <c r="G716" s="3">
        <v>46093</v>
      </c>
      <c r="H716" s="2" t="s">
        <v>753</v>
      </c>
      <c r="I716" s="2" t="s">
        <v>755</v>
      </c>
      <c r="J716" s="2" t="s">
        <v>754</v>
      </c>
      <c r="K716" s="2" t="s">
        <v>753</v>
      </c>
      <c r="L716" s="6">
        <v>10</v>
      </c>
      <c r="M716" s="2" t="s">
        <v>752</v>
      </c>
      <c r="N716" s="7">
        <v>36.18</v>
      </c>
      <c r="O716" s="4">
        <v>361.8</v>
      </c>
      <c r="P716" s="4">
        <v>361.8</v>
      </c>
      <c r="Q716" s="6">
        <v>0</v>
      </c>
    </row>
    <row r="717" spans="1:17" x14ac:dyDescent="0.25">
      <c r="A717" s="2" t="s">
        <v>504</v>
      </c>
      <c r="B717" s="2" t="s">
        <v>21</v>
      </c>
      <c r="C717" s="2" t="s">
        <v>22</v>
      </c>
      <c r="D717" s="2" t="s">
        <v>758</v>
      </c>
      <c r="E717" s="2" t="s">
        <v>780</v>
      </c>
      <c r="F717" s="2" t="s">
        <v>779</v>
      </c>
      <c r="G717" s="3">
        <v>46093</v>
      </c>
      <c r="H717" s="2" t="s">
        <v>753</v>
      </c>
      <c r="I717" s="2" t="s">
        <v>755</v>
      </c>
      <c r="J717" s="2" t="s">
        <v>754</v>
      </c>
      <c r="K717" s="2" t="s">
        <v>753</v>
      </c>
      <c r="L717" s="6">
        <v>8</v>
      </c>
      <c r="M717" s="2" t="s">
        <v>752</v>
      </c>
      <c r="N717" s="7">
        <v>36.07</v>
      </c>
      <c r="O717" s="4">
        <v>288.56</v>
      </c>
      <c r="P717" s="4">
        <v>288.56</v>
      </c>
      <c r="Q717" s="6">
        <v>0</v>
      </c>
    </row>
    <row r="718" spans="1:17" x14ac:dyDescent="0.25">
      <c r="A718" s="2" t="s">
        <v>504</v>
      </c>
      <c r="B718" s="2" t="s">
        <v>21</v>
      </c>
      <c r="C718" s="2" t="s">
        <v>22</v>
      </c>
      <c r="D718" s="2" t="s">
        <v>758</v>
      </c>
      <c r="E718" s="2" t="s">
        <v>776</v>
      </c>
      <c r="F718" s="2" t="s">
        <v>775</v>
      </c>
      <c r="G718" s="3">
        <v>46093</v>
      </c>
      <c r="H718" s="2" t="s">
        <v>753</v>
      </c>
      <c r="I718" s="2" t="s">
        <v>755</v>
      </c>
      <c r="J718" s="2" t="s">
        <v>754</v>
      </c>
      <c r="K718" s="2" t="s">
        <v>753</v>
      </c>
      <c r="L718" s="6">
        <v>128</v>
      </c>
      <c r="M718" s="2" t="s">
        <v>752</v>
      </c>
      <c r="N718" s="7">
        <v>43.82</v>
      </c>
      <c r="O718" s="4">
        <v>5608.96</v>
      </c>
      <c r="P718" s="4">
        <v>5608.96</v>
      </c>
      <c r="Q718" s="6">
        <v>0</v>
      </c>
    </row>
    <row r="719" spans="1:17" x14ac:dyDescent="0.25">
      <c r="A719" s="2" t="s">
        <v>504</v>
      </c>
      <c r="B719" s="2" t="s">
        <v>21</v>
      </c>
      <c r="C719" s="2" t="s">
        <v>22</v>
      </c>
      <c r="D719" s="2" t="s">
        <v>758</v>
      </c>
      <c r="E719" s="2" t="s">
        <v>796</v>
      </c>
      <c r="F719" s="2" t="s">
        <v>795</v>
      </c>
      <c r="G719" s="3">
        <v>46093</v>
      </c>
      <c r="H719" s="2" t="s">
        <v>753</v>
      </c>
      <c r="I719" s="2" t="s">
        <v>755</v>
      </c>
      <c r="J719" s="2" t="s">
        <v>754</v>
      </c>
      <c r="K719" s="2" t="s">
        <v>753</v>
      </c>
      <c r="L719" s="6">
        <v>84</v>
      </c>
      <c r="M719" s="2" t="s">
        <v>752</v>
      </c>
      <c r="N719" s="7">
        <v>35.65</v>
      </c>
      <c r="O719" s="4">
        <v>2994.6</v>
      </c>
      <c r="P719" s="4">
        <v>2994.6</v>
      </c>
      <c r="Q719" s="6">
        <v>0</v>
      </c>
    </row>
    <row r="720" spans="1:17" x14ac:dyDescent="0.25">
      <c r="A720" s="2" t="s">
        <v>504</v>
      </c>
      <c r="B720" s="2" t="s">
        <v>21</v>
      </c>
      <c r="C720" s="2" t="s">
        <v>22</v>
      </c>
      <c r="D720" s="2" t="s">
        <v>758</v>
      </c>
      <c r="E720" s="2" t="s">
        <v>798</v>
      </c>
      <c r="F720" s="2" t="s">
        <v>797</v>
      </c>
      <c r="G720" s="3">
        <v>46093</v>
      </c>
      <c r="H720" s="2" t="s">
        <v>753</v>
      </c>
      <c r="I720" s="2" t="s">
        <v>755</v>
      </c>
      <c r="J720" s="2" t="s">
        <v>754</v>
      </c>
      <c r="K720" s="2" t="s">
        <v>753</v>
      </c>
      <c r="L720" s="6">
        <v>56</v>
      </c>
      <c r="M720" s="2" t="s">
        <v>752</v>
      </c>
      <c r="N720" s="7">
        <v>35.65</v>
      </c>
      <c r="O720" s="4">
        <v>1996.4</v>
      </c>
      <c r="P720" s="4">
        <v>1996.4</v>
      </c>
      <c r="Q720" s="6">
        <v>0</v>
      </c>
    </row>
    <row r="721" spans="1:17" x14ac:dyDescent="0.25">
      <c r="A721" s="2" t="s">
        <v>504</v>
      </c>
      <c r="B721" s="2" t="s">
        <v>21</v>
      </c>
      <c r="C721" s="2" t="s">
        <v>22</v>
      </c>
      <c r="D721" s="2" t="s">
        <v>758</v>
      </c>
      <c r="E721" s="2" t="s">
        <v>800</v>
      </c>
      <c r="F721" s="2" t="s">
        <v>799</v>
      </c>
      <c r="G721" s="3">
        <v>46093</v>
      </c>
      <c r="H721" s="2" t="s">
        <v>753</v>
      </c>
      <c r="I721" s="2" t="s">
        <v>755</v>
      </c>
      <c r="J721" s="2" t="s">
        <v>754</v>
      </c>
      <c r="K721" s="2" t="s">
        <v>753</v>
      </c>
      <c r="L721" s="6">
        <v>112</v>
      </c>
      <c r="M721" s="2" t="s">
        <v>752</v>
      </c>
      <c r="N721" s="7">
        <v>34.200000000000003</v>
      </c>
      <c r="O721" s="4">
        <v>3830.4</v>
      </c>
      <c r="P721" s="4">
        <v>3830.4</v>
      </c>
      <c r="Q721" s="6">
        <v>0</v>
      </c>
    </row>
    <row r="722" spans="1:17" x14ac:dyDescent="0.25">
      <c r="A722" s="2" t="s">
        <v>480</v>
      </c>
      <c r="B722" s="2" t="s">
        <v>81</v>
      </c>
      <c r="C722" s="2" t="s">
        <v>82</v>
      </c>
      <c r="D722" s="2" t="s">
        <v>758</v>
      </c>
      <c r="E722" s="2" t="s">
        <v>763</v>
      </c>
      <c r="F722" s="2" t="s">
        <v>762</v>
      </c>
      <c r="G722" s="3">
        <v>46100</v>
      </c>
      <c r="H722" s="2" t="s">
        <v>753</v>
      </c>
      <c r="I722" s="2" t="s">
        <v>755</v>
      </c>
      <c r="J722" s="2" t="s">
        <v>754</v>
      </c>
      <c r="K722" s="2" t="s">
        <v>753</v>
      </c>
      <c r="L722" s="6">
        <v>252</v>
      </c>
      <c r="M722" s="2" t="s">
        <v>752</v>
      </c>
      <c r="N722" s="7">
        <v>46</v>
      </c>
      <c r="O722" s="4">
        <v>11592</v>
      </c>
      <c r="P722" s="4">
        <v>11592</v>
      </c>
      <c r="Q722" s="6">
        <v>0</v>
      </c>
    </row>
    <row r="723" spans="1:17" x14ac:dyDescent="0.25">
      <c r="A723" s="2" t="s">
        <v>498</v>
      </c>
      <c r="B723" s="2" t="s">
        <v>45</v>
      </c>
      <c r="C723" s="2" t="s">
        <v>46</v>
      </c>
      <c r="D723" s="2" t="s">
        <v>758</v>
      </c>
      <c r="E723" s="2" t="s">
        <v>980</v>
      </c>
      <c r="F723" s="2" t="s">
        <v>979</v>
      </c>
      <c r="G723" s="3">
        <v>46097</v>
      </c>
      <c r="H723" s="2" t="s">
        <v>753</v>
      </c>
      <c r="I723" s="2" t="s">
        <v>755</v>
      </c>
      <c r="J723" s="2" t="s">
        <v>754</v>
      </c>
      <c r="K723" s="2" t="s">
        <v>753</v>
      </c>
      <c r="L723" s="6">
        <v>56</v>
      </c>
      <c r="M723" s="2" t="s">
        <v>752</v>
      </c>
      <c r="N723" s="7">
        <v>48.2</v>
      </c>
      <c r="O723" s="4">
        <v>2699.2</v>
      </c>
      <c r="P723" s="4">
        <v>2699.2</v>
      </c>
      <c r="Q723" s="6">
        <v>0</v>
      </c>
    </row>
    <row r="724" spans="1:17" x14ac:dyDescent="0.25">
      <c r="A724" s="2" t="s">
        <v>498</v>
      </c>
      <c r="B724" s="2" t="s">
        <v>45</v>
      </c>
      <c r="C724" s="2" t="s">
        <v>46</v>
      </c>
      <c r="D724" s="2" t="s">
        <v>758</v>
      </c>
      <c r="E724" s="2" t="s">
        <v>757</v>
      </c>
      <c r="F724" s="2" t="s">
        <v>756</v>
      </c>
      <c r="G724" s="3">
        <v>46097</v>
      </c>
      <c r="H724" s="2" t="s">
        <v>753</v>
      </c>
      <c r="I724" s="2" t="s">
        <v>755</v>
      </c>
      <c r="J724" s="2" t="s">
        <v>754</v>
      </c>
      <c r="K724" s="2" t="s">
        <v>753</v>
      </c>
      <c r="L724" s="6">
        <v>112</v>
      </c>
      <c r="M724" s="2" t="s">
        <v>752</v>
      </c>
      <c r="N724" s="7">
        <v>44</v>
      </c>
      <c r="O724" s="4">
        <v>4928</v>
      </c>
      <c r="P724" s="4">
        <v>4928</v>
      </c>
      <c r="Q724" s="6">
        <v>0</v>
      </c>
    </row>
    <row r="725" spans="1:17" x14ac:dyDescent="0.25">
      <c r="A725" s="2" t="s">
        <v>498</v>
      </c>
      <c r="B725" s="2" t="s">
        <v>45</v>
      </c>
      <c r="C725" s="2" t="s">
        <v>46</v>
      </c>
      <c r="D725" s="2" t="s">
        <v>758</v>
      </c>
      <c r="E725" s="2" t="s">
        <v>849</v>
      </c>
      <c r="F725" s="2" t="s">
        <v>848</v>
      </c>
      <c r="G725" s="3">
        <v>46097</v>
      </c>
      <c r="H725" s="2" t="s">
        <v>753</v>
      </c>
      <c r="I725" s="2" t="s">
        <v>755</v>
      </c>
      <c r="J725" s="2" t="s">
        <v>754</v>
      </c>
      <c r="K725" s="2" t="s">
        <v>753</v>
      </c>
      <c r="L725" s="6">
        <v>56</v>
      </c>
      <c r="M725" s="2" t="s">
        <v>752</v>
      </c>
      <c r="N725" s="7">
        <v>38</v>
      </c>
      <c r="O725" s="4">
        <v>2128</v>
      </c>
      <c r="P725" s="4">
        <v>2128</v>
      </c>
      <c r="Q725" s="6">
        <v>0</v>
      </c>
    </row>
    <row r="726" spans="1:17" x14ac:dyDescent="0.25">
      <c r="A726" s="2" t="s">
        <v>498</v>
      </c>
      <c r="B726" s="2" t="s">
        <v>45</v>
      </c>
      <c r="C726" s="2" t="s">
        <v>46</v>
      </c>
      <c r="D726" s="2" t="s">
        <v>758</v>
      </c>
      <c r="E726" s="2" t="s">
        <v>817</v>
      </c>
      <c r="F726" s="2" t="s">
        <v>937</v>
      </c>
      <c r="G726" s="3">
        <v>46097</v>
      </c>
      <c r="H726" s="2" t="s">
        <v>753</v>
      </c>
      <c r="I726" s="2" t="s">
        <v>755</v>
      </c>
      <c r="J726" s="2" t="s">
        <v>754</v>
      </c>
      <c r="K726" s="2" t="s">
        <v>753</v>
      </c>
      <c r="L726" s="6">
        <v>56</v>
      </c>
      <c r="M726" s="2" t="s">
        <v>752</v>
      </c>
      <c r="N726" s="7">
        <v>36</v>
      </c>
      <c r="O726" s="4">
        <v>2016</v>
      </c>
      <c r="P726" s="4">
        <v>2016</v>
      </c>
      <c r="Q726" s="6">
        <v>0</v>
      </c>
    </row>
    <row r="727" spans="1:17" x14ac:dyDescent="0.25">
      <c r="A727" s="2" t="s">
        <v>498</v>
      </c>
      <c r="B727" s="2" t="s">
        <v>45</v>
      </c>
      <c r="C727" s="2" t="s">
        <v>46</v>
      </c>
      <c r="D727" s="2" t="s">
        <v>758</v>
      </c>
      <c r="E727" s="2" t="s">
        <v>786</v>
      </c>
      <c r="F727" s="2" t="s">
        <v>785</v>
      </c>
      <c r="G727" s="3">
        <v>46097</v>
      </c>
      <c r="H727" s="2" t="s">
        <v>753</v>
      </c>
      <c r="I727" s="2" t="s">
        <v>755</v>
      </c>
      <c r="J727" s="2" t="s">
        <v>754</v>
      </c>
      <c r="K727" s="2" t="s">
        <v>753</v>
      </c>
      <c r="L727" s="6">
        <v>28</v>
      </c>
      <c r="M727" s="2" t="s">
        <v>752</v>
      </c>
      <c r="N727" s="7">
        <v>35</v>
      </c>
      <c r="O727" s="4">
        <v>980</v>
      </c>
      <c r="P727" s="4">
        <v>980</v>
      </c>
      <c r="Q727" s="6">
        <v>0</v>
      </c>
    </row>
    <row r="728" spans="1:17" x14ac:dyDescent="0.25">
      <c r="A728" s="2" t="s">
        <v>498</v>
      </c>
      <c r="B728" s="2" t="s">
        <v>45</v>
      </c>
      <c r="C728" s="2" t="s">
        <v>46</v>
      </c>
      <c r="D728" s="2" t="s">
        <v>758</v>
      </c>
      <c r="E728" s="2" t="s">
        <v>772</v>
      </c>
      <c r="F728" s="2" t="s">
        <v>771</v>
      </c>
      <c r="G728" s="3">
        <v>46097</v>
      </c>
      <c r="H728" s="2" t="s">
        <v>753</v>
      </c>
      <c r="I728" s="2" t="s">
        <v>755</v>
      </c>
      <c r="J728" s="2" t="s">
        <v>754</v>
      </c>
      <c r="K728" s="2" t="s">
        <v>753</v>
      </c>
      <c r="L728" s="6">
        <v>84</v>
      </c>
      <c r="M728" s="2" t="s">
        <v>752</v>
      </c>
      <c r="N728" s="7">
        <v>34.5</v>
      </c>
      <c r="O728" s="4">
        <v>2898</v>
      </c>
      <c r="P728" s="4">
        <v>2898</v>
      </c>
      <c r="Q728" s="6">
        <v>0</v>
      </c>
    </row>
    <row r="729" spans="1:17" x14ac:dyDescent="0.25">
      <c r="A729" s="2" t="s">
        <v>498</v>
      </c>
      <c r="B729" s="2" t="s">
        <v>45</v>
      </c>
      <c r="C729" s="2" t="s">
        <v>46</v>
      </c>
      <c r="D729" s="2" t="s">
        <v>758</v>
      </c>
      <c r="E729" s="2" t="s">
        <v>776</v>
      </c>
      <c r="F729" s="2" t="s">
        <v>775</v>
      </c>
      <c r="G729" s="3">
        <v>46097</v>
      </c>
      <c r="H729" s="2" t="s">
        <v>753</v>
      </c>
      <c r="I729" s="2" t="s">
        <v>755</v>
      </c>
      <c r="J729" s="2" t="s">
        <v>754</v>
      </c>
      <c r="K729" s="2" t="s">
        <v>753</v>
      </c>
      <c r="L729" s="6">
        <v>84</v>
      </c>
      <c r="M729" s="2" t="s">
        <v>752</v>
      </c>
      <c r="N729" s="7">
        <v>41.12</v>
      </c>
      <c r="O729" s="4">
        <v>3454.08</v>
      </c>
      <c r="P729" s="4">
        <v>3454.08</v>
      </c>
      <c r="Q729" s="6">
        <v>0</v>
      </c>
    </row>
    <row r="730" spans="1:17" x14ac:dyDescent="0.25">
      <c r="A730" s="2" t="s">
        <v>498</v>
      </c>
      <c r="B730" s="2" t="s">
        <v>45</v>
      </c>
      <c r="C730" s="2" t="s">
        <v>46</v>
      </c>
      <c r="D730" s="2" t="s">
        <v>758</v>
      </c>
      <c r="E730" s="2" t="s">
        <v>950</v>
      </c>
      <c r="F730" s="2" t="s">
        <v>949</v>
      </c>
      <c r="G730" s="3">
        <v>46097</v>
      </c>
      <c r="H730" s="2" t="s">
        <v>753</v>
      </c>
      <c r="I730" s="2" t="s">
        <v>755</v>
      </c>
      <c r="J730" s="2" t="s">
        <v>754</v>
      </c>
      <c r="K730" s="2" t="s">
        <v>753</v>
      </c>
      <c r="L730" s="6">
        <v>28</v>
      </c>
      <c r="M730" s="2" t="s">
        <v>752</v>
      </c>
      <c r="N730" s="7">
        <v>47</v>
      </c>
      <c r="O730" s="4">
        <v>1316</v>
      </c>
      <c r="P730" s="4">
        <v>1316</v>
      </c>
      <c r="Q730" s="6">
        <v>0</v>
      </c>
    </row>
    <row r="731" spans="1:17" x14ac:dyDescent="0.25">
      <c r="A731" s="2" t="s">
        <v>498</v>
      </c>
      <c r="B731" s="2" t="s">
        <v>45</v>
      </c>
      <c r="C731" s="2" t="s">
        <v>46</v>
      </c>
      <c r="D731" s="2" t="s">
        <v>758</v>
      </c>
      <c r="E731" s="2" t="s">
        <v>763</v>
      </c>
      <c r="F731" s="2" t="s">
        <v>762</v>
      </c>
      <c r="G731" s="3">
        <v>46097</v>
      </c>
      <c r="H731" s="2" t="s">
        <v>753</v>
      </c>
      <c r="I731" s="2" t="s">
        <v>755</v>
      </c>
      <c r="J731" s="2" t="s">
        <v>754</v>
      </c>
      <c r="K731" s="2" t="s">
        <v>753</v>
      </c>
      <c r="L731" s="6">
        <v>196</v>
      </c>
      <c r="M731" s="2" t="s">
        <v>752</v>
      </c>
      <c r="N731" s="7">
        <v>42.6</v>
      </c>
      <c r="O731" s="4">
        <v>8349.6</v>
      </c>
      <c r="P731" s="4">
        <v>8349.6</v>
      </c>
      <c r="Q731" s="6">
        <v>0</v>
      </c>
    </row>
    <row r="732" spans="1:17" x14ac:dyDescent="0.25">
      <c r="A732" s="2" t="s">
        <v>498</v>
      </c>
      <c r="B732" s="2" t="s">
        <v>45</v>
      </c>
      <c r="C732" s="2" t="s">
        <v>46</v>
      </c>
      <c r="D732" s="2" t="s">
        <v>758</v>
      </c>
      <c r="E732" s="2" t="s">
        <v>827</v>
      </c>
      <c r="F732" s="2" t="s">
        <v>826</v>
      </c>
      <c r="G732" s="3">
        <v>46097</v>
      </c>
      <c r="H732" s="2" t="s">
        <v>753</v>
      </c>
      <c r="I732" s="2" t="s">
        <v>755</v>
      </c>
      <c r="J732" s="2" t="s">
        <v>754</v>
      </c>
      <c r="K732" s="2" t="s">
        <v>753</v>
      </c>
      <c r="L732" s="6">
        <v>28</v>
      </c>
      <c r="M732" s="2" t="s">
        <v>752</v>
      </c>
      <c r="N732" s="7">
        <v>44</v>
      </c>
      <c r="O732" s="4">
        <v>1232</v>
      </c>
      <c r="P732" s="4">
        <v>1232</v>
      </c>
      <c r="Q732" s="6">
        <v>0</v>
      </c>
    </row>
    <row r="733" spans="1:17" x14ac:dyDescent="0.25">
      <c r="A733" s="2" t="s">
        <v>496</v>
      </c>
      <c r="B733" s="2" t="s">
        <v>195</v>
      </c>
      <c r="C733" s="2" t="s">
        <v>196</v>
      </c>
      <c r="D733" s="2" t="s">
        <v>758</v>
      </c>
      <c r="E733" s="2" t="s">
        <v>942</v>
      </c>
      <c r="F733" s="2" t="s">
        <v>941</v>
      </c>
      <c r="G733" s="3">
        <v>46097</v>
      </c>
      <c r="H733" s="2" t="s">
        <v>753</v>
      </c>
      <c r="I733" s="2" t="s">
        <v>755</v>
      </c>
      <c r="J733" s="2" t="s">
        <v>754</v>
      </c>
      <c r="K733" s="2" t="s">
        <v>753</v>
      </c>
      <c r="L733" s="6">
        <v>36</v>
      </c>
      <c r="M733" s="2" t="s">
        <v>752</v>
      </c>
      <c r="N733" s="7">
        <v>46.38</v>
      </c>
      <c r="O733" s="4">
        <v>1669.68</v>
      </c>
      <c r="P733" s="4">
        <v>1669.68</v>
      </c>
      <c r="Q733" s="6">
        <v>0</v>
      </c>
    </row>
    <row r="734" spans="1:17" x14ac:dyDescent="0.25">
      <c r="A734" s="2" t="s">
        <v>496</v>
      </c>
      <c r="B734" s="2" t="s">
        <v>195</v>
      </c>
      <c r="C734" s="2" t="s">
        <v>196</v>
      </c>
      <c r="D734" s="2" t="s">
        <v>758</v>
      </c>
      <c r="E734" s="2" t="s">
        <v>869</v>
      </c>
      <c r="F734" s="2" t="s">
        <v>868</v>
      </c>
      <c r="G734" s="3">
        <v>46097</v>
      </c>
      <c r="H734" s="2" t="s">
        <v>753</v>
      </c>
      <c r="I734" s="2" t="s">
        <v>755</v>
      </c>
      <c r="J734" s="2" t="s">
        <v>754</v>
      </c>
      <c r="K734" s="2" t="s">
        <v>753</v>
      </c>
      <c r="L734" s="6">
        <v>60</v>
      </c>
      <c r="M734" s="2" t="s">
        <v>752</v>
      </c>
      <c r="N734" s="7">
        <v>51.38</v>
      </c>
      <c r="O734" s="4">
        <v>3082.8</v>
      </c>
      <c r="P734" s="4">
        <v>3082.8</v>
      </c>
      <c r="Q734" s="6">
        <v>0</v>
      </c>
    </row>
    <row r="735" spans="1:17" x14ac:dyDescent="0.25">
      <c r="A735" s="2" t="s">
        <v>496</v>
      </c>
      <c r="B735" s="2" t="s">
        <v>195</v>
      </c>
      <c r="C735" s="2" t="s">
        <v>196</v>
      </c>
      <c r="D735" s="2" t="s">
        <v>758</v>
      </c>
      <c r="E735" s="2" t="s">
        <v>831</v>
      </c>
      <c r="F735" s="2" t="s">
        <v>830</v>
      </c>
      <c r="G735" s="3">
        <v>46097</v>
      </c>
      <c r="H735" s="2" t="s">
        <v>753</v>
      </c>
      <c r="I735" s="2" t="s">
        <v>755</v>
      </c>
      <c r="J735" s="2" t="s">
        <v>754</v>
      </c>
      <c r="K735" s="2" t="s">
        <v>753</v>
      </c>
      <c r="L735" s="6">
        <v>24</v>
      </c>
      <c r="M735" s="2" t="s">
        <v>752</v>
      </c>
      <c r="N735" s="7">
        <v>54.38</v>
      </c>
      <c r="O735" s="4">
        <v>1305.1199999999999</v>
      </c>
      <c r="P735" s="4">
        <v>1305.1199999999999</v>
      </c>
      <c r="Q735" s="6">
        <v>0</v>
      </c>
    </row>
    <row r="736" spans="1:17" x14ac:dyDescent="0.25">
      <c r="A736" s="2" t="s">
        <v>496</v>
      </c>
      <c r="B736" s="2" t="s">
        <v>195</v>
      </c>
      <c r="C736" s="2" t="s">
        <v>196</v>
      </c>
      <c r="D736" s="2" t="s">
        <v>758</v>
      </c>
      <c r="E736" s="2" t="s">
        <v>929</v>
      </c>
      <c r="F736" s="2" t="s">
        <v>928</v>
      </c>
      <c r="G736" s="3">
        <v>46097</v>
      </c>
      <c r="H736" s="2" t="s">
        <v>753</v>
      </c>
      <c r="I736" s="2" t="s">
        <v>755</v>
      </c>
      <c r="J736" s="2" t="s">
        <v>754</v>
      </c>
      <c r="K736" s="2" t="s">
        <v>753</v>
      </c>
      <c r="L736" s="6">
        <v>275</v>
      </c>
      <c r="M736" s="2" t="s">
        <v>752</v>
      </c>
      <c r="N736" s="7">
        <v>61.02</v>
      </c>
      <c r="O736" s="4">
        <v>16780.5</v>
      </c>
      <c r="P736" s="4">
        <v>16780.5</v>
      </c>
      <c r="Q736" s="6">
        <v>0</v>
      </c>
    </row>
    <row r="737" spans="1:17" x14ac:dyDescent="0.25">
      <c r="A737" s="2" t="s">
        <v>496</v>
      </c>
      <c r="B737" s="2" t="s">
        <v>195</v>
      </c>
      <c r="C737" s="2" t="s">
        <v>196</v>
      </c>
      <c r="D737" s="2" t="s">
        <v>758</v>
      </c>
      <c r="E737" s="2" t="s">
        <v>829</v>
      </c>
      <c r="F737" s="2" t="s">
        <v>828</v>
      </c>
      <c r="G737" s="3">
        <v>46097</v>
      </c>
      <c r="H737" s="2" t="s">
        <v>753</v>
      </c>
      <c r="I737" s="2" t="s">
        <v>755</v>
      </c>
      <c r="J737" s="2" t="s">
        <v>754</v>
      </c>
      <c r="K737" s="2" t="s">
        <v>753</v>
      </c>
      <c r="L737" s="6">
        <v>60</v>
      </c>
      <c r="M737" s="2" t="s">
        <v>752</v>
      </c>
      <c r="N737" s="7">
        <v>28.5</v>
      </c>
      <c r="O737" s="4">
        <v>1710</v>
      </c>
      <c r="P737" s="4">
        <v>1710</v>
      </c>
      <c r="Q737" s="6">
        <v>0</v>
      </c>
    </row>
    <row r="738" spans="1:17" x14ac:dyDescent="0.25">
      <c r="A738" s="2" t="s">
        <v>472</v>
      </c>
      <c r="B738" s="2" t="s">
        <v>181</v>
      </c>
      <c r="C738" s="2" t="s">
        <v>182</v>
      </c>
      <c r="D738" s="2" t="s">
        <v>758</v>
      </c>
      <c r="E738" s="2" t="s">
        <v>871</v>
      </c>
      <c r="F738" s="2" t="s">
        <v>870</v>
      </c>
      <c r="G738" s="3">
        <v>46104</v>
      </c>
      <c r="H738" s="2" t="s">
        <v>753</v>
      </c>
      <c r="I738" s="2" t="s">
        <v>755</v>
      </c>
      <c r="J738" s="2" t="s">
        <v>754</v>
      </c>
      <c r="K738" s="2" t="s">
        <v>753</v>
      </c>
      <c r="L738" s="6">
        <v>112</v>
      </c>
      <c r="M738" s="2" t="s">
        <v>752</v>
      </c>
      <c r="N738" s="7">
        <v>37.659999999999997</v>
      </c>
      <c r="O738" s="4">
        <v>4217.92</v>
      </c>
      <c r="P738" s="4">
        <v>4217.92</v>
      </c>
      <c r="Q738" s="6">
        <v>0</v>
      </c>
    </row>
    <row r="739" spans="1:17" x14ac:dyDescent="0.25">
      <c r="A739" s="2" t="s">
        <v>472</v>
      </c>
      <c r="B739" s="2" t="s">
        <v>181</v>
      </c>
      <c r="C739" s="2" t="s">
        <v>182</v>
      </c>
      <c r="D739" s="2" t="s">
        <v>758</v>
      </c>
      <c r="E739" s="2" t="s">
        <v>918</v>
      </c>
      <c r="F739" s="2" t="s">
        <v>917</v>
      </c>
      <c r="G739" s="3">
        <v>46104</v>
      </c>
      <c r="H739" s="2" t="s">
        <v>753</v>
      </c>
      <c r="I739" s="2" t="s">
        <v>755</v>
      </c>
      <c r="J739" s="2" t="s">
        <v>754</v>
      </c>
      <c r="K739" s="2" t="s">
        <v>753</v>
      </c>
      <c r="L739" s="6">
        <v>8</v>
      </c>
      <c r="M739" s="2" t="s">
        <v>752</v>
      </c>
      <c r="N739" s="7">
        <v>42.53</v>
      </c>
      <c r="O739" s="4">
        <v>340.24</v>
      </c>
      <c r="P739" s="4">
        <v>340.24</v>
      </c>
      <c r="Q739" s="6">
        <v>0</v>
      </c>
    </row>
    <row r="740" spans="1:17" x14ac:dyDescent="0.25">
      <c r="A740" s="2" t="s">
        <v>472</v>
      </c>
      <c r="B740" s="2" t="s">
        <v>181</v>
      </c>
      <c r="C740" s="2" t="s">
        <v>182</v>
      </c>
      <c r="D740" s="2" t="s">
        <v>758</v>
      </c>
      <c r="E740" s="2" t="s">
        <v>778</v>
      </c>
      <c r="F740" s="2" t="s">
        <v>777</v>
      </c>
      <c r="G740" s="3">
        <v>46104</v>
      </c>
      <c r="H740" s="2" t="s">
        <v>753</v>
      </c>
      <c r="I740" s="2" t="s">
        <v>755</v>
      </c>
      <c r="J740" s="2" t="s">
        <v>754</v>
      </c>
      <c r="K740" s="2" t="s">
        <v>753</v>
      </c>
      <c r="L740" s="6">
        <v>20</v>
      </c>
      <c r="M740" s="2" t="s">
        <v>752</v>
      </c>
      <c r="N740" s="7">
        <v>39.96</v>
      </c>
      <c r="O740" s="4">
        <v>799.2</v>
      </c>
      <c r="P740" s="4">
        <v>799.2</v>
      </c>
      <c r="Q740" s="6">
        <v>0</v>
      </c>
    </row>
    <row r="741" spans="1:17" x14ac:dyDescent="0.25">
      <c r="A741" s="2" t="s">
        <v>472</v>
      </c>
      <c r="B741" s="2" t="s">
        <v>181</v>
      </c>
      <c r="C741" s="2" t="s">
        <v>182</v>
      </c>
      <c r="D741" s="2" t="s">
        <v>758</v>
      </c>
      <c r="E741" s="2" t="s">
        <v>794</v>
      </c>
      <c r="F741" s="2" t="s">
        <v>793</v>
      </c>
      <c r="G741" s="3">
        <v>46104</v>
      </c>
      <c r="H741" s="2" t="s">
        <v>753</v>
      </c>
      <c r="I741" s="2" t="s">
        <v>755</v>
      </c>
      <c r="J741" s="2" t="s">
        <v>754</v>
      </c>
      <c r="K741" s="2" t="s">
        <v>753</v>
      </c>
      <c r="L741" s="6">
        <v>144</v>
      </c>
      <c r="M741" s="2" t="s">
        <v>752</v>
      </c>
      <c r="N741" s="7">
        <v>40</v>
      </c>
      <c r="O741" s="4">
        <v>5760</v>
      </c>
      <c r="P741" s="4">
        <v>5760</v>
      </c>
      <c r="Q741" s="6">
        <v>0</v>
      </c>
    </row>
    <row r="742" spans="1:17" x14ac:dyDescent="0.25">
      <c r="A742" s="2" t="s">
        <v>472</v>
      </c>
      <c r="B742" s="2" t="s">
        <v>181</v>
      </c>
      <c r="C742" s="2" t="s">
        <v>182</v>
      </c>
      <c r="D742" s="2" t="s">
        <v>758</v>
      </c>
      <c r="E742" s="2" t="s">
        <v>894</v>
      </c>
      <c r="F742" s="2" t="s">
        <v>893</v>
      </c>
      <c r="G742" s="3">
        <v>46104</v>
      </c>
      <c r="H742" s="2" t="s">
        <v>753</v>
      </c>
      <c r="I742" s="2" t="s">
        <v>755</v>
      </c>
      <c r="J742" s="2" t="s">
        <v>754</v>
      </c>
      <c r="K742" s="2" t="s">
        <v>753</v>
      </c>
      <c r="L742" s="6">
        <v>28</v>
      </c>
      <c r="M742" s="2" t="s">
        <v>752</v>
      </c>
      <c r="N742" s="7">
        <v>32.5</v>
      </c>
      <c r="O742" s="4">
        <v>910</v>
      </c>
      <c r="P742" s="4">
        <v>910</v>
      </c>
      <c r="Q742" s="6">
        <v>0</v>
      </c>
    </row>
    <row r="743" spans="1:17" x14ac:dyDescent="0.25">
      <c r="A743" s="2" t="s">
        <v>472</v>
      </c>
      <c r="B743" s="2" t="s">
        <v>181</v>
      </c>
      <c r="C743" s="2" t="s">
        <v>182</v>
      </c>
      <c r="D743" s="2" t="s">
        <v>758</v>
      </c>
      <c r="E743" s="2" t="s">
        <v>879</v>
      </c>
      <c r="F743" s="2" t="s">
        <v>878</v>
      </c>
      <c r="G743" s="3">
        <v>46104</v>
      </c>
      <c r="H743" s="2" t="s">
        <v>753</v>
      </c>
      <c r="I743" s="2" t="s">
        <v>755</v>
      </c>
      <c r="J743" s="2" t="s">
        <v>754</v>
      </c>
      <c r="K743" s="2" t="s">
        <v>753</v>
      </c>
      <c r="L743" s="6">
        <v>56</v>
      </c>
      <c r="M743" s="2" t="s">
        <v>752</v>
      </c>
      <c r="N743" s="7">
        <v>39</v>
      </c>
      <c r="O743" s="4">
        <v>2184</v>
      </c>
      <c r="P743" s="4">
        <v>2184</v>
      </c>
      <c r="Q743" s="6">
        <v>0</v>
      </c>
    </row>
    <row r="744" spans="1:17" x14ac:dyDescent="0.25">
      <c r="A744" s="2" t="s">
        <v>472</v>
      </c>
      <c r="B744" s="2" t="s">
        <v>181</v>
      </c>
      <c r="C744" s="2" t="s">
        <v>182</v>
      </c>
      <c r="D744" s="2" t="s">
        <v>758</v>
      </c>
      <c r="E744" s="2" t="s">
        <v>763</v>
      </c>
      <c r="F744" s="2" t="s">
        <v>762</v>
      </c>
      <c r="G744" s="3">
        <v>46104</v>
      </c>
      <c r="H744" s="2" t="s">
        <v>753</v>
      </c>
      <c r="I744" s="2" t="s">
        <v>755</v>
      </c>
      <c r="J744" s="2" t="s">
        <v>754</v>
      </c>
      <c r="K744" s="2" t="s">
        <v>753</v>
      </c>
      <c r="L744" s="6">
        <v>168</v>
      </c>
      <c r="M744" s="2" t="s">
        <v>752</v>
      </c>
      <c r="N744" s="7">
        <v>44</v>
      </c>
      <c r="O744" s="4">
        <v>7392</v>
      </c>
      <c r="P744" s="4">
        <v>7392</v>
      </c>
      <c r="Q744" s="6">
        <v>0</v>
      </c>
    </row>
    <row r="745" spans="1:17" x14ac:dyDescent="0.25">
      <c r="A745" s="2" t="s">
        <v>472</v>
      </c>
      <c r="B745" s="2" t="s">
        <v>181</v>
      </c>
      <c r="C745" s="2" t="s">
        <v>182</v>
      </c>
      <c r="D745" s="2" t="s">
        <v>758</v>
      </c>
      <c r="E745" s="2" t="s">
        <v>847</v>
      </c>
      <c r="F745" s="2" t="s">
        <v>846</v>
      </c>
      <c r="G745" s="3">
        <v>46104</v>
      </c>
      <c r="H745" s="2" t="s">
        <v>753</v>
      </c>
      <c r="I745" s="2" t="s">
        <v>755</v>
      </c>
      <c r="J745" s="2" t="s">
        <v>754</v>
      </c>
      <c r="K745" s="2" t="s">
        <v>753</v>
      </c>
      <c r="L745" s="6">
        <v>140</v>
      </c>
      <c r="M745" s="2" t="s">
        <v>752</v>
      </c>
      <c r="N745" s="7">
        <v>39</v>
      </c>
      <c r="O745" s="4">
        <v>5460</v>
      </c>
      <c r="P745" s="4">
        <v>5460</v>
      </c>
      <c r="Q745" s="6">
        <v>0</v>
      </c>
    </row>
    <row r="746" spans="1:17" x14ac:dyDescent="0.25">
      <c r="A746" s="2" t="s">
        <v>490</v>
      </c>
      <c r="B746" s="2" t="s">
        <v>41</v>
      </c>
      <c r="C746" s="2" t="s">
        <v>42</v>
      </c>
      <c r="D746" s="2" t="s">
        <v>758</v>
      </c>
      <c r="E746" s="2" t="s">
        <v>881</v>
      </c>
      <c r="F746" s="2" t="s">
        <v>880</v>
      </c>
      <c r="G746" s="3">
        <v>46098</v>
      </c>
      <c r="H746" s="2" t="s">
        <v>753</v>
      </c>
      <c r="I746" s="2" t="s">
        <v>755</v>
      </c>
      <c r="J746" s="2" t="s">
        <v>754</v>
      </c>
      <c r="K746" s="2" t="s">
        <v>753</v>
      </c>
      <c r="L746" s="6">
        <v>24</v>
      </c>
      <c r="M746" s="2" t="s">
        <v>752</v>
      </c>
      <c r="N746" s="7">
        <v>40.1</v>
      </c>
      <c r="O746" s="4">
        <v>962.4</v>
      </c>
      <c r="P746" s="4">
        <v>962.4</v>
      </c>
      <c r="Q746" s="6">
        <v>0</v>
      </c>
    </row>
    <row r="747" spans="1:17" x14ac:dyDescent="0.25">
      <c r="A747" s="2" t="s">
        <v>490</v>
      </c>
      <c r="B747" s="2" t="s">
        <v>41</v>
      </c>
      <c r="C747" s="2" t="s">
        <v>42</v>
      </c>
      <c r="D747" s="2" t="s">
        <v>758</v>
      </c>
      <c r="E747" s="2" t="s">
        <v>920</v>
      </c>
      <c r="F747" s="2" t="s">
        <v>919</v>
      </c>
      <c r="G747" s="3">
        <v>46098</v>
      </c>
      <c r="H747" s="2" t="s">
        <v>753</v>
      </c>
      <c r="I747" s="2" t="s">
        <v>755</v>
      </c>
      <c r="J747" s="2" t="s">
        <v>754</v>
      </c>
      <c r="K747" s="2" t="s">
        <v>753</v>
      </c>
      <c r="L747" s="6">
        <v>24</v>
      </c>
      <c r="M747" s="2" t="s">
        <v>752</v>
      </c>
      <c r="N747" s="7">
        <v>28.88</v>
      </c>
      <c r="O747" s="4">
        <v>693.12</v>
      </c>
      <c r="P747" s="4">
        <v>693.12</v>
      </c>
      <c r="Q747" s="6">
        <v>0</v>
      </c>
    </row>
    <row r="748" spans="1:17" x14ac:dyDescent="0.25">
      <c r="A748" s="2" t="s">
        <v>490</v>
      </c>
      <c r="B748" s="2" t="s">
        <v>41</v>
      </c>
      <c r="C748" s="2" t="s">
        <v>42</v>
      </c>
      <c r="D748" s="2" t="s">
        <v>758</v>
      </c>
      <c r="E748" s="2" t="s">
        <v>875</v>
      </c>
      <c r="F748" s="2" t="s">
        <v>874</v>
      </c>
      <c r="G748" s="3">
        <v>46098</v>
      </c>
      <c r="H748" s="2" t="s">
        <v>753</v>
      </c>
      <c r="I748" s="2" t="s">
        <v>755</v>
      </c>
      <c r="J748" s="2" t="s">
        <v>754</v>
      </c>
      <c r="K748" s="2" t="s">
        <v>753</v>
      </c>
      <c r="L748" s="6">
        <v>128</v>
      </c>
      <c r="M748" s="2" t="s">
        <v>752</v>
      </c>
      <c r="N748" s="7">
        <v>32.89</v>
      </c>
      <c r="O748" s="4">
        <v>4209.92</v>
      </c>
      <c r="P748" s="4">
        <v>4209.92</v>
      </c>
      <c r="Q748" s="6">
        <v>0</v>
      </c>
    </row>
    <row r="749" spans="1:17" x14ac:dyDescent="0.25">
      <c r="A749" s="2" t="s">
        <v>490</v>
      </c>
      <c r="B749" s="2" t="s">
        <v>41</v>
      </c>
      <c r="C749" s="2" t="s">
        <v>42</v>
      </c>
      <c r="D749" s="2" t="s">
        <v>758</v>
      </c>
      <c r="E749" s="2" t="s">
        <v>794</v>
      </c>
      <c r="F749" s="2" t="s">
        <v>793</v>
      </c>
      <c r="G749" s="3">
        <v>46098</v>
      </c>
      <c r="H749" s="2" t="s">
        <v>753</v>
      </c>
      <c r="I749" s="2" t="s">
        <v>755</v>
      </c>
      <c r="J749" s="2" t="s">
        <v>754</v>
      </c>
      <c r="K749" s="2" t="s">
        <v>753</v>
      </c>
      <c r="L749" s="6">
        <v>48</v>
      </c>
      <c r="M749" s="2" t="s">
        <v>752</v>
      </c>
      <c r="N749" s="7">
        <v>28.49</v>
      </c>
      <c r="O749" s="4">
        <v>1367.52</v>
      </c>
      <c r="P749" s="4">
        <v>1367.52</v>
      </c>
      <c r="Q749" s="6">
        <v>0</v>
      </c>
    </row>
    <row r="750" spans="1:17" x14ac:dyDescent="0.25">
      <c r="A750" s="2" t="s">
        <v>490</v>
      </c>
      <c r="B750" s="2" t="s">
        <v>41</v>
      </c>
      <c r="C750" s="2" t="s">
        <v>42</v>
      </c>
      <c r="D750" s="2" t="s">
        <v>758</v>
      </c>
      <c r="E750" s="2" t="s">
        <v>845</v>
      </c>
      <c r="F750" s="2" t="s">
        <v>844</v>
      </c>
      <c r="G750" s="3">
        <v>46098</v>
      </c>
      <c r="H750" s="2" t="s">
        <v>753</v>
      </c>
      <c r="I750" s="2" t="s">
        <v>755</v>
      </c>
      <c r="J750" s="2" t="s">
        <v>754</v>
      </c>
      <c r="K750" s="2" t="s">
        <v>753</v>
      </c>
      <c r="L750" s="6">
        <v>84</v>
      </c>
      <c r="M750" s="2" t="s">
        <v>752</v>
      </c>
      <c r="N750" s="7">
        <v>28.49</v>
      </c>
      <c r="O750" s="4">
        <v>2393.16</v>
      </c>
      <c r="P750" s="4">
        <v>2393.16</v>
      </c>
      <c r="Q750" s="6">
        <v>0</v>
      </c>
    </row>
    <row r="751" spans="1:17" x14ac:dyDescent="0.25">
      <c r="A751" s="2" t="s">
        <v>490</v>
      </c>
      <c r="B751" s="2" t="s">
        <v>41</v>
      </c>
      <c r="C751" s="2" t="s">
        <v>42</v>
      </c>
      <c r="D751" s="2" t="s">
        <v>758</v>
      </c>
      <c r="E751" s="2" t="s">
        <v>843</v>
      </c>
      <c r="F751" s="2" t="s">
        <v>842</v>
      </c>
      <c r="G751" s="3">
        <v>46098</v>
      </c>
      <c r="H751" s="2" t="s">
        <v>753</v>
      </c>
      <c r="I751" s="2" t="s">
        <v>755</v>
      </c>
      <c r="J751" s="2" t="s">
        <v>754</v>
      </c>
      <c r="K751" s="2" t="s">
        <v>753</v>
      </c>
      <c r="L751" s="6">
        <v>64</v>
      </c>
      <c r="M751" s="2" t="s">
        <v>752</v>
      </c>
      <c r="N751" s="7">
        <v>28.49</v>
      </c>
      <c r="O751" s="4">
        <v>1823.36</v>
      </c>
      <c r="P751" s="4">
        <v>1823.36</v>
      </c>
      <c r="Q751" s="6">
        <v>0</v>
      </c>
    </row>
    <row r="752" spans="1:17" x14ac:dyDescent="0.25">
      <c r="A752" s="2" t="s">
        <v>490</v>
      </c>
      <c r="B752" s="2" t="s">
        <v>41</v>
      </c>
      <c r="C752" s="2" t="s">
        <v>42</v>
      </c>
      <c r="D752" s="2" t="s">
        <v>758</v>
      </c>
      <c r="E752" s="2" t="s">
        <v>786</v>
      </c>
      <c r="F752" s="2" t="s">
        <v>785</v>
      </c>
      <c r="G752" s="3">
        <v>46098</v>
      </c>
      <c r="H752" s="2" t="s">
        <v>753</v>
      </c>
      <c r="I752" s="2" t="s">
        <v>755</v>
      </c>
      <c r="J752" s="2" t="s">
        <v>754</v>
      </c>
      <c r="K752" s="2" t="s">
        <v>753</v>
      </c>
      <c r="L752" s="6">
        <v>168</v>
      </c>
      <c r="M752" s="2" t="s">
        <v>752</v>
      </c>
      <c r="N752" s="7">
        <v>25.25</v>
      </c>
      <c r="O752" s="4">
        <v>4242</v>
      </c>
      <c r="P752" s="4">
        <v>4242</v>
      </c>
      <c r="Q752" s="6">
        <v>0</v>
      </c>
    </row>
    <row r="753" spans="1:17" x14ac:dyDescent="0.25">
      <c r="A753" s="2" t="s">
        <v>490</v>
      </c>
      <c r="B753" s="2" t="s">
        <v>41</v>
      </c>
      <c r="C753" s="2" t="s">
        <v>42</v>
      </c>
      <c r="D753" s="2" t="s">
        <v>758</v>
      </c>
      <c r="E753" s="2" t="s">
        <v>817</v>
      </c>
      <c r="F753" s="2" t="s">
        <v>937</v>
      </c>
      <c r="G753" s="3">
        <v>46098</v>
      </c>
      <c r="H753" s="2" t="s">
        <v>753</v>
      </c>
      <c r="I753" s="2" t="s">
        <v>755</v>
      </c>
      <c r="J753" s="2" t="s">
        <v>754</v>
      </c>
      <c r="K753" s="2" t="s">
        <v>753</v>
      </c>
      <c r="L753" s="6">
        <v>48</v>
      </c>
      <c r="M753" s="2" t="s">
        <v>752</v>
      </c>
      <c r="N753" s="7">
        <v>28.88</v>
      </c>
      <c r="O753" s="4">
        <v>1386.24</v>
      </c>
      <c r="P753" s="4">
        <v>1386.24</v>
      </c>
      <c r="Q753" s="6">
        <v>0</v>
      </c>
    </row>
    <row r="754" spans="1:17" x14ac:dyDescent="0.25">
      <c r="A754" s="2" t="s">
        <v>490</v>
      </c>
      <c r="B754" s="2" t="s">
        <v>41</v>
      </c>
      <c r="C754" s="2" t="s">
        <v>42</v>
      </c>
      <c r="D754" s="2" t="s">
        <v>758</v>
      </c>
      <c r="E754" s="2" t="s">
        <v>839</v>
      </c>
      <c r="F754" s="2" t="s">
        <v>838</v>
      </c>
      <c r="G754" s="3">
        <v>46098</v>
      </c>
      <c r="H754" s="2" t="s">
        <v>753</v>
      </c>
      <c r="I754" s="2" t="s">
        <v>755</v>
      </c>
      <c r="J754" s="2" t="s">
        <v>754</v>
      </c>
      <c r="K754" s="2" t="s">
        <v>753</v>
      </c>
      <c r="L754" s="6">
        <v>32</v>
      </c>
      <c r="M754" s="2" t="s">
        <v>752</v>
      </c>
      <c r="N754" s="7">
        <v>36.630000000000003</v>
      </c>
      <c r="O754" s="4">
        <v>1172.1600000000001</v>
      </c>
      <c r="P754" s="4">
        <v>1172.1600000000001</v>
      </c>
      <c r="Q754" s="6">
        <v>0</v>
      </c>
    </row>
    <row r="755" spans="1:17" x14ac:dyDescent="0.25">
      <c r="A755" s="2" t="s">
        <v>490</v>
      </c>
      <c r="B755" s="2" t="s">
        <v>41</v>
      </c>
      <c r="C755" s="2" t="s">
        <v>42</v>
      </c>
      <c r="D755" s="2" t="s">
        <v>758</v>
      </c>
      <c r="E755" s="2" t="s">
        <v>776</v>
      </c>
      <c r="F755" s="2" t="s">
        <v>775</v>
      </c>
      <c r="G755" s="3">
        <v>46098</v>
      </c>
      <c r="H755" s="2" t="s">
        <v>753</v>
      </c>
      <c r="I755" s="2" t="s">
        <v>755</v>
      </c>
      <c r="J755" s="2" t="s">
        <v>754</v>
      </c>
      <c r="K755" s="2" t="s">
        <v>753</v>
      </c>
      <c r="L755" s="6">
        <v>72</v>
      </c>
      <c r="M755" s="2" t="s">
        <v>752</v>
      </c>
      <c r="N755" s="7">
        <v>37.950000000000003</v>
      </c>
      <c r="O755" s="4">
        <v>2732.4</v>
      </c>
      <c r="P755" s="4">
        <v>2732.4</v>
      </c>
      <c r="Q755" s="6">
        <v>0</v>
      </c>
    </row>
    <row r="756" spans="1:17" x14ac:dyDescent="0.25">
      <c r="A756" s="2" t="s">
        <v>490</v>
      </c>
      <c r="B756" s="2" t="s">
        <v>41</v>
      </c>
      <c r="C756" s="2" t="s">
        <v>42</v>
      </c>
      <c r="D756" s="2" t="s">
        <v>758</v>
      </c>
      <c r="E756" s="2" t="s">
        <v>961</v>
      </c>
      <c r="F756" s="2" t="s">
        <v>960</v>
      </c>
      <c r="G756" s="3">
        <v>46098</v>
      </c>
      <c r="H756" s="2" t="s">
        <v>753</v>
      </c>
      <c r="I756" s="2" t="s">
        <v>755</v>
      </c>
      <c r="J756" s="2" t="s">
        <v>754</v>
      </c>
      <c r="K756" s="2" t="s">
        <v>753</v>
      </c>
      <c r="L756" s="6">
        <v>32</v>
      </c>
      <c r="M756" s="2" t="s">
        <v>752</v>
      </c>
      <c r="N756" s="7">
        <v>43.34</v>
      </c>
      <c r="O756" s="4">
        <v>1386.88</v>
      </c>
      <c r="P756" s="4">
        <v>1386.88</v>
      </c>
      <c r="Q756" s="6">
        <v>0</v>
      </c>
    </row>
    <row r="757" spans="1:17" x14ac:dyDescent="0.25">
      <c r="A757" s="2" t="s">
        <v>490</v>
      </c>
      <c r="B757" s="2" t="s">
        <v>41</v>
      </c>
      <c r="C757" s="2" t="s">
        <v>42</v>
      </c>
      <c r="D757" s="2" t="s">
        <v>758</v>
      </c>
      <c r="E757" s="2" t="s">
        <v>763</v>
      </c>
      <c r="F757" s="2" t="s">
        <v>762</v>
      </c>
      <c r="G757" s="3">
        <v>46098</v>
      </c>
      <c r="H757" s="2" t="s">
        <v>753</v>
      </c>
      <c r="I757" s="2" t="s">
        <v>755</v>
      </c>
      <c r="J757" s="2" t="s">
        <v>754</v>
      </c>
      <c r="K757" s="2" t="s">
        <v>753</v>
      </c>
      <c r="L757" s="6">
        <v>112</v>
      </c>
      <c r="M757" s="2" t="s">
        <v>752</v>
      </c>
      <c r="N757" s="7">
        <v>40.43</v>
      </c>
      <c r="O757" s="4">
        <v>4528.16</v>
      </c>
      <c r="P757" s="4">
        <v>4528.16</v>
      </c>
      <c r="Q757" s="6">
        <v>0</v>
      </c>
    </row>
    <row r="758" spans="1:17" x14ac:dyDescent="0.25">
      <c r="A758" s="2" t="s">
        <v>488</v>
      </c>
      <c r="B758" s="2" t="s">
        <v>99</v>
      </c>
      <c r="C758" s="2" t="s">
        <v>100</v>
      </c>
      <c r="D758" s="2" t="s">
        <v>758</v>
      </c>
      <c r="E758" s="2" t="s">
        <v>863</v>
      </c>
      <c r="F758" s="2" t="s">
        <v>862</v>
      </c>
      <c r="G758" s="3">
        <v>46098</v>
      </c>
      <c r="H758" s="2" t="s">
        <v>770</v>
      </c>
      <c r="I758" s="2" t="s">
        <v>755</v>
      </c>
      <c r="J758" s="2" t="s">
        <v>754</v>
      </c>
      <c r="K758" s="2" t="s">
        <v>753</v>
      </c>
      <c r="L758" s="6">
        <v>96</v>
      </c>
      <c r="M758" s="2" t="s">
        <v>752</v>
      </c>
      <c r="N758" s="7">
        <v>33.299999999999997</v>
      </c>
      <c r="O758" s="4">
        <v>3196.8</v>
      </c>
      <c r="P758" s="4">
        <v>3196.8</v>
      </c>
      <c r="Q758" s="6">
        <v>0</v>
      </c>
    </row>
    <row r="759" spans="1:17" x14ac:dyDescent="0.25">
      <c r="A759" s="2" t="s">
        <v>488</v>
      </c>
      <c r="B759" s="2" t="s">
        <v>99</v>
      </c>
      <c r="C759" s="2" t="s">
        <v>100</v>
      </c>
      <c r="D759" s="2" t="s">
        <v>758</v>
      </c>
      <c r="E759" s="2" t="s">
        <v>861</v>
      </c>
      <c r="F759" s="2" t="s">
        <v>860</v>
      </c>
      <c r="G759" s="3">
        <v>46098</v>
      </c>
      <c r="H759" s="2" t="s">
        <v>770</v>
      </c>
      <c r="I759" s="2" t="s">
        <v>755</v>
      </c>
      <c r="J759" s="2" t="s">
        <v>754</v>
      </c>
      <c r="K759" s="2" t="s">
        <v>753</v>
      </c>
      <c r="L759" s="6">
        <v>112</v>
      </c>
      <c r="M759" s="2" t="s">
        <v>752</v>
      </c>
      <c r="N759" s="7">
        <v>39.700000000000003</v>
      </c>
      <c r="O759" s="4">
        <v>4446.3999999999996</v>
      </c>
      <c r="P759" s="4">
        <v>4446.3999999999996</v>
      </c>
      <c r="Q759" s="6">
        <v>0</v>
      </c>
    </row>
    <row r="760" spans="1:17" x14ac:dyDescent="0.25">
      <c r="A760" s="2" t="s">
        <v>488</v>
      </c>
      <c r="B760" s="2" t="s">
        <v>99</v>
      </c>
      <c r="C760" s="2" t="s">
        <v>100</v>
      </c>
      <c r="D760" s="2" t="s">
        <v>758</v>
      </c>
      <c r="E760" s="2" t="s">
        <v>757</v>
      </c>
      <c r="F760" s="2" t="s">
        <v>756</v>
      </c>
      <c r="G760" s="3">
        <v>46098</v>
      </c>
      <c r="H760" s="2" t="s">
        <v>770</v>
      </c>
      <c r="I760" s="2" t="s">
        <v>755</v>
      </c>
      <c r="J760" s="2" t="s">
        <v>754</v>
      </c>
      <c r="K760" s="2" t="s">
        <v>753</v>
      </c>
      <c r="L760" s="6">
        <v>640</v>
      </c>
      <c r="M760" s="2" t="s">
        <v>752</v>
      </c>
      <c r="N760" s="7">
        <v>39.700000000000003</v>
      </c>
      <c r="O760" s="4">
        <v>25408</v>
      </c>
      <c r="P760" s="4">
        <v>25408</v>
      </c>
      <c r="Q760" s="6">
        <v>0</v>
      </c>
    </row>
    <row r="761" spans="1:17" x14ac:dyDescent="0.25">
      <c r="A761" s="2" t="s">
        <v>470</v>
      </c>
      <c r="B761" s="2" t="s">
        <v>95</v>
      </c>
      <c r="C761" s="2" t="s">
        <v>96</v>
      </c>
      <c r="D761" s="2" t="s">
        <v>758</v>
      </c>
      <c r="E761" s="2" t="s">
        <v>871</v>
      </c>
      <c r="F761" s="2" t="s">
        <v>870</v>
      </c>
      <c r="G761" s="3">
        <v>46104</v>
      </c>
      <c r="H761" s="2" t="s">
        <v>753</v>
      </c>
      <c r="I761" s="2" t="s">
        <v>755</v>
      </c>
      <c r="J761" s="2" t="s">
        <v>754</v>
      </c>
      <c r="K761" s="2" t="s">
        <v>753</v>
      </c>
      <c r="L761" s="6">
        <v>600</v>
      </c>
      <c r="M761" s="2" t="s">
        <v>752</v>
      </c>
      <c r="N761" s="7">
        <v>41.66</v>
      </c>
      <c r="O761" s="4">
        <v>24996</v>
      </c>
      <c r="P761" s="4">
        <v>24996</v>
      </c>
      <c r="Q761" s="6">
        <v>0</v>
      </c>
    </row>
    <row r="762" spans="1:17" x14ac:dyDescent="0.25">
      <c r="A762" s="2" t="s">
        <v>470</v>
      </c>
      <c r="B762" s="2" t="s">
        <v>95</v>
      </c>
      <c r="C762" s="2" t="s">
        <v>96</v>
      </c>
      <c r="D762" s="2" t="s">
        <v>758</v>
      </c>
      <c r="E762" s="2" t="s">
        <v>918</v>
      </c>
      <c r="F762" s="2" t="s">
        <v>917</v>
      </c>
      <c r="G762" s="3">
        <v>46104</v>
      </c>
      <c r="H762" s="2" t="s">
        <v>753</v>
      </c>
      <c r="I762" s="2" t="s">
        <v>755</v>
      </c>
      <c r="J762" s="2" t="s">
        <v>754</v>
      </c>
      <c r="K762" s="2" t="s">
        <v>753</v>
      </c>
      <c r="L762" s="6">
        <v>32</v>
      </c>
      <c r="M762" s="2" t="s">
        <v>752</v>
      </c>
      <c r="N762" s="7">
        <v>42.53</v>
      </c>
      <c r="O762" s="4">
        <v>1360.96</v>
      </c>
      <c r="P762" s="4">
        <v>1360.96</v>
      </c>
      <c r="Q762" s="6">
        <v>0</v>
      </c>
    </row>
    <row r="763" spans="1:17" x14ac:dyDescent="0.25">
      <c r="A763" s="2" t="s">
        <v>470</v>
      </c>
      <c r="B763" s="2" t="s">
        <v>95</v>
      </c>
      <c r="C763" s="2" t="s">
        <v>96</v>
      </c>
      <c r="D763" s="2" t="s">
        <v>758</v>
      </c>
      <c r="E763" s="2" t="s">
        <v>778</v>
      </c>
      <c r="F763" s="2" t="s">
        <v>777</v>
      </c>
      <c r="G763" s="3">
        <v>46104</v>
      </c>
      <c r="H763" s="2" t="s">
        <v>753</v>
      </c>
      <c r="I763" s="2" t="s">
        <v>755</v>
      </c>
      <c r="J763" s="2" t="s">
        <v>754</v>
      </c>
      <c r="K763" s="2" t="s">
        <v>753</v>
      </c>
      <c r="L763" s="6">
        <v>32</v>
      </c>
      <c r="M763" s="2" t="s">
        <v>752</v>
      </c>
      <c r="N763" s="7">
        <v>39.96</v>
      </c>
      <c r="O763" s="4">
        <v>1278.72</v>
      </c>
      <c r="P763" s="4">
        <v>1278.72</v>
      </c>
      <c r="Q763" s="6">
        <v>0</v>
      </c>
    </row>
    <row r="764" spans="1:17" x14ac:dyDescent="0.25">
      <c r="A764" s="2" t="s">
        <v>470</v>
      </c>
      <c r="B764" s="2" t="s">
        <v>95</v>
      </c>
      <c r="C764" s="2" t="s">
        <v>96</v>
      </c>
      <c r="D764" s="2" t="s">
        <v>758</v>
      </c>
      <c r="E764" s="2" t="s">
        <v>894</v>
      </c>
      <c r="F764" s="2" t="s">
        <v>893</v>
      </c>
      <c r="G764" s="3">
        <v>46104</v>
      </c>
      <c r="H764" s="2" t="s">
        <v>753</v>
      </c>
      <c r="I764" s="2" t="s">
        <v>755</v>
      </c>
      <c r="J764" s="2" t="s">
        <v>754</v>
      </c>
      <c r="K764" s="2" t="s">
        <v>753</v>
      </c>
      <c r="L764" s="6">
        <v>32</v>
      </c>
      <c r="M764" s="2" t="s">
        <v>752</v>
      </c>
      <c r="N764" s="7">
        <v>33.5</v>
      </c>
      <c r="O764" s="4">
        <v>1072</v>
      </c>
      <c r="P764" s="4">
        <v>1072</v>
      </c>
      <c r="Q764" s="6">
        <v>0</v>
      </c>
    </row>
    <row r="765" spans="1:17" x14ac:dyDescent="0.25">
      <c r="A765" s="2" t="s">
        <v>978</v>
      </c>
      <c r="B765" s="2" t="s">
        <v>760</v>
      </c>
      <c r="C765" s="2" t="s">
        <v>759</v>
      </c>
      <c r="D765" s="2" t="s">
        <v>758</v>
      </c>
      <c r="E765" s="2" t="s">
        <v>790</v>
      </c>
      <c r="F765" s="2" t="s">
        <v>789</v>
      </c>
      <c r="G765" s="3">
        <v>46085</v>
      </c>
      <c r="H765" s="2" t="s">
        <v>753</v>
      </c>
      <c r="I765" s="2" t="s">
        <v>755</v>
      </c>
      <c r="J765" s="2" t="s">
        <v>754</v>
      </c>
      <c r="K765" s="2" t="s">
        <v>753</v>
      </c>
      <c r="L765" s="6">
        <v>4</v>
      </c>
      <c r="M765" s="2" t="s">
        <v>752</v>
      </c>
      <c r="N765" s="7">
        <v>0</v>
      </c>
      <c r="O765" s="4">
        <v>0</v>
      </c>
      <c r="P765" s="4">
        <v>0</v>
      </c>
      <c r="Q765" s="6">
        <v>0</v>
      </c>
    </row>
    <row r="766" spans="1:17" x14ac:dyDescent="0.25">
      <c r="A766" s="2" t="s">
        <v>978</v>
      </c>
      <c r="B766" s="2" t="s">
        <v>760</v>
      </c>
      <c r="C766" s="2" t="s">
        <v>759</v>
      </c>
      <c r="D766" s="2" t="s">
        <v>758</v>
      </c>
      <c r="E766" s="2" t="s">
        <v>757</v>
      </c>
      <c r="F766" s="2" t="s">
        <v>756</v>
      </c>
      <c r="G766" s="3">
        <v>46085</v>
      </c>
      <c r="H766" s="2" t="s">
        <v>753</v>
      </c>
      <c r="I766" s="2" t="s">
        <v>755</v>
      </c>
      <c r="J766" s="2" t="s">
        <v>754</v>
      </c>
      <c r="K766" s="2" t="s">
        <v>753</v>
      </c>
      <c r="L766" s="6">
        <v>6</v>
      </c>
      <c r="M766" s="2" t="s">
        <v>752</v>
      </c>
      <c r="N766" s="7">
        <v>0</v>
      </c>
      <c r="O766" s="4">
        <v>0</v>
      </c>
      <c r="P766" s="4">
        <v>0</v>
      </c>
      <c r="Q766" s="6">
        <v>0</v>
      </c>
    </row>
    <row r="767" spans="1:17" x14ac:dyDescent="0.25">
      <c r="A767" s="2" t="s">
        <v>482</v>
      </c>
      <c r="B767" s="2" t="s">
        <v>25</v>
      </c>
      <c r="C767" s="2" t="s">
        <v>26</v>
      </c>
      <c r="D767" s="2" t="s">
        <v>758</v>
      </c>
      <c r="E767" s="2" t="s">
        <v>786</v>
      </c>
      <c r="F767" s="2" t="s">
        <v>785</v>
      </c>
      <c r="G767" s="3">
        <v>46099</v>
      </c>
      <c r="H767" s="2" t="s">
        <v>753</v>
      </c>
      <c r="I767" s="2" t="s">
        <v>755</v>
      </c>
      <c r="J767" s="2" t="s">
        <v>754</v>
      </c>
      <c r="K767" s="2" t="s">
        <v>753</v>
      </c>
      <c r="L767" s="6">
        <v>4</v>
      </c>
      <c r="M767" s="2" t="s">
        <v>752</v>
      </c>
      <c r="N767" s="7">
        <v>39</v>
      </c>
      <c r="O767" s="4">
        <v>156</v>
      </c>
      <c r="P767" s="4">
        <v>156</v>
      </c>
      <c r="Q767" s="6">
        <v>0</v>
      </c>
    </row>
    <row r="768" spans="1:17" x14ac:dyDescent="0.25">
      <c r="A768" s="2" t="s">
        <v>482</v>
      </c>
      <c r="B768" s="2" t="s">
        <v>25</v>
      </c>
      <c r="C768" s="2" t="s">
        <v>26</v>
      </c>
      <c r="D768" s="2" t="s">
        <v>758</v>
      </c>
      <c r="E768" s="2" t="s">
        <v>829</v>
      </c>
      <c r="F768" s="2" t="s">
        <v>828</v>
      </c>
      <c r="G768" s="3">
        <v>46099</v>
      </c>
      <c r="H768" s="2" t="s">
        <v>753</v>
      </c>
      <c r="I768" s="2" t="s">
        <v>755</v>
      </c>
      <c r="J768" s="2" t="s">
        <v>754</v>
      </c>
      <c r="K768" s="2" t="s">
        <v>753</v>
      </c>
      <c r="L768" s="6">
        <v>4</v>
      </c>
      <c r="M768" s="2" t="s">
        <v>752</v>
      </c>
      <c r="N768" s="7">
        <v>40</v>
      </c>
      <c r="O768" s="4">
        <v>160</v>
      </c>
      <c r="P768" s="4">
        <v>160</v>
      </c>
      <c r="Q768" s="6">
        <v>0</v>
      </c>
    </row>
    <row r="769" spans="1:17" x14ac:dyDescent="0.25">
      <c r="A769" s="2" t="s">
        <v>482</v>
      </c>
      <c r="B769" s="2" t="s">
        <v>25</v>
      </c>
      <c r="C769" s="2" t="s">
        <v>26</v>
      </c>
      <c r="D769" s="2" t="s">
        <v>758</v>
      </c>
      <c r="E769" s="2" t="s">
        <v>827</v>
      </c>
      <c r="F769" s="2" t="s">
        <v>826</v>
      </c>
      <c r="G769" s="3">
        <v>46099</v>
      </c>
      <c r="H769" s="2" t="s">
        <v>753</v>
      </c>
      <c r="I769" s="2" t="s">
        <v>755</v>
      </c>
      <c r="J769" s="2" t="s">
        <v>754</v>
      </c>
      <c r="K769" s="2" t="s">
        <v>753</v>
      </c>
      <c r="L769" s="6">
        <v>20</v>
      </c>
      <c r="M769" s="2" t="s">
        <v>752</v>
      </c>
      <c r="N769" s="7">
        <v>41.85</v>
      </c>
      <c r="O769" s="4">
        <v>837</v>
      </c>
      <c r="P769" s="4">
        <v>837</v>
      </c>
      <c r="Q769" s="6">
        <v>0</v>
      </c>
    </row>
    <row r="770" spans="1:17" x14ac:dyDescent="0.25">
      <c r="A770" s="2" t="s">
        <v>482</v>
      </c>
      <c r="B770" s="2" t="s">
        <v>25</v>
      </c>
      <c r="C770" s="2" t="s">
        <v>26</v>
      </c>
      <c r="D770" s="2" t="s">
        <v>758</v>
      </c>
      <c r="E770" s="2" t="s">
        <v>825</v>
      </c>
      <c r="F770" s="2" t="s">
        <v>824</v>
      </c>
      <c r="G770" s="3">
        <v>46099</v>
      </c>
      <c r="H770" s="2" t="s">
        <v>753</v>
      </c>
      <c r="I770" s="2" t="s">
        <v>755</v>
      </c>
      <c r="J770" s="2" t="s">
        <v>754</v>
      </c>
      <c r="K770" s="2" t="s">
        <v>753</v>
      </c>
      <c r="L770" s="6">
        <v>4</v>
      </c>
      <c r="M770" s="2" t="s">
        <v>752</v>
      </c>
      <c r="N770" s="7">
        <v>47.2</v>
      </c>
      <c r="O770" s="4">
        <v>188.8</v>
      </c>
      <c r="P770" s="4">
        <v>188.8</v>
      </c>
      <c r="Q770" s="6">
        <v>0</v>
      </c>
    </row>
    <row r="771" spans="1:17" x14ac:dyDescent="0.25">
      <c r="A771" s="2" t="s">
        <v>482</v>
      </c>
      <c r="B771" s="2" t="s">
        <v>25</v>
      </c>
      <c r="C771" s="2" t="s">
        <v>26</v>
      </c>
      <c r="D771" s="2" t="s">
        <v>758</v>
      </c>
      <c r="E771" s="2" t="s">
        <v>823</v>
      </c>
      <c r="F771" s="2" t="s">
        <v>822</v>
      </c>
      <c r="G771" s="3">
        <v>46099</v>
      </c>
      <c r="H771" s="2" t="s">
        <v>753</v>
      </c>
      <c r="I771" s="2" t="s">
        <v>755</v>
      </c>
      <c r="J771" s="2" t="s">
        <v>754</v>
      </c>
      <c r="K771" s="2" t="s">
        <v>753</v>
      </c>
      <c r="L771" s="6">
        <v>48</v>
      </c>
      <c r="M771" s="2" t="s">
        <v>752</v>
      </c>
      <c r="N771" s="7">
        <v>52</v>
      </c>
      <c r="O771" s="4">
        <v>2496</v>
      </c>
      <c r="P771" s="4">
        <v>2496</v>
      </c>
      <c r="Q771" s="6">
        <v>0</v>
      </c>
    </row>
    <row r="772" spans="1:17" x14ac:dyDescent="0.25">
      <c r="A772" s="2" t="s">
        <v>482</v>
      </c>
      <c r="B772" s="2" t="s">
        <v>25</v>
      </c>
      <c r="C772" s="2" t="s">
        <v>26</v>
      </c>
      <c r="D772" s="2" t="s">
        <v>758</v>
      </c>
      <c r="E772" s="2" t="s">
        <v>763</v>
      </c>
      <c r="F772" s="2" t="s">
        <v>762</v>
      </c>
      <c r="G772" s="3">
        <v>46099</v>
      </c>
      <c r="H772" s="2" t="s">
        <v>753</v>
      </c>
      <c r="I772" s="2" t="s">
        <v>755</v>
      </c>
      <c r="J772" s="2" t="s">
        <v>754</v>
      </c>
      <c r="K772" s="2" t="s">
        <v>753</v>
      </c>
      <c r="L772" s="6">
        <v>140</v>
      </c>
      <c r="M772" s="2" t="s">
        <v>752</v>
      </c>
      <c r="N772" s="7">
        <v>43.5</v>
      </c>
      <c r="O772" s="4">
        <v>6090</v>
      </c>
      <c r="P772" s="4">
        <v>6090</v>
      </c>
      <c r="Q772" s="6">
        <v>0</v>
      </c>
    </row>
    <row r="773" spans="1:17" x14ac:dyDescent="0.25">
      <c r="A773" s="2" t="s">
        <v>482</v>
      </c>
      <c r="B773" s="2" t="s">
        <v>25</v>
      </c>
      <c r="C773" s="2" t="s">
        <v>26</v>
      </c>
      <c r="D773" s="2" t="s">
        <v>758</v>
      </c>
      <c r="E773" s="2" t="s">
        <v>821</v>
      </c>
      <c r="F773" s="2" t="s">
        <v>820</v>
      </c>
      <c r="G773" s="3">
        <v>46099</v>
      </c>
      <c r="H773" s="2" t="s">
        <v>753</v>
      </c>
      <c r="I773" s="2" t="s">
        <v>755</v>
      </c>
      <c r="J773" s="2" t="s">
        <v>754</v>
      </c>
      <c r="K773" s="2" t="s">
        <v>753</v>
      </c>
      <c r="L773" s="6">
        <v>8</v>
      </c>
      <c r="M773" s="2" t="s">
        <v>752</v>
      </c>
      <c r="N773" s="7">
        <v>52</v>
      </c>
      <c r="O773" s="4">
        <v>416</v>
      </c>
      <c r="P773" s="4">
        <v>416</v>
      </c>
      <c r="Q773" s="6">
        <v>0</v>
      </c>
    </row>
    <row r="774" spans="1:17" x14ac:dyDescent="0.25">
      <c r="A774" s="2" t="s">
        <v>482</v>
      </c>
      <c r="B774" s="2" t="s">
        <v>25</v>
      </c>
      <c r="C774" s="2" t="s">
        <v>26</v>
      </c>
      <c r="D774" s="2" t="s">
        <v>758</v>
      </c>
      <c r="E774" s="2" t="s">
        <v>819</v>
      </c>
      <c r="F774" s="2" t="s">
        <v>818</v>
      </c>
      <c r="G774" s="3">
        <v>46099</v>
      </c>
      <c r="H774" s="2" t="s">
        <v>753</v>
      </c>
      <c r="I774" s="2" t="s">
        <v>755</v>
      </c>
      <c r="J774" s="2" t="s">
        <v>754</v>
      </c>
      <c r="K774" s="2" t="s">
        <v>753</v>
      </c>
      <c r="L774" s="6">
        <v>16</v>
      </c>
      <c r="M774" s="2" t="s">
        <v>752</v>
      </c>
      <c r="N774" s="7">
        <v>38.25</v>
      </c>
      <c r="O774" s="4">
        <v>612</v>
      </c>
      <c r="P774" s="4">
        <v>612</v>
      </c>
      <c r="Q774" s="6">
        <v>0</v>
      </c>
    </row>
    <row r="775" spans="1:17" x14ac:dyDescent="0.25">
      <c r="A775" s="2" t="s">
        <v>482</v>
      </c>
      <c r="B775" s="2" t="s">
        <v>25</v>
      </c>
      <c r="C775" s="2" t="s">
        <v>26</v>
      </c>
      <c r="D775" s="2" t="s">
        <v>758</v>
      </c>
      <c r="E775" s="2" t="s">
        <v>855</v>
      </c>
      <c r="F775" s="2" t="s">
        <v>854</v>
      </c>
      <c r="G775" s="3">
        <v>46099</v>
      </c>
      <c r="H775" s="2" t="s">
        <v>753</v>
      </c>
      <c r="I775" s="2" t="s">
        <v>755</v>
      </c>
      <c r="J775" s="2" t="s">
        <v>754</v>
      </c>
      <c r="K775" s="2" t="s">
        <v>753</v>
      </c>
      <c r="L775" s="6">
        <v>20</v>
      </c>
      <c r="M775" s="2" t="s">
        <v>752</v>
      </c>
      <c r="N775" s="7">
        <v>65</v>
      </c>
      <c r="O775" s="4">
        <v>1300</v>
      </c>
      <c r="P775" s="4">
        <v>1300</v>
      </c>
      <c r="Q775" s="6">
        <v>0</v>
      </c>
    </row>
    <row r="776" spans="1:17" x14ac:dyDescent="0.25">
      <c r="A776" s="2" t="s">
        <v>478</v>
      </c>
      <c r="B776" s="2" t="s">
        <v>29</v>
      </c>
      <c r="C776" s="2" t="s">
        <v>30</v>
      </c>
      <c r="D776" s="2" t="s">
        <v>758</v>
      </c>
      <c r="E776" s="2" t="s">
        <v>817</v>
      </c>
      <c r="F776" s="2" t="s">
        <v>937</v>
      </c>
      <c r="G776" s="3">
        <v>46100</v>
      </c>
      <c r="H776" s="2" t="s">
        <v>753</v>
      </c>
      <c r="I776" s="2" t="s">
        <v>755</v>
      </c>
      <c r="J776" s="2" t="s">
        <v>754</v>
      </c>
      <c r="K776" s="2" t="s">
        <v>753</v>
      </c>
      <c r="L776" s="6">
        <v>56</v>
      </c>
      <c r="M776" s="2" t="s">
        <v>752</v>
      </c>
      <c r="N776" s="7">
        <v>31.42</v>
      </c>
      <c r="O776" s="4">
        <v>1759.52</v>
      </c>
      <c r="P776" s="4">
        <v>1759.52</v>
      </c>
      <c r="Q776" s="6">
        <v>0</v>
      </c>
    </row>
    <row r="777" spans="1:17" x14ac:dyDescent="0.25">
      <c r="A777" s="2" t="s">
        <v>478</v>
      </c>
      <c r="B777" s="2" t="s">
        <v>29</v>
      </c>
      <c r="C777" s="2" t="s">
        <v>30</v>
      </c>
      <c r="D777" s="2" t="s">
        <v>758</v>
      </c>
      <c r="E777" s="2" t="s">
        <v>815</v>
      </c>
      <c r="F777" s="2" t="s">
        <v>814</v>
      </c>
      <c r="G777" s="3">
        <v>46100</v>
      </c>
      <c r="H777" s="2" t="s">
        <v>753</v>
      </c>
      <c r="I777" s="2" t="s">
        <v>755</v>
      </c>
      <c r="J777" s="2" t="s">
        <v>754</v>
      </c>
      <c r="K777" s="2" t="s">
        <v>753</v>
      </c>
      <c r="L777" s="6">
        <v>112</v>
      </c>
      <c r="M777" s="2" t="s">
        <v>752</v>
      </c>
      <c r="N777" s="7">
        <v>34</v>
      </c>
      <c r="O777" s="4">
        <v>3808</v>
      </c>
      <c r="P777" s="4">
        <v>3808</v>
      </c>
      <c r="Q777" s="6">
        <v>0</v>
      </c>
    </row>
    <row r="778" spans="1:17" x14ac:dyDescent="0.25">
      <c r="A778" s="2" t="s">
        <v>478</v>
      </c>
      <c r="B778" s="2" t="s">
        <v>29</v>
      </c>
      <c r="C778" s="2" t="s">
        <v>30</v>
      </c>
      <c r="D778" s="2" t="s">
        <v>758</v>
      </c>
      <c r="E778" s="2" t="s">
        <v>813</v>
      </c>
      <c r="F778" s="2" t="s">
        <v>812</v>
      </c>
      <c r="G778" s="3">
        <v>46100</v>
      </c>
      <c r="H778" s="2" t="s">
        <v>753</v>
      </c>
      <c r="I778" s="2" t="s">
        <v>755</v>
      </c>
      <c r="J778" s="2" t="s">
        <v>754</v>
      </c>
      <c r="K778" s="2" t="s">
        <v>753</v>
      </c>
      <c r="L778" s="6">
        <v>36</v>
      </c>
      <c r="M778" s="2" t="s">
        <v>752</v>
      </c>
      <c r="N778" s="7">
        <v>43.26</v>
      </c>
      <c r="O778" s="4">
        <v>1557.36</v>
      </c>
      <c r="P778" s="4">
        <v>1557.36</v>
      </c>
      <c r="Q778" s="6">
        <v>0</v>
      </c>
    </row>
    <row r="779" spans="1:17" x14ac:dyDescent="0.25">
      <c r="A779" s="2" t="s">
        <v>478</v>
      </c>
      <c r="B779" s="2" t="s">
        <v>29</v>
      </c>
      <c r="C779" s="2" t="s">
        <v>30</v>
      </c>
      <c r="D779" s="2" t="s">
        <v>758</v>
      </c>
      <c r="E779" s="2" t="s">
        <v>763</v>
      </c>
      <c r="F779" s="2" t="s">
        <v>762</v>
      </c>
      <c r="G779" s="3">
        <v>46100</v>
      </c>
      <c r="H779" s="2" t="s">
        <v>753</v>
      </c>
      <c r="I779" s="2" t="s">
        <v>755</v>
      </c>
      <c r="J779" s="2" t="s">
        <v>754</v>
      </c>
      <c r="K779" s="2" t="s">
        <v>753</v>
      </c>
      <c r="L779" s="6">
        <v>84</v>
      </c>
      <c r="M779" s="2" t="s">
        <v>752</v>
      </c>
      <c r="N779" s="7">
        <v>43.36</v>
      </c>
      <c r="O779" s="4">
        <v>3642.24</v>
      </c>
      <c r="P779" s="4">
        <v>3642.24</v>
      </c>
      <c r="Q779" s="6">
        <v>0</v>
      </c>
    </row>
    <row r="780" spans="1:17" x14ac:dyDescent="0.25">
      <c r="A780" s="2" t="s">
        <v>478</v>
      </c>
      <c r="B780" s="2" t="s">
        <v>29</v>
      </c>
      <c r="C780" s="2" t="s">
        <v>30</v>
      </c>
      <c r="D780" s="2" t="s">
        <v>758</v>
      </c>
      <c r="E780" s="2" t="s">
        <v>807</v>
      </c>
      <c r="F780" s="2" t="s">
        <v>806</v>
      </c>
      <c r="G780" s="3">
        <v>46100</v>
      </c>
      <c r="H780" s="2" t="s">
        <v>753</v>
      </c>
      <c r="I780" s="2" t="s">
        <v>755</v>
      </c>
      <c r="J780" s="2" t="s">
        <v>754</v>
      </c>
      <c r="K780" s="2" t="s">
        <v>753</v>
      </c>
      <c r="L780" s="6">
        <v>12</v>
      </c>
      <c r="M780" s="2" t="s">
        <v>752</v>
      </c>
      <c r="N780" s="7">
        <v>42.02</v>
      </c>
      <c r="O780" s="4">
        <v>504.24</v>
      </c>
      <c r="P780" s="4">
        <v>504.24</v>
      </c>
      <c r="Q780" s="6">
        <v>0</v>
      </c>
    </row>
    <row r="781" spans="1:17" x14ac:dyDescent="0.25">
      <c r="A781" s="2" t="s">
        <v>977</v>
      </c>
      <c r="B781" s="2" t="s">
        <v>964</v>
      </c>
      <c r="C781" s="2" t="s">
        <v>963</v>
      </c>
      <c r="D781" s="2" t="s">
        <v>758</v>
      </c>
      <c r="E781" s="2" t="s">
        <v>922</v>
      </c>
      <c r="F781" s="2" t="s">
        <v>921</v>
      </c>
      <c r="G781" s="3">
        <v>46087</v>
      </c>
      <c r="H781" s="2" t="s">
        <v>753</v>
      </c>
      <c r="I781" s="2" t="s">
        <v>755</v>
      </c>
      <c r="J781" s="2" t="s">
        <v>754</v>
      </c>
      <c r="K781" s="2" t="s">
        <v>753</v>
      </c>
      <c r="L781" s="6">
        <v>1</v>
      </c>
      <c r="M781" s="2" t="s">
        <v>752</v>
      </c>
      <c r="N781" s="7">
        <v>0</v>
      </c>
      <c r="O781" s="4">
        <v>0</v>
      </c>
      <c r="P781" s="4">
        <v>0</v>
      </c>
      <c r="Q781" s="6">
        <v>0</v>
      </c>
    </row>
    <row r="782" spans="1:17" x14ac:dyDescent="0.25">
      <c r="A782" s="2" t="s">
        <v>476</v>
      </c>
      <c r="B782" s="2" t="s">
        <v>103</v>
      </c>
      <c r="C782" s="2" t="s">
        <v>104</v>
      </c>
      <c r="D782" s="2" t="s">
        <v>758</v>
      </c>
      <c r="E782" s="2" t="s">
        <v>859</v>
      </c>
      <c r="F782" s="2" t="s">
        <v>858</v>
      </c>
      <c r="G782" s="3">
        <v>46100</v>
      </c>
      <c r="H782" s="2" t="s">
        <v>753</v>
      </c>
      <c r="I782" s="2" t="s">
        <v>755</v>
      </c>
      <c r="J782" s="2" t="s">
        <v>754</v>
      </c>
      <c r="K782" s="2" t="s">
        <v>753</v>
      </c>
      <c r="L782" s="6">
        <v>168</v>
      </c>
      <c r="M782" s="2" t="s">
        <v>752</v>
      </c>
      <c r="N782" s="7">
        <v>33.42</v>
      </c>
      <c r="O782" s="4">
        <v>5614.56</v>
      </c>
      <c r="P782" s="4">
        <v>5614.56</v>
      </c>
      <c r="Q782" s="6">
        <v>0</v>
      </c>
    </row>
    <row r="783" spans="1:17" x14ac:dyDescent="0.25">
      <c r="A783" s="2" t="s">
        <v>476</v>
      </c>
      <c r="B783" s="2" t="s">
        <v>103</v>
      </c>
      <c r="C783" s="2" t="s">
        <v>104</v>
      </c>
      <c r="D783" s="2" t="s">
        <v>758</v>
      </c>
      <c r="E783" s="2" t="s">
        <v>976</v>
      </c>
      <c r="F783" s="2" t="s">
        <v>975</v>
      </c>
      <c r="G783" s="3">
        <v>46100</v>
      </c>
      <c r="H783" s="2" t="s">
        <v>753</v>
      </c>
      <c r="I783" s="2" t="s">
        <v>755</v>
      </c>
      <c r="J783" s="2" t="s">
        <v>754</v>
      </c>
      <c r="K783" s="2" t="s">
        <v>753</v>
      </c>
      <c r="L783" s="6">
        <v>232</v>
      </c>
      <c r="M783" s="2" t="s">
        <v>752</v>
      </c>
      <c r="N783" s="7">
        <v>26.96</v>
      </c>
      <c r="O783" s="4">
        <v>6254.72</v>
      </c>
      <c r="P783" s="4">
        <v>6254.72</v>
      </c>
      <c r="Q783" s="6">
        <v>0</v>
      </c>
    </row>
    <row r="784" spans="1:17" x14ac:dyDescent="0.25">
      <c r="A784" s="2" t="s">
        <v>453</v>
      </c>
      <c r="B784" s="2" t="s">
        <v>37</v>
      </c>
      <c r="C784" s="2" t="s">
        <v>38</v>
      </c>
      <c r="D784" s="2" t="s">
        <v>758</v>
      </c>
      <c r="E784" s="2" t="s">
        <v>865</v>
      </c>
      <c r="F784" s="2" t="s">
        <v>864</v>
      </c>
      <c r="G784" s="3">
        <v>46107</v>
      </c>
      <c r="H784" s="2" t="s">
        <v>753</v>
      </c>
      <c r="I784" s="2" t="s">
        <v>755</v>
      </c>
      <c r="J784" s="2" t="s">
        <v>754</v>
      </c>
      <c r="K784" s="2" t="s">
        <v>753</v>
      </c>
      <c r="L784" s="6">
        <v>84</v>
      </c>
      <c r="M784" s="2" t="s">
        <v>752</v>
      </c>
      <c r="N784" s="7">
        <v>37</v>
      </c>
      <c r="O784" s="4">
        <v>3108</v>
      </c>
      <c r="P784" s="4">
        <v>3108</v>
      </c>
      <c r="Q784" s="6">
        <v>0</v>
      </c>
    </row>
    <row r="785" spans="1:17" x14ac:dyDescent="0.25">
      <c r="A785" s="2" t="s">
        <v>453</v>
      </c>
      <c r="B785" s="2" t="s">
        <v>37</v>
      </c>
      <c r="C785" s="2" t="s">
        <v>38</v>
      </c>
      <c r="D785" s="2" t="s">
        <v>758</v>
      </c>
      <c r="E785" s="2" t="s">
        <v>827</v>
      </c>
      <c r="F785" s="2" t="s">
        <v>826</v>
      </c>
      <c r="G785" s="3">
        <v>46107</v>
      </c>
      <c r="H785" s="2" t="s">
        <v>753</v>
      </c>
      <c r="I785" s="2" t="s">
        <v>755</v>
      </c>
      <c r="J785" s="2" t="s">
        <v>754</v>
      </c>
      <c r="K785" s="2" t="s">
        <v>753</v>
      </c>
      <c r="L785" s="6">
        <v>56</v>
      </c>
      <c r="M785" s="2" t="s">
        <v>752</v>
      </c>
      <c r="N785" s="7">
        <v>42</v>
      </c>
      <c r="O785" s="4">
        <v>2352</v>
      </c>
      <c r="P785" s="4">
        <v>2352</v>
      </c>
      <c r="Q785" s="6">
        <v>0</v>
      </c>
    </row>
    <row r="786" spans="1:17" x14ac:dyDescent="0.25">
      <c r="A786" s="2" t="s">
        <v>453</v>
      </c>
      <c r="B786" s="2" t="s">
        <v>37</v>
      </c>
      <c r="C786" s="2" t="s">
        <v>38</v>
      </c>
      <c r="D786" s="2" t="s">
        <v>758</v>
      </c>
      <c r="E786" s="2" t="s">
        <v>763</v>
      </c>
      <c r="F786" s="2" t="s">
        <v>762</v>
      </c>
      <c r="G786" s="3">
        <v>46107</v>
      </c>
      <c r="H786" s="2" t="s">
        <v>753</v>
      </c>
      <c r="I786" s="2" t="s">
        <v>755</v>
      </c>
      <c r="J786" s="2" t="s">
        <v>754</v>
      </c>
      <c r="K786" s="2" t="s">
        <v>753</v>
      </c>
      <c r="L786" s="6">
        <v>196</v>
      </c>
      <c r="M786" s="2" t="s">
        <v>752</v>
      </c>
      <c r="N786" s="7">
        <v>42</v>
      </c>
      <c r="O786" s="4">
        <v>8232</v>
      </c>
      <c r="P786" s="4">
        <v>8232</v>
      </c>
      <c r="Q786" s="6">
        <v>0</v>
      </c>
    </row>
    <row r="787" spans="1:17" x14ac:dyDescent="0.25">
      <c r="A787" s="2" t="s">
        <v>453</v>
      </c>
      <c r="B787" s="2" t="s">
        <v>37</v>
      </c>
      <c r="C787" s="2" t="s">
        <v>38</v>
      </c>
      <c r="D787" s="2" t="s">
        <v>758</v>
      </c>
      <c r="E787" s="2" t="s">
        <v>847</v>
      </c>
      <c r="F787" s="2" t="s">
        <v>846</v>
      </c>
      <c r="G787" s="3">
        <v>46107</v>
      </c>
      <c r="H787" s="2" t="s">
        <v>753</v>
      </c>
      <c r="I787" s="2" t="s">
        <v>755</v>
      </c>
      <c r="J787" s="2" t="s">
        <v>754</v>
      </c>
      <c r="K787" s="2" t="s">
        <v>753</v>
      </c>
      <c r="L787" s="6">
        <v>252</v>
      </c>
      <c r="M787" s="2" t="s">
        <v>752</v>
      </c>
      <c r="N787" s="7">
        <v>38.08</v>
      </c>
      <c r="O787" s="4">
        <v>9596.16</v>
      </c>
      <c r="P787" s="4">
        <v>9596.16</v>
      </c>
      <c r="Q787" s="6">
        <v>0</v>
      </c>
    </row>
    <row r="788" spans="1:17" x14ac:dyDescent="0.25">
      <c r="A788" s="2" t="s">
        <v>474</v>
      </c>
      <c r="B788" s="2" t="s">
        <v>55</v>
      </c>
      <c r="C788" s="2" t="s">
        <v>56</v>
      </c>
      <c r="D788" s="2" t="s">
        <v>758</v>
      </c>
      <c r="E788" s="2" t="s">
        <v>859</v>
      </c>
      <c r="F788" s="2" t="s">
        <v>858</v>
      </c>
      <c r="G788" s="3">
        <v>46100</v>
      </c>
      <c r="H788" s="2" t="s">
        <v>753</v>
      </c>
      <c r="I788" s="2" t="s">
        <v>755</v>
      </c>
      <c r="J788" s="2" t="s">
        <v>754</v>
      </c>
      <c r="K788" s="2" t="s">
        <v>753</v>
      </c>
      <c r="L788" s="6">
        <v>768</v>
      </c>
      <c r="M788" s="2" t="s">
        <v>752</v>
      </c>
      <c r="N788" s="7">
        <v>33.42</v>
      </c>
      <c r="O788" s="4">
        <v>25666.560000000001</v>
      </c>
      <c r="P788" s="4">
        <v>25666.560000000001</v>
      </c>
      <c r="Q788" s="6">
        <v>0</v>
      </c>
    </row>
    <row r="789" spans="1:17" x14ac:dyDescent="0.25">
      <c r="A789" s="2" t="s">
        <v>494</v>
      </c>
      <c r="B789" s="2" t="s">
        <v>55</v>
      </c>
      <c r="C789" s="2" t="s">
        <v>56</v>
      </c>
      <c r="D789" s="2" t="s">
        <v>758</v>
      </c>
      <c r="E789" s="2" t="s">
        <v>859</v>
      </c>
      <c r="F789" s="2" t="s">
        <v>858</v>
      </c>
      <c r="G789" s="3">
        <v>46097</v>
      </c>
      <c r="H789" s="2" t="s">
        <v>753</v>
      </c>
      <c r="I789" s="2" t="s">
        <v>755</v>
      </c>
      <c r="J789" s="2" t="s">
        <v>754</v>
      </c>
      <c r="K789" s="2" t="s">
        <v>753</v>
      </c>
      <c r="L789" s="6">
        <v>768</v>
      </c>
      <c r="M789" s="2" t="s">
        <v>752</v>
      </c>
      <c r="N789" s="7">
        <v>33.42</v>
      </c>
      <c r="O789" s="4">
        <v>25666.560000000001</v>
      </c>
      <c r="P789" s="4">
        <v>25666.560000000001</v>
      </c>
      <c r="Q789" s="6">
        <v>0</v>
      </c>
    </row>
    <row r="790" spans="1:17" x14ac:dyDescent="0.25">
      <c r="A790" s="2" t="s">
        <v>445</v>
      </c>
      <c r="B790" s="2" t="s">
        <v>99</v>
      </c>
      <c r="C790" s="2" t="s">
        <v>100</v>
      </c>
      <c r="D790" s="2" t="s">
        <v>758</v>
      </c>
      <c r="E790" s="2" t="s">
        <v>863</v>
      </c>
      <c r="F790" s="2" t="s">
        <v>862</v>
      </c>
      <c r="G790" s="3">
        <v>46108</v>
      </c>
      <c r="H790" s="2" t="s">
        <v>770</v>
      </c>
      <c r="I790" s="2" t="s">
        <v>755</v>
      </c>
      <c r="J790" s="2" t="s">
        <v>754</v>
      </c>
      <c r="K790" s="2" t="s">
        <v>753</v>
      </c>
      <c r="L790" s="6">
        <v>144</v>
      </c>
      <c r="M790" s="2" t="s">
        <v>752</v>
      </c>
      <c r="N790" s="7">
        <v>33.299999999999997</v>
      </c>
      <c r="O790" s="4">
        <v>4795.2</v>
      </c>
      <c r="P790" s="4">
        <v>4795.2</v>
      </c>
      <c r="Q790" s="6">
        <v>0</v>
      </c>
    </row>
    <row r="791" spans="1:17" x14ac:dyDescent="0.25">
      <c r="A791" s="2" t="s">
        <v>445</v>
      </c>
      <c r="B791" s="2" t="s">
        <v>99</v>
      </c>
      <c r="C791" s="2" t="s">
        <v>100</v>
      </c>
      <c r="D791" s="2" t="s">
        <v>758</v>
      </c>
      <c r="E791" s="2" t="s">
        <v>763</v>
      </c>
      <c r="F791" s="2" t="s">
        <v>762</v>
      </c>
      <c r="G791" s="3">
        <v>46108</v>
      </c>
      <c r="H791" s="2" t="s">
        <v>770</v>
      </c>
      <c r="I791" s="2" t="s">
        <v>755</v>
      </c>
      <c r="J791" s="2" t="s">
        <v>754</v>
      </c>
      <c r="K791" s="2" t="s">
        <v>753</v>
      </c>
      <c r="L791" s="6">
        <v>284</v>
      </c>
      <c r="M791" s="2" t="s">
        <v>752</v>
      </c>
      <c r="N791" s="7">
        <v>36.82</v>
      </c>
      <c r="O791" s="4">
        <v>10456.879999999999</v>
      </c>
      <c r="P791" s="4">
        <v>10456.879999999999</v>
      </c>
      <c r="Q791" s="6">
        <v>0</v>
      </c>
    </row>
    <row r="792" spans="1:17" x14ac:dyDescent="0.25">
      <c r="A792" s="2" t="s">
        <v>445</v>
      </c>
      <c r="B792" s="2" t="s">
        <v>99</v>
      </c>
      <c r="C792" s="2" t="s">
        <v>100</v>
      </c>
      <c r="D792" s="2" t="s">
        <v>758</v>
      </c>
      <c r="E792" s="2" t="s">
        <v>861</v>
      </c>
      <c r="F792" s="2" t="s">
        <v>860</v>
      </c>
      <c r="G792" s="3">
        <v>46108</v>
      </c>
      <c r="H792" s="2" t="s">
        <v>770</v>
      </c>
      <c r="I792" s="2" t="s">
        <v>755</v>
      </c>
      <c r="J792" s="2" t="s">
        <v>754</v>
      </c>
      <c r="K792" s="2" t="s">
        <v>753</v>
      </c>
      <c r="L792" s="6">
        <v>96</v>
      </c>
      <c r="M792" s="2" t="s">
        <v>752</v>
      </c>
      <c r="N792" s="7">
        <v>39.700000000000003</v>
      </c>
      <c r="O792" s="4">
        <v>3811.2</v>
      </c>
      <c r="P792" s="4">
        <v>3811.2</v>
      </c>
      <c r="Q792" s="6">
        <v>0</v>
      </c>
    </row>
    <row r="793" spans="1:17" x14ac:dyDescent="0.25">
      <c r="A793" s="2" t="s">
        <v>445</v>
      </c>
      <c r="B793" s="2" t="s">
        <v>99</v>
      </c>
      <c r="C793" s="2" t="s">
        <v>100</v>
      </c>
      <c r="D793" s="2" t="s">
        <v>758</v>
      </c>
      <c r="E793" s="2" t="s">
        <v>757</v>
      </c>
      <c r="F793" s="2" t="s">
        <v>756</v>
      </c>
      <c r="G793" s="3">
        <v>46108</v>
      </c>
      <c r="H793" s="2" t="s">
        <v>770</v>
      </c>
      <c r="I793" s="2" t="s">
        <v>755</v>
      </c>
      <c r="J793" s="2" t="s">
        <v>754</v>
      </c>
      <c r="K793" s="2" t="s">
        <v>753</v>
      </c>
      <c r="L793" s="6">
        <v>320</v>
      </c>
      <c r="M793" s="2" t="s">
        <v>752</v>
      </c>
      <c r="N793" s="7">
        <v>39.700000000000003</v>
      </c>
      <c r="O793" s="4">
        <v>12704</v>
      </c>
      <c r="P793" s="4">
        <v>12704</v>
      </c>
      <c r="Q793" s="6">
        <v>0</v>
      </c>
    </row>
    <row r="794" spans="1:17" x14ac:dyDescent="0.25">
      <c r="A794" s="2" t="s">
        <v>468</v>
      </c>
      <c r="B794" s="2" t="s">
        <v>199</v>
      </c>
      <c r="C794" s="2" t="s">
        <v>200</v>
      </c>
      <c r="D794" s="2" t="s">
        <v>758</v>
      </c>
      <c r="E794" s="2" t="s">
        <v>817</v>
      </c>
      <c r="F794" s="2" t="s">
        <v>937</v>
      </c>
      <c r="G794" s="3">
        <v>46104</v>
      </c>
      <c r="H794" s="2" t="s">
        <v>753</v>
      </c>
      <c r="I794" s="2" t="s">
        <v>755</v>
      </c>
      <c r="J794" s="2" t="s">
        <v>754</v>
      </c>
      <c r="K794" s="2" t="s">
        <v>753</v>
      </c>
      <c r="L794" s="6">
        <v>224</v>
      </c>
      <c r="M794" s="2" t="s">
        <v>752</v>
      </c>
      <c r="N794" s="7">
        <v>32.5</v>
      </c>
      <c r="O794" s="4">
        <v>7280</v>
      </c>
      <c r="P794" s="4">
        <v>7280</v>
      </c>
      <c r="Q794" s="6">
        <v>0</v>
      </c>
    </row>
    <row r="795" spans="1:17" x14ac:dyDescent="0.25">
      <c r="A795" s="2" t="s">
        <v>468</v>
      </c>
      <c r="B795" s="2" t="s">
        <v>199</v>
      </c>
      <c r="C795" s="2" t="s">
        <v>200</v>
      </c>
      <c r="D795" s="2" t="s">
        <v>758</v>
      </c>
      <c r="E795" s="2" t="s">
        <v>879</v>
      </c>
      <c r="F795" s="2" t="s">
        <v>878</v>
      </c>
      <c r="G795" s="3">
        <v>46104</v>
      </c>
      <c r="H795" s="2" t="s">
        <v>753</v>
      </c>
      <c r="I795" s="2" t="s">
        <v>755</v>
      </c>
      <c r="J795" s="2" t="s">
        <v>754</v>
      </c>
      <c r="K795" s="2" t="s">
        <v>753</v>
      </c>
      <c r="L795" s="6">
        <v>56</v>
      </c>
      <c r="M795" s="2" t="s">
        <v>752</v>
      </c>
      <c r="N795" s="7">
        <v>42.75</v>
      </c>
      <c r="O795" s="4">
        <v>2394</v>
      </c>
      <c r="P795" s="4">
        <v>2394</v>
      </c>
      <c r="Q795" s="6">
        <v>0</v>
      </c>
    </row>
    <row r="796" spans="1:17" x14ac:dyDescent="0.25">
      <c r="A796" s="2" t="s">
        <v>441</v>
      </c>
      <c r="B796" s="2" t="s">
        <v>295</v>
      </c>
      <c r="C796" s="2" t="s">
        <v>296</v>
      </c>
      <c r="D796" s="2" t="s">
        <v>758</v>
      </c>
      <c r="E796" s="2" t="s">
        <v>763</v>
      </c>
      <c r="F796" s="2" t="s">
        <v>762</v>
      </c>
      <c r="G796" s="3">
        <v>46111</v>
      </c>
      <c r="H796" s="2" t="s">
        <v>753</v>
      </c>
      <c r="I796" s="2" t="s">
        <v>755</v>
      </c>
      <c r="J796" s="2" t="s">
        <v>754</v>
      </c>
      <c r="K796" s="2" t="s">
        <v>753</v>
      </c>
      <c r="L796" s="6">
        <v>168</v>
      </c>
      <c r="M796" s="2" t="s">
        <v>752</v>
      </c>
      <c r="N796" s="7">
        <v>46.6</v>
      </c>
      <c r="O796" s="4">
        <v>7828.8</v>
      </c>
      <c r="P796" s="4">
        <v>7828.8</v>
      </c>
      <c r="Q796" s="6">
        <v>0</v>
      </c>
    </row>
    <row r="797" spans="1:17" x14ac:dyDescent="0.25">
      <c r="A797" s="2" t="s">
        <v>466</v>
      </c>
      <c r="B797" s="2" t="s">
        <v>73</v>
      </c>
      <c r="C797" s="2" t="s">
        <v>74</v>
      </c>
      <c r="D797" s="2" t="s">
        <v>758</v>
      </c>
      <c r="E797" s="2" t="s">
        <v>881</v>
      </c>
      <c r="F797" s="2" t="s">
        <v>880</v>
      </c>
      <c r="G797" s="3">
        <v>46104</v>
      </c>
      <c r="H797" s="2" t="s">
        <v>753</v>
      </c>
      <c r="I797" s="2" t="s">
        <v>755</v>
      </c>
      <c r="J797" s="2" t="s">
        <v>754</v>
      </c>
      <c r="K797" s="2" t="s">
        <v>753</v>
      </c>
      <c r="L797" s="6">
        <v>28</v>
      </c>
      <c r="M797" s="2" t="s">
        <v>752</v>
      </c>
      <c r="N797" s="7">
        <v>50.05</v>
      </c>
      <c r="O797" s="4">
        <v>1401.4</v>
      </c>
      <c r="P797" s="4">
        <v>1401.4</v>
      </c>
      <c r="Q797" s="6">
        <v>0</v>
      </c>
    </row>
    <row r="798" spans="1:17" x14ac:dyDescent="0.25">
      <c r="A798" s="2" t="s">
        <v>466</v>
      </c>
      <c r="B798" s="2" t="s">
        <v>73</v>
      </c>
      <c r="C798" s="2" t="s">
        <v>74</v>
      </c>
      <c r="D798" s="2" t="s">
        <v>758</v>
      </c>
      <c r="E798" s="2" t="s">
        <v>794</v>
      </c>
      <c r="F798" s="2" t="s">
        <v>793</v>
      </c>
      <c r="G798" s="3">
        <v>46104</v>
      </c>
      <c r="H798" s="2" t="s">
        <v>753</v>
      </c>
      <c r="I798" s="2" t="s">
        <v>755</v>
      </c>
      <c r="J798" s="2" t="s">
        <v>754</v>
      </c>
      <c r="K798" s="2" t="s">
        <v>753</v>
      </c>
      <c r="L798" s="6">
        <v>392</v>
      </c>
      <c r="M798" s="2" t="s">
        <v>752</v>
      </c>
      <c r="N798" s="7">
        <v>36</v>
      </c>
      <c r="O798" s="4">
        <v>14112</v>
      </c>
      <c r="P798" s="4">
        <v>14112</v>
      </c>
      <c r="Q798" s="6">
        <v>0</v>
      </c>
    </row>
    <row r="799" spans="1:17" x14ac:dyDescent="0.25">
      <c r="A799" s="2" t="s">
        <v>466</v>
      </c>
      <c r="B799" s="2" t="s">
        <v>73</v>
      </c>
      <c r="C799" s="2" t="s">
        <v>74</v>
      </c>
      <c r="D799" s="2" t="s">
        <v>758</v>
      </c>
      <c r="E799" s="2" t="s">
        <v>879</v>
      </c>
      <c r="F799" s="2" t="s">
        <v>878</v>
      </c>
      <c r="G799" s="3">
        <v>46104</v>
      </c>
      <c r="H799" s="2" t="s">
        <v>753</v>
      </c>
      <c r="I799" s="2" t="s">
        <v>755</v>
      </c>
      <c r="J799" s="2" t="s">
        <v>754</v>
      </c>
      <c r="K799" s="2" t="s">
        <v>753</v>
      </c>
      <c r="L799" s="6">
        <v>28</v>
      </c>
      <c r="M799" s="2" t="s">
        <v>752</v>
      </c>
      <c r="N799" s="7">
        <v>30</v>
      </c>
      <c r="O799" s="4">
        <v>840</v>
      </c>
      <c r="P799" s="4">
        <v>840</v>
      </c>
      <c r="Q799" s="6">
        <v>0</v>
      </c>
    </row>
    <row r="800" spans="1:17" x14ac:dyDescent="0.25">
      <c r="A800" s="2" t="s">
        <v>466</v>
      </c>
      <c r="B800" s="2" t="s">
        <v>73</v>
      </c>
      <c r="C800" s="2" t="s">
        <v>74</v>
      </c>
      <c r="D800" s="2" t="s">
        <v>758</v>
      </c>
      <c r="E800" s="2" t="s">
        <v>815</v>
      </c>
      <c r="F800" s="2" t="s">
        <v>814</v>
      </c>
      <c r="G800" s="3">
        <v>46104</v>
      </c>
      <c r="H800" s="2" t="s">
        <v>753</v>
      </c>
      <c r="I800" s="2" t="s">
        <v>755</v>
      </c>
      <c r="J800" s="2" t="s">
        <v>754</v>
      </c>
      <c r="K800" s="2" t="s">
        <v>753</v>
      </c>
      <c r="L800" s="6">
        <v>56</v>
      </c>
      <c r="M800" s="2" t="s">
        <v>752</v>
      </c>
      <c r="N800" s="7">
        <v>40</v>
      </c>
      <c r="O800" s="4">
        <v>2240</v>
      </c>
      <c r="P800" s="4">
        <v>2240</v>
      </c>
      <c r="Q800" s="6">
        <v>0</v>
      </c>
    </row>
    <row r="801" spans="1:17" x14ac:dyDescent="0.25">
      <c r="A801" s="2" t="s">
        <v>451</v>
      </c>
      <c r="B801" s="2" t="s">
        <v>145</v>
      </c>
      <c r="C801" s="2" t="s">
        <v>146</v>
      </c>
      <c r="D801" s="2" t="s">
        <v>758</v>
      </c>
      <c r="E801" s="2" t="s">
        <v>782</v>
      </c>
      <c r="F801" s="2" t="s">
        <v>781</v>
      </c>
      <c r="G801" s="3">
        <v>46107</v>
      </c>
      <c r="H801" s="2" t="s">
        <v>753</v>
      </c>
      <c r="I801" s="2" t="s">
        <v>755</v>
      </c>
      <c r="J801" s="2" t="s">
        <v>754</v>
      </c>
      <c r="K801" s="2" t="s">
        <v>753</v>
      </c>
      <c r="L801" s="6">
        <v>8</v>
      </c>
      <c r="M801" s="2" t="s">
        <v>752</v>
      </c>
      <c r="N801" s="7">
        <v>36.6</v>
      </c>
      <c r="O801" s="4">
        <v>292.8</v>
      </c>
      <c r="P801" s="4">
        <v>292.8</v>
      </c>
      <c r="Q801" s="6">
        <v>0</v>
      </c>
    </row>
    <row r="802" spans="1:17" x14ac:dyDescent="0.25">
      <c r="A802" s="2" t="s">
        <v>451</v>
      </c>
      <c r="B802" s="2" t="s">
        <v>145</v>
      </c>
      <c r="C802" s="2" t="s">
        <v>146</v>
      </c>
      <c r="D802" s="2" t="s">
        <v>758</v>
      </c>
      <c r="E802" s="2" t="s">
        <v>763</v>
      </c>
      <c r="F802" s="2" t="s">
        <v>762</v>
      </c>
      <c r="G802" s="3">
        <v>46107</v>
      </c>
      <c r="H802" s="2" t="s">
        <v>753</v>
      </c>
      <c r="I802" s="2" t="s">
        <v>755</v>
      </c>
      <c r="J802" s="2" t="s">
        <v>754</v>
      </c>
      <c r="K802" s="2" t="s">
        <v>753</v>
      </c>
      <c r="L802" s="6">
        <v>56</v>
      </c>
      <c r="M802" s="2" t="s">
        <v>752</v>
      </c>
      <c r="N802" s="7">
        <v>50.6</v>
      </c>
      <c r="O802" s="4">
        <v>2833.6</v>
      </c>
      <c r="P802" s="4">
        <v>2833.6</v>
      </c>
      <c r="Q802" s="6">
        <v>0</v>
      </c>
    </row>
    <row r="803" spans="1:17" x14ac:dyDescent="0.25">
      <c r="A803" s="2" t="s">
        <v>451</v>
      </c>
      <c r="B803" s="2" t="s">
        <v>145</v>
      </c>
      <c r="C803" s="2" t="s">
        <v>146</v>
      </c>
      <c r="D803" s="2" t="s">
        <v>758</v>
      </c>
      <c r="E803" s="2" t="s">
        <v>847</v>
      </c>
      <c r="F803" s="2" t="s">
        <v>846</v>
      </c>
      <c r="G803" s="3">
        <v>46107</v>
      </c>
      <c r="H803" s="2" t="s">
        <v>753</v>
      </c>
      <c r="I803" s="2" t="s">
        <v>755</v>
      </c>
      <c r="J803" s="2" t="s">
        <v>754</v>
      </c>
      <c r="K803" s="2" t="s">
        <v>753</v>
      </c>
      <c r="L803" s="6">
        <v>336</v>
      </c>
      <c r="M803" s="2" t="s">
        <v>752</v>
      </c>
      <c r="N803" s="7">
        <v>40.799999999999997</v>
      </c>
      <c r="O803" s="4">
        <v>13708.8</v>
      </c>
      <c r="P803" s="4">
        <v>13708.8</v>
      </c>
      <c r="Q803" s="6">
        <v>0</v>
      </c>
    </row>
    <row r="804" spans="1:17" x14ac:dyDescent="0.25">
      <c r="A804" s="2" t="s">
        <v>451</v>
      </c>
      <c r="B804" s="2" t="s">
        <v>145</v>
      </c>
      <c r="C804" s="2" t="s">
        <v>146</v>
      </c>
      <c r="D804" s="2" t="s">
        <v>758</v>
      </c>
      <c r="E804" s="2" t="s">
        <v>794</v>
      </c>
      <c r="F804" s="2" t="s">
        <v>793</v>
      </c>
      <c r="G804" s="3">
        <v>46107</v>
      </c>
      <c r="H804" s="2" t="s">
        <v>753</v>
      </c>
      <c r="I804" s="2" t="s">
        <v>755</v>
      </c>
      <c r="J804" s="2" t="s">
        <v>754</v>
      </c>
      <c r="K804" s="2" t="s">
        <v>753</v>
      </c>
      <c r="L804" s="6">
        <v>56</v>
      </c>
      <c r="M804" s="2" t="s">
        <v>752</v>
      </c>
      <c r="N804" s="7">
        <v>39.9</v>
      </c>
      <c r="O804" s="4">
        <v>2234.4</v>
      </c>
      <c r="P804" s="4">
        <v>2234.4</v>
      </c>
      <c r="Q804" s="6">
        <v>0</v>
      </c>
    </row>
    <row r="805" spans="1:17" x14ac:dyDescent="0.25">
      <c r="A805" s="2" t="s">
        <v>459</v>
      </c>
      <c r="B805" s="2" t="s">
        <v>227</v>
      </c>
      <c r="C805" s="2" t="s">
        <v>228</v>
      </c>
      <c r="D805" s="2" t="s">
        <v>758</v>
      </c>
      <c r="E805" s="2" t="s">
        <v>813</v>
      </c>
      <c r="F805" s="2" t="s">
        <v>812</v>
      </c>
      <c r="G805" s="3">
        <v>46106</v>
      </c>
      <c r="H805" s="2" t="s">
        <v>753</v>
      </c>
      <c r="I805" s="2" t="s">
        <v>755</v>
      </c>
      <c r="J805" s="2" t="s">
        <v>754</v>
      </c>
      <c r="K805" s="2" t="s">
        <v>753</v>
      </c>
      <c r="L805" s="6">
        <v>12</v>
      </c>
      <c r="M805" s="2" t="s">
        <v>752</v>
      </c>
      <c r="N805" s="7">
        <v>45</v>
      </c>
      <c r="O805" s="4">
        <v>540</v>
      </c>
      <c r="P805" s="4">
        <v>540</v>
      </c>
      <c r="Q805" s="6">
        <v>0</v>
      </c>
    </row>
    <row r="806" spans="1:17" x14ac:dyDescent="0.25">
      <c r="A806" s="2" t="s">
        <v>459</v>
      </c>
      <c r="B806" s="2" t="s">
        <v>227</v>
      </c>
      <c r="C806" s="2" t="s">
        <v>228</v>
      </c>
      <c r="D806" s="2" t="s">
        <v>758</v>
      </c>
      <c r="E806" s="2" t="s">
        <v>763</v>
      </c>
      <c r="F806" s="2" t="s">
        <v>762</v>
      </c>
      <c r="G806" s="3">
        <v>46106</v>
      </c>
      <c r="H806" s="2" t="s">
        <v>753</v>
      </c>
      <c r="I806" s="2" t="s">
        <v>755</v>
      </c>
      <c r="J806" s="2" t="s">
        <v>754</v>
      </c>
      <c r="K806" s="2" t="s">
        <v>753</v>
      </c>
      <c r="L806" s="6">
        <v>32</v>
      </c>
      <c r="M806" s="2" t="s">
        <v>752</v>
      </c>
      <c r="N806" s="7">
        <v>42.6</v>
      </c>
      <c r="O806" s="4">
        <v>1363.2</v>
      </c>
      <c r="P806" s="4">
        <v>1363.2</v>
      </c>
      <c r="Q806" s="6">
        <v>0</v>
      </c>
    </row>
    <row r="807" spans="1:17" x14ac:dyDescent="0.25">
      <c r="A807" s="2" t="s">
        <v>459</v>
      </c>
      <c r="B807" s="2" t="s">
        <v>227</v>
      </c>
      <c r="C807" s="2" t="s">
        <v>228</v>
      </c>
      <c r="D807" s="2" t="s">
        <v>758</v>
      </c>
      <c r="E807" s="2" t="s">
        <v>847</v>
      </c>
      <c r="F807" s="2" t="s">
        <v>846</v>
      </c>
      <c r="G807" s="3">
        <v>46106</v>
      </c>
      <c r="H807" s="2" t="s">
        <v>753</v>
      </c>
      <c r="I807" s="2" t="s">
        <v>755</v>
      </c>
      <c r="J807" s="2" t="s">
        <v>754</v>
      </c>
      <c r="K807" s="2" t="s">
        <v>753</v>
      </c>
      <c r="L807" s="6">
        <v>160</v>
      </c>
      <c r="M807" s="2" t="s">
        <v>752</v>
      </c>
      <c r="N807" s="7">
        <v>40</v>
      </c>
      <c r="O807" s="4">
        <v>6400</v>
      </c>
      <c r="P807" s="4">
        <v>6400</v>
      </c>
      <c r="Q807" s="6">
        <v>0</v>
      </c>
    </row>
    <row r="808" spans="1:17" x14ac:dyDescent="0.25">
      <c r="A808" s="2" t="s">
        <v>443</v>
      </c>
      <c r="B808" s="2" t="s">
        <v>33</v>
      </c>
      <c r="C808" s="2" t="s">
        <v>34</v>
      </c>
      <c r="D808" s="2" t="s">
        <v>758</v>
      </c>
      <c r="E808" s="2" t="s">
        <v>847</v>
      </c>
      <c r="F808" s="2" t="s">
        <v>846</v>
      </c>
      <c r="G808" s="3">
        <v>46108</v>
      </c>
      <c r="H808" s="2" t="s">
        <v>753</v>
      </c>
      <c r="I808" s="2" t="s">
        <v>755</v>
      </c>
      <c r="J808" s="2" t="s">
        <v>754</v>
      </c>
      <c r="K808" s="2" t="s">
        <v>753</v>
      </c>
      <c r="L808" s="6">
        <v>24</v>
      </c>
      <c r="M808" s="2" t="s">
        <v>752</v>
      </c>
      <c r="N808" s="7">
        <v>37.08</v>
      </c>
      <c r="O808" s="4">
        <v>889.92</v>
      </c>
      <c r="P808" s="4">
        <v>889.92</v>
      </c>
      <c r="Q808" s="6">
        <v>0</v>
      </c>
    </row>
    <row r="809" spans="1:17" x14ac:dyDescent="0.25">
      <c r="A809" s="2" t="s">
        <v>443</v>
      </c>
      <c r="B809" s="2" t="s">
        <v>33</v>
      </c>
      <c r="C809" s="2" t="s">
        <v>34</v>
      </c>
      <c r="D809" s="2" t="s">
        <v>758</v>
      </c>
      <c r="E809" s="2" t="s">
        <v>837</v>
      </c>
      <c r="F809" s="2" t="s">
        <v>836</v>
      </c>
      <c r="G809" s="3">
        <v>46108</v>
      </c>
      <c r="H809" s="2" t="s">
        <v>753</v>
      </c>
      <c r="I809" s="2" t="s">
        <v>755</v>
      </c>
      <c r="J809" s="2" t="s">
        <v>754</v>
      </c>
      <c r="K809" s="2" t="s">
        <v>753</v>
      </c>
      <c r="L809" s="6">
        <v>48</v>
      </c>
      <c r="M809" s="2" t="s">
        <v>752</v>
      </c>
      <c r="N809" s="7">
        <v>60.07</v>
      </c>
      <c r="O809" s="4">
        <v>2883.36</v>
      </c>
      <c r="P809" s="4">
        <v>2883.36</v>
      </c>
      <c r="Q809" s="6">
        <v>0</v>
      </c>
    </row>
    <row r="810" spans="1:17" x14ac:dyDescent="0.25">
      <c r="A810" s="2" t="s">
        <v>443</v>
      </c>
      <c r="B810" s="2" t="s">
        <v>33</v>
      </c>
      <c r="C810" s="2" t="s">
        <v>34</v>
      </c>
      <c r="D810" s="2" t="s">
        <v>758</v>
      </c>
      <c r="E810" s="2" t="s">
        <v>763</v>
      </c>
      <c r="F810" s="2" t="s">
        <v>762</v>
      </c>
      <c r="G810" s="3">
        <v>46108</v>
      </c>
      <c r="H810" s="2" t="s">
        <v>753</v>
      </c>
      <c r="I810" s="2" t="s">
        <v>755</v>
      </c>
      <c r="J810" s="2" t="s">
        <v>754</v>
      </c>
      <c r="K810" s="2" t="s">
        <v>753</v>
      </c>
      <c r="L810" s="6">
        <v>144</v>
      </c>
      <c r="M810" s="2" t="s">
        <v>752</v>
      </c>
      <c r="N810" s="7">
        <v>46.1</v>
      </c>
      <c r="O810" s="4">
        <v>6638.4</v>
      </c>
      <c r="P810" s="4">
        <v>6638.4</v>
      </c>
      <c r="Q810" s="6">
        <v>0</v>
      </c>
    </row>
    <row r="811" spans="1:17" x14ac:dyDescent="0.25">
      <c r="A811" s="2" t="s">
        <v>443</v>
      </c>
      <c r="B811" s="2" t="s">
        <v>33</v>
      </c>
      <c r="C811" s="2" t="s">
        <v>34</v>
      </c>
      <c r="D811" s="2" t="s">
        <v>758</v>
      </c>
      <c r="E811" s="2" t="s">
        <v>817</v>
      </c>
      <c r="F811" s="2" t="s">
        <v>937</v>
      </c>
      <c r="G811" s="3">
        <v>46108</v>
      </c>
      <c r="H811" s="2" t="s">
        <v>753</v>
      </c>
      <c r="I811" s="2" t="s">
        <v>755</v>
      </c>
      <c r="J811" s="2" t="s">
        <v>754</v>
      </c>
      <c r="K811" s="2" t="s">
        <v>753</v>
      </c>
      <c r="L811" s="6">
        <v>96</v>
      </c>
      <c r="M811" s="2" t="s">
        <v>752</v>
      </c>
      <c r="N811" s="7">
        <v>38</v>
      </c>
      <c r="O811" s="4">
        <v>3648</v>
      </c>
      <c r="P811" s="4">
        <v>3648</v>
      </c>
      <c r="Q811" s="6">
        <v>0</v>
      </c>
    </row>
    <row r="812" spans="1:17" x14ac:dyDescent="0.25">
      <c r="A812" s="2" t="s">
        <v>443</v>
      </c>
      <c r="B812" s="2" t="s">
        <v>33</v>
      </c>
      <c r="C812" s="2" t="s">
        <v>34</v>
      </c>
      <c r="D812" s="2" t="s">
        <v>758</v>
      </c>
      <c r="E812" s="2" t="s">
        <v>833</v>
      </c>
      <c r="F812" s="2" t="s">
        <v>832</v>
      </c>
      <c r="G812" s="3">
        <v>46108</v>
      </c>
      <c r="H812" s="2" t="s">
        <v>753</v>
      </c>
      <c r="I812" s="2" t="s">
        <v>755</v>
      </c>
      <c r="J812" s="2" t="s">
        <v>754</v>
      </c>
      <c r="K812" s="2" t="s">
        <v>753</v>
      </c>
      <c r="L812" s="6">
        <v>112</v>
      </c>
      <c r="M812" s="2" t="s">
        <v>752</v>
      </c>
      <c r="N812" s="7">
        <v>45</v>
      </c>
      <c r="O812" s="4">
        <v>5040</v>
      </c>
      <c r="P812" s="4">
        <v>5040</v>
      </c>
      <c r="Q812" s="6">
        <v>0</v>
      </c>
    </row>
    <row r="813" spans="1:17" x14ac:dyDescent="0.25">
      <c r="A813" s="2" t="s">
        <v>464</v>
      </c>
      <c r="B813" s="2" t="s">
        <v>29</v>
      </c>
      <c r="C813" s="2" t="s">
        <v>30</v>
      </c>
      <c r="D813" s="2" t="s">
        <v>758</v>
      </c>
      <c r="E813" s="2" t="s">
        <v>817</v>
      </c>
      <c r="F813" s="2" t="s">
        <v>937</v>
      </c>
      <c r="G813" s="3">
        <v>46105</v>
      </c>
      <c r="H813" s="2" t="s">
        <v>753</v>
      </c>
      <c r="I813" s="2" t="s">
        <v>755</v>
      </c>
      <c r="J813" s="2" t="s">
        <v>754</v>
      </c>
      <c r="K813" s="2" t="s">
        <v>753</v>
      </c>
      <c r="L813" s="6">
        <v>0</v>
      </c>
      <c r="M813" s="2" t="s">
        <v>752</v>
      </c>
      <c r="N813" s="7">
        <v>31.42</v>
      </c>
      <c r="O813" s="4">
        <v>0</v>
      </c>
      <c r="P813" s="4">
        <v>0</v>
      </c>
      <c r="Q813" s="6">
        <v>0</v>
      </c>
    </row>
    <row r="814" spans="1:17" x14ac:dyDescent="0.25">
      <c r="A814" s="2" t="s">
        <v>464</v>
      </c>
      <c r="B814" s="2" t="s">
        <v>29</v>
      </c>
      <c r="C814" s="2" t="s">
        <v>30</v>
      </c>
      <c r="D814" s="2" t="s">
        <v>758</v>
      </c>
      <c r="E814" s="2" t="s">
        <v>815</v>
      </c>
      <c r="F814" s="2" t="s">
        <v>814</v>
      </c>
      <c r="G814" s="3">
        <v>46105</v>
      </c>
      <c r="H814" s="2" t="s">
        <v>753</v>
      </c>
      <c r="I814" s="2" t="s">
        <v>755</v>
      </c>
      <c r="J814" s="2" t="s">
        <v>754</v>
      </c>
      <c r="K814" s="2" t="s">
        <v>753</v>
      </c>
      <c r="L814" s="6">
        <v>628</v>
      </c>
      <c r="M814" s="2" t="s">
        <v>752</v>
      </c>
      <c r="N814" s="7">
        <v>34</v>
      </c>
      <c r="O814" s="4">
        <v>21352</v>
      </c>
      <c r="P814" s="4">
        <v>21352</v>
      </c>
      <c r="Q814" s="6">
        <v>0</v>
      </c>
    </row>
    <row r="815" spans="1:17" x14ac:dyDescent="0.25">
      <c r="A815" s="2" t="s">
        <v>464</v>
      </c>
      <c r="B815" s="2" t="s">
        <v>29</v>
      </c>
      <c r="C815" s="2" t="s">
        <v>30</v>
      </c>
      <c r="D815" s="2" t="s">
        <v>758</v>
      </c>
      <c r="E815" s="2" t="s">
        <v>813</v>
      </c>
      <c r="F815" s="2" t="s">
        <v>812</v>
      </c>
      <c r="G815" s="3">
        <v>46105</v>
      </c>
      <c r="H815" s="2" t="s">
        <v>753</v>
      </c>
      <c r="I815" s="2" t="s">
        <v>755</v>
      </c>
      <c r="J815" s="2" t="s">
        <v>754</v>
      </c>
      <c r="K815" s="2" t="s">
        <v>753</v>
      </c>
      <c r="L815" s="6">
        <v>0</v>
      </c>
      <c r="M815" s="2" t="s">
        <v>752</v>
      </c>
      <c r="N815" s="7">
        <v>43.26</v>
      </c>
      <c r="O815" s="4">
        <v>0</v>
      </c>
      <c r="P815" s="4">
        <v>0</v>
      </c>
      <c r="Q815" s="6">
        <v>0</v>
      </c>
    </row>
    <row r="816" spans="1:17" x14ac:dyDescent="0.25">
      <c r="A816" s="2" t="s">
        <v>464</v>
      </c>
      <c r="B816" s="2" t="s">
        <v>29</v>
      </c>
      <c r="C816" s="2" t="s">
        <v>30</v>
      </c>
      <c r="D816" s="2" t="s">
        <v>758</v>
      </c>
      <c r="E816" s="2" t="s">
        <v>763</v>
      </c>
      <c r="F816" s="2" t="s">
        <v>762</v>
      </c>
      <c r="G816" s="3">
        <v>46105</v>
      </c>
      <c r="H816" s="2" t="s">
        <v>753</v>
      </c>
      <c r="I816" s="2" t="s">
        <v>755</v>
      </c>
      <c r="J816" s="2" t="s">
        <v>754</v>
      </c>
      <c r="K816" s="2" t="s">
        <v>753</v>
      </c>
      <c r="L816" s="6">
        <v>112</v>
      </c>
      <c r="M816" s="2" t="s">
        <v>752</v>
      </c>
      <c r="N816" s="7">
        <v>43.36</v>
      </c>
      <c r="O816" s="4">
        <v>4856.32</v>
      </c>
      <c r="P816" s="4">
        <v>4856.32</v>
      </c>
      <c r="Q816" s="6">
        <v>0</v>
      </c>
    </row>
    <row r="817" spans="1:17" x14ac:dyDescent="0.25">
      <c r="A817" s="2" t="s">
        <v>464</v>
      </c>
      <c r="B817" s="2" t="s">
        <v>29</v>
      </c>
      <c r="C817" s="2" t="s">
        <v>30</v>
      </c>
      <c r="D817" s="2" t="s">
        <v>758</v>
      </c>
      <c r="E817" s="2" t="s">
        <v>952</v>
      </c>
      <c r="F817" s="2" t="s">
        <v>951</v>
      </c>
      <c r="G817" s="3">
        <v>46105</v>
      </c>
      <c r="H817" s="2" t="s">
        <v>753</v>
      </c>
      <c r="I817" s="2" t="s">
        <v>755</v>
      </c>
      <c r="J817" s="2" t="s">
        <v>754</v>
      </c>
      <c r="K817" s="2" t="s">
        <v>753</v>
      </c>
      <c r="L817" s="6">
        <v>0</v>
      </c>
      <c r="M817" s="2" t="s">
        <v>752</v>
      </c>
      <c r="N817" s="7">
        <v>44.77</v>
      </c>
      <c r="O817" s="4">
        <v>0</v>
      </c>
      <c r="P817" s="4">
        <v>0</v>
      </c>
      <c r="Q817" s="6">
        <v>0</v>
      </c>
    </row>
    <row r="818" spans="1:17" x14ac:dyDescent="0.25">
      <c r="A818" s="2" t="s">
        <v>464</v>
      </c>
      <c r="B818" s="2" t="s">
        <v>29</v>
      </c>
      <c r="C818" s="2" t="s">
        <v>30</v>
      </c>
      <c r="D818" s="2" t="s">
        <v>758</v>
      </c>
      <c r="E818" s="2" t="s">
        <v>809</v>
      </c>
      <c r="F818" s="2" t="s">
        <v>808</v>
      </c>
      <c r="G818" s="3">
        <v>46105</v>
      </c>
      <c r="H818" s="2" t="s">
        <v>753</v>
      </c>
      <c r="I818" s="2" t="s">
        <v>755</v>
      </c>
      <c r="J818" s="2" t="s">
        <v>754</v>
      </c>
      <c r="K818" s="2" t="s">
        <v>753</v>
      </c>
      <c r="L818" s="6">
        <v>0</v>
      </c>
      <c r="M818" s="2" t="s">
        <v>752</v>
      </c>
      <c r="N818" s="7">
        <v>39.53</v>
      </c>
      <c r="O818" s="4">
        <v>0</v>
      </c>
      <c r="P818" s="4">
        <v>0</v>
      </c>
      <c r="Q818" s="6">
        <v>0</v>
      </c>
    </row>
    <row r="819" spans="1:17" x14ac:dyDescent="0.25">
      <c r="A819" s="2" t="s">
        <v>464</v>
      </c>
      <c r="B819" s="2" t="s">
        <v>29</v>
      </c>
      <c r="C819" s="2" t="s">
        <v>30</v>
      </c>
      <c r="D819" s="2" t="s">
        <v>758</v>
      </c>
      <c r="E819" s="2" t="s">
        <v>873</v>
      </c>
      <c r="F819" s="2" t="s">
        <v>872</v>
      </c>
      <c r="G819" s="3">
        <v>46105</v>
      </c>
      <c r="H819" s="2" t="s">
        <v>753</v>
      </c>
      <c r="I819" s="2" t="s">
        <v>755</v>
      </c>
      <c r="J819" s="2" t="s">
        <v>754</v>
      </c>
      <c r="K819" s="2" t="s">
        <v>753</v>
      </c>
      <c r="L819" s="6">
        <v>0</v>
      </c>
      <c r="M819" s="2" t="s">
        <v>752</v>
      </c>
      <c r="N819" s="7">
        <v>36.979999999999997</v>
      </c>
      <c r="O819" s="4">
        <v>0</v>
      </c>
      <c r="P819" s="4">
        <v>0</v>
      </c>
      <c r="Q819" s="6">
        <v>0</v>
      </c>
    </row>
    <row r="820" spans="1:17" x14ac:dyDescent="0.25">
      <c r="A820" s="2" t="s">
        <v>464</v>
      </c>
      <c r="B820" s="2" t="s">
        <v>29</v>
      </c>
      <c r="C820" s="2" t="s">
        <v>30</v>
      </c>
      <c r="D820" s="2" t="s">
        <v>758</v>
      </c>
      <c r="E820" s="2" t="s">
        <v>805</v>
      </c>
      <c r="F820" s="2" t="s">
        <v>804</v>
      </c>
      <c r="G820" s="3">
        <v>46105</v>
      </c>
      <c r="H820" s="2" t="s">
        <v>753</v>
      </c>
      <c r="I820" s="2" t="s">
        <v>755</v>
      </c>
      <c r="J820" s="2" t="s">
        <v>754</v>
      </c>
      <c r="K820" s="2" t="s">
        <v>753</v>
      </c>
      <c r="L820" s="6">
        <v>100</v>
      </c>
      <c r="M820" s="2" t="s">
        <v>752</v>
      </c>
      <c r="N820" s="7">
        <v>41</v>
      </c>
      <c r="O820" s="4">
        <v>4100</v>
      </c>
      <c r="P820" s="4">
        <v>4100</v>
      </c>
      <c r="Q820" s="6">
        <v>0</v>
      </c>
    </row>
    <row r="821" spans="1:17" x14ac:dyDescent="0.25">
      <c r="A821" s="2" t="s">
        <v>434</v>
      </c>
      <c r="B821" s="2" t="s">
        <v>87</v>
      </c>
      <c r="C821" s="2" t="s">
        <v>88</v>
      </c>
      <c r="D821" s="2" t="s">
        <v>758</v>
      </c>
      <c r="E821" s="2" t="s">
        <v>786</v>
      </c>
      <c r="F821" s="2" t="s">
        <v>785</v>
      </c>
      <c r="G821" s="3">
        <v>46112</v>
      </c>
      <c r="H821" s="2" t="s">
        <v>753</v>
      </c>
      <c r="I821" s="2" t="s">
        <v>755</v>
      </c>
      <c r="J821" s="2" t="s">
        <v>754</v>
      </c>
      <c r="K821" s="2" t="s">
        <v>753</v>
      </c>
      <c r="L821" s="6">
        <v>28</v>
      </c>
      <c r="M821" s="2" t="s">
        <v>752</v>
      </c>
      <c r="N821" s="7">
        <v>35</v>
      </c>
      <c r="O821" s="4">
        <v>980</v>
      </c>
      <c r="P821" s="4">
        <v>980</v>
      </c>
      <c r="Q821" s="6">
        <v>0</v>
      </c>
    </row>
    <row r="822" spans="1:17" x14ac:dyDescent="0.25">
      <c r="A822" s="2" t="s">
        <v>434</v>
      </c>
      <c r="B822" s="2" t="s">
        <v>87</v>
      </c>
      <c r="C822" s="2" t="s">
        <v>88</v>
      </c>
      <c r="D822" s="2" t="s">
        <v>758</v>
      </c>
      <c r="E822" s="2" t="s">
        <v>766</v>
      </c>
      <c r="F822" s="2" t="s">
        <v>765</v>
      </c>
      <c r="G822" s="3">
        <v>46112</v>
      </c>
      <c r="H822" s="2" t="s">
        <v>753</v>
      </c>
      <c r="I822" s="2" t="s">
        <v>755</v>
      </c>
      <c r="J822" s="2" t="s">
        <v>754</v>
      </c>
      <c r="K822" s="2" t="s">
        <v>753</v>
      </c>
      <c r="L822" s="6">
        <v>40</v>
      </c>
      <c r="M822" s="2" t="s">
        <v>752</v>
      </c>
      <c r="N822" s="7">
        <v>40</v>
      </c>
      <c r="O822" s="4">
        <v>1600</v>
      </c>
      <c r="P822" s="4">
        <v>1600</v>
      </c>
      <c r="Q822" s="6">
        <v>0</v>
      </c>
    </row>
    <row r="823" spans="1:17" x14ac:dyDescent="0.25">
      <c r="A823" s="2" t="s">
        <v>434</v>
      </c>
      <c r="B823" s="2" t="s">
        <v>87</v>
      </c>
      <c r="C823" s="2" t="s">
        <v>88</v>
      </c>
      <c r="D823" s="2" t="s">
        <v>758</v>
      </c>
      <c r="E823" s="2" t="s">
        <v>940</v>
      </c>
      <c r="F823" s="2" t="s">
        <v>939</v>
      </c>
      <c r="G823" s="3">
        <v>46112</v>
      </c>
      <c r="H823" s="2" t="s">
        <v>753</v>
      </c>
      <c r="I823" s="2" t="s">
        <v>755</v>
      </c>
      <c r="J823" s="2" t="s">
        <v>754</v>
      </c>
      <c r="K823" s="2" t="s">
        <v>753</v>
      </c>
      <c r="L823" s="6">
        <v>15</v>
      </c>
      <c r="M823" s="2" t="s">
        <v>752</v>
      </c>
      <c r="N823" s="7">
        <v>56</v>
      </c>
      <c r="O823" s="4">
        <v>840</v>
      </c>
      <c r="P823" s="4">
        <v>840</v>
      </c>
      <c r="Q823" s="6">
        <v>0</v>
      </c>
    </row>
    <row r="824" spans="1:17" x14ac:dyDescent="0.25">
      <c r="A824" s="2" t="s">
        <v>434</v>
      </c>
      <c r="B824" s="2" t="s">
        <v>87</v>
      </c>
      <c r="C824" s="2" t="s">
        <v>88</v>
      </c>
      <c r="D824" s="2" t="s">
        <v>758</v>
      </c>
      <c r="E824" s="2" t="s">
        <v>845</v>
      </c>
      <c r="F824" s="2" t="s">
        <v>844</v>
      </c>
      <c r="G824" s="3">
        <v>46112</v>
      </c>
      <c r="H824" s="2" t="s">
        <v>753</v>
      </c>
      <c r="I824" s="2" t="s">
        <v>755</v>
      </c>
      <c r="J824" s="2" t="s">
        <v>754</v>
      </c>
      <c r="K824" s="2" t="s">
        <v>753</v>
      </c>
      <c r="L824" s="6">
        <v>80</v>
      </c>
      <c r="M824" s="2" t="s">
        <v>752</v>
      </c>
      <c r="N824" s="7">
        <v>40.119999999999997</v>
      </c>
      <c r="O824" s="4">
        <v>3209.6</v>
      </c>
      <c r="P824" s="4">
        <v>3209.6</v>
      </c>
      <c r="Q824" s="6">
        <v>0</v>
      </c>
    </row>
    <row r="825" spans="1:17" x14ac:dyDescent="0.25">
      <c r="A825" s="2" t="s">
        <v>434</v>
      </c>
      <c r="B825" s="2" t="s">
        <v>87</v>
      </c>
      <c r="C825" s="2" t="s">
        <v>88</v>
      </c>
      <c r="D825" s="2" t="s">
        <v>758</v>
      </c>
      <c r="E825" s="2" t="s">
        <v>910</v>
      </c>
      <c r="F825" s="2" t="s">
        <v>909</v>
      </c>
      <c r="G825" s="3">
        <v>46112</v>
      </c>
      <c r="H825" s="2" t="s">
        <v>753</v>
      </c>
      <c r="I825" s="2" t="s">
        <v>755</v>
      </c>
      <c r="J825" s="2" t="s">
        <v>754</v>
      </c>
      <c r="K825" s="2" t="s">
        <v>753</v>
      </c>
      <c r="L825" s="6">
        <v>8</v>
      </c>
      <c r="M825" s="2" t="s">
        <v>752</v>
      </c>
      <c r="N825" s="7">
        <v>42.03</v>
      </c>
      <c r="O825" s="4">
        <v>336.24</v>
      </c>
      <c r="P825" s="4">
        <v>336.24</v>
      </c>
      <c r="Q825" s="6">
        <v>0</v>
      </c>
    </row>
    <row r="826" spans="1:17" x14ac:dyDescent="0.25">
      <c r="A826" s="2" t="s">
        <v>434</v>
      </c>
      <c r="B826" s="2" t="s">
        <v>87</v>
      </c>
      <c r="C826" s="2" t="s">
        <v>88</v>
      </c>
      <c r="D826" s="2" t="s">
        <v>758</v>
      </c>
      <c r="E826" s="2" t="s">
        <v>908</v>
      </c>
      <c r="F826" s="2" t="s">
        <v>907</v>
      </c>
      <c r="G826" s="3">
        <v>46112</v>
      </c>
      <c r="H826" s="2" t="s">
        <v>753</v>
      </c>
      <c r="I826" s="2" t="s">
        <v>755</v>
      </c>
      <c r="J826" s="2" t="s">
        <v>754</v>
      </c>
      <c r="K826" s="2" t="s">
        <v>753</v>
      </c>
      <c r="L826" s="6">
        <v>112</v>
      </c>
      <c r="M826" s="2" t="s">
        <v>752</v>
      </c>
      <c r="N826" s="7">
        <v>39</v>
      </c>
      <c r="O826" s="4">
        <v>4368</v>
      </c>
      <c r="P826" s="4">
        <v>4368</v>
      </c>
      <c r="Q826" s="6">
        <v>0</v>
      </c>
    </row>
    <row r="827" spans="1:17" x14ac:dyDescent="0.25">
      <c r="A827" s="2" t="s">
        <v>434</v>
      </c>
      <c r="B827" s="2" t="s">
        <v>87</v>
      </c>
      <c r="C827" s="2" t="s">
        <v>88</v>
      </c>
      <c r="D827" s="2" t="s">
        <v>758</v>
      </c>
      <c r="E827" s="2" t="s">
        <v>815</v>
      </c>
      <c r="F827" s="2" t="s">
        <v>814</v>
      </c>
      <c r="G827" s="3">
        <v>46112</v>
      </c>
      <c r="H827" s="2" t="s">
        <v>753</v>
      </c>
      <c r="I827" s="2" t="s">
        <v>755</v>
      </c>
      <c r="J827" s="2" t="s">
        <v>754</v>
      </c>
      <c r="K827" s="2" t="s">
        <v>753</v>
      </c>
      <c r="L827" s="6">
        <v>40</v>
      </c>
      <c r="M827" s="2" t="s">
        <v>752</v>
      </c>
      <c r="N827" s="7">
        <v>36.24</v>
      </c>
      <c r="O827" s="4">
        <v>1449.6</v>
      </c>
      <c r="P827" s="4">
        <v>1449.6</v>
      </c>
      <c r="Q827" s="6">
        <v>0</v>
      </c>
    </row>
    <row r="828" spans="1:17" x14ac:dyDescent="0.25">
      <c r="A828" s="2" t="s">
        <v>434</v>
      </c>
      <c r="B828" s="2" t="s">
        <v>87</v>
      </c>
      <c r="C828" s="2" t="s">
        <v>88</v>
      </c>
      <c r="D828" s="2" t="s">
        <v>758</v>
      </c>
      <c r="E828" s="2" t="s">
        <v>757</v>
      </c>
      <c r="F828" s="2" t="s">
        <v>756</v>
      </c>
      <c r="G828" s="3">
        <v>46112</v>
      </c>
      <c r="H828" s="2" t="s">
        <v>753</v>
      </c>
      <c r="I828" s="2" t="s">
        <v>755</v>
      </c>
      <c r="J828" s="2" t="s">
        <v>754</v>
      </c>
      <c r="K828" s="2" t="s">
        <v>753</v>
      </c>
      <c r="L828" s="6">
        <v>28</v>
      </c>
      <c r="M828" s="2" t="s">
        <v>752</v>
      </c>
      <c r="N828" s="7">
        <v>41.5</v>
      </c>
      <c r="O828" s="4">
        <v>1162</v>
      </c>
      <c r="P828" s="4">
        <v>1162</v>
      </c>
      <c r="Q828" s="6">
        <v>0</v>
      </c>
    </row>
    <row r="829" spans="1:17" x14ac:dyDescent="0.25">
      <c r="A829" s="2" t="s">
        <v>434</v>
      </c>
      <c r="B829" s="2" t="s">
        <v>87</v>
      </c>
      <c r="C829" s="2" t="s">
        <v>88</v>
      </c>
      <c r="D829" s="2" t="s">
        <v>758</v>
      </c>
      <c r="E829" s="2" t="s">
        <v>763</v>
      </c>
      <c r="F829" s="2" t="s">
        <v>762</v>
      </c>
      <c r="G829" s="3">
        <v>46112</v>
      </c>
      <c r="H829" s="2" t="s">
        <v>753</v>
      </c>
      <c r="I829" s="2" t="s">
        <v>755</v>
      </c>
      <c r="J829" s="2" t="s">
        <v>754</v>
      </c>
      <c r="K829" s="2" t="s">
        <v>753</v>
      </c>
      <c r="L829" s="6">
        <v>220</v>
      </c>
      <c r="M829" s="2" t="s">
        <v>752</v>
      </c>
      <c r="N829" s="7">
        <v>45.49</v>
      </c>
      <c r="O829" s="4">
        <v>10007.799999999999</v>
      </c>
      <c r="P829" s="4">
        <v>10007.799999999999</v>
      </c>
      <c r="Q829" s="6">
        <v>0</v>
      </c>
    </row>
    <row r="830" spans="1:17" x14ac:dyDescent="0.25">
      <c r="A830" s="2" t="s">
        <v>434</v>
      </c>
      <c r="B830" s="2" t="s">
        <v>87</v>
      </c>
      <c r="C830" s="2" t="s">
        <v>88</v>
      </c>
      <c r="D830" s="2" t="s">
        <v>758</v>
      </c>
      <c r="E830" s="2" t="s">
        <v>774</v>
      </c>
      <c r="F830" s="2" t="s">
        <v>773</v>
      </c>
      <c r="G830" s="3">
        <v>46112</v>
      </c>
      <c r="H830" s="2" t="s">
        <v>753</v>
      </c>
      <c r="I830" s="2" t="s">
        <v>755</v>
      </c>
      <c r="J830" s="2" t="s">
        <v>754</v>
      </c>
      <c r="K830" s="2" t="s">
        <v>753</v>
      </c>
      <c r="L830" s="6">
        <v>8</v>
      </c>
      <c r="M830" s="2" t="s">
        <v>752</v>
      </c>
      <c r="N830" s="7">
        <v>37.020000000000003</v>
      </c>
      <c r="O830" s="4">
        <v>296.16000000000003</v>
      </c>
      <c r="P830" s="4">
        <v>296.16000000000003</v>
      </c>
      <c r="Q830" s="6">
        <v>0</v>
      </c>
    </row>
    <row r="831" spans="1:17" x14ac:dyDescent="0.25">
      <c r="A831" s="2" t="s">
        <v>434</v>
      </c>
      <c r="B831" s="2" t="s">
        <v>87</v>
      </c>
      <c r="C831" s="2" t="s">
        <v>88</v>
      </c>
      <c r="D831" s="2" t="s">
        <v>758</v>
      </c>
      <c r="E831" s="2" t="s">
        <v>863</v>
      </c>
      <c r="F831" s="2" t="s">
        <v>862</v>
      </c>
      <c r="G831" s="3">
        <v>46112</v>
      </c>
      <c r="H831" s="2" t="s">
        <v>753</v>
      </c>
      <c r="I831" s="2" t="s">
        <v>755</v>
      </c>
      <c r="J831" s="2" t="s">
        <v>754</v>
      </c>
      <c r="K831" s="2" t="s">
        <v>753</v>
      </c>
      <c r="L831" s="6">
        <v>8</v>
      </c>
      <c r="M831" s="2" t="s">
        <v>752</v>
      </c>
      <c r="N831" s="7">
        <v>52.47</v>
      </c>
      <c r="O831" s="4">
        <v>419.76</v>
      </c>
      <c r="P831" s="4">
        <v>419.76</v>
      </c>
      <c r="Q831" s="6">
        <v>0</v>
      </c>
    </row>
    <row r="832" spans="1:17" x14ac:dyDescent="0.25">
      <c r="A832" s="2" t="s">
        <v>434</v>
      </c>
      <c r="B832" s="2" t="s">
        <v>87</v>
      </c>
      <c r="C832" s="2" t="s">
        <v>88</v>
      </c>
      <c r="D832" s="2" t="s">
        <v>758</v>
      </c>
      <c r="E832" s="2" t="s">
        <v>813</v>
      </c>
      <c r="F832" s="2" t="s">
        <v>812</v>
      </c>
      <c r="G832" s="3">
        <v>46112</v>
      </c>
      <c r="H832" s="2" t="s">
        <v>753</v>
      </c>
      <c r="I832" s="2" t="s">
        <v>755</v>
      </c>
      <c r="J832" s="2" t="s">
        <v>754</v>
      </c>
      <c r="K832" s="2" t="s">
        <v>753</v>
      </c>
      <c r="L832" s="6">
        <v>12</v>
      </c>
      <c r="M832" s="2" t="s">
        <v>752</v>
      </c>
      <c r="N832" s="7">
        <v>54</v>
      </c>
      <c r="O832" s="4">
        <v>648</v>
      </c>
      <c r="P832" s="4">
        <v>648</v>
      </c>
      <c r="Q832" s="6">
        <v>0</v>
      </c>
    </row>
    <row r="833" spans="1:17" x14ac:dyDescent="0.25">
      <c r="A833" s="2" t="s">
        <v>434</v>
      </c>
      <c r="B833" s="2" t="s">
        <v>87</v>
      </c>
      <c r="C833" s="2" t="s">
        <v>88</v>
      </c>
      <c r="D833" s="2" t="s">
        <v>758</v>
      </c>
      <c r="E833" s="2" t="s">
        <v>776</v>
      </c>
      <c r="F833" s="2" t="s">
        <v>775</v>
      </c>
      <c r="G833" s="3">
        <v>46112</v>
      </c>
      <c r="H833" s="2" t="s">
        <v>753</v>
      </c>
      <c r="I833" s="2" t="s">
        <v>755</v>
      </c>
      <c r="J833" s="2" t="s">
        <v>754</v>
      </c>
      <c r="K833" s="2" t="s">
        <v>753</v>
      </c>
      <c r="L833" s="6">
        <v>4</v>
      </c>
      <c r="M833" s="2" t="s">
        <v>752</v>
      </c>
      <c r="N833" s="7">
        <v>43.2</v>
      </c>
      <c r="O833" s="4">
        <v>172.8</v>
      </c>
      <c r="P833" s="4">
        <v>172.8</v>
      </c>
      <c r="Q833" s="6">
        <v>0</v>
      </c>
    </row>
    <row r="834" spans="1:17" x14ac:dyDescent="0.25">
      <c r="A834" s="2" t="s">
        <v>434</v>
      </c>
      <c r="B834" s="2" t="s">
        <v>87</v>
      </c>
      <c r="C834" s="2" t="s">
        <v>88</v>
      </c>
      <c r="D834" s="2" t="s">
        <v>758</v>
      </c>
      <c r="E834" s="2" t="s">
        <v>807</v>
      </c>
      <c r="F834" s="2" t="s">
        <v>806</v>
      </c>
      <c r="G834" s="3">
        <v>46112</v>
      </c>
      <c r="H834" s="2" t="s">
        <v>753</v>
      </c>
      <c r="I834" s="2" t="s">
        <v>755</v>
      </c>
      <c r="J834" s="2" t="s">
        <v>754</v>
      </c>
      <c r="K834" s="2" t="s">
        <v>753</v>
      </c>
      <c r="L834" s="6">
        <v>28</v>
      </c>
      <c r="M834" s="2" t="s">
        <v>752</v>
      </c>
      <c r="N834" s="7">
        <v>44.15</v>
      </c>
      <c r="O834" s="4">
        <v>1236.2</v>
      </c>
      <c r="P834" s="4">
        <v>1236.2</v>
      </c>
      <c r="Q834" s="6">
        <v>0</v>
      </c>
    </row>
    <row r="835" spans="1:17" x14ac:dyDescent="0.25">
      <c r="A835" s="2" t="s">
        <v>434</v>
      </c>
      <c r="B835" s="2" t="s">
        <v>87</v>
      </c>
      <c r="C835" s="2" t="s">
        <v>88</v>
      </c>
      <c r="D835" s="2" t="s">
        <v>758</v>
      </c>
      <c r="E835" s="2" t="s">
        <v>782</v>
      </c>
      <c r="F835" s="2" t="s">
        <v>781</v>
      </c>
      <c r="G835" s="3">
        <v>46112</v>
      </c>
      <c r="H835" s="2" t="s">
        <v>753</v>
      </c>
      <c r="I835" s="2" t="s">
        <v>755</v>
      </c>
      <c r="J835" s="2" t="s">
        <v>754</v>
      </c>
      <c r="K835" s="2" t="s">
        <v>753</v>
      </c>
      <c r="L835" s="6">
        <v>0</v>
      </c>
      <c r="M835" s="2" t="s">
        <v>752</v>
      </c>
      <c r="N835" s="7">
        <v>36.6</v>
      </c>
      <c r="O835" s="4">
        <v>0</v>
      </c>
      <c r="P835" s="4">
        <v>0</v>
      </c>
      <c r="Q835" s="6">
        <v>0</v>
      </c>
    </row>
    <row r="836" spans="1:17" x14ac:dyDescent="0.25">
      <c r="A836" s="2" t="s">
        <v>434</v>
      </c>
      <c r="B836" s="2" t="s">
        <v>87</v>
      </c>
      <c r="C836" s="2" t="s">
        <v>88</v>
      </c>
      <c r="D836" s="2" t="s">
        <v>758</v>
      </c>
      <c r="E836" s="2" t="s">
        <v>904</v>
      </c>
      <c r="F836" s="2" t="s">
        <v>903</v>
      </c>
      <c r="G836" s="3">
        <v>46112</v>
      </c>
      <c r="H836" s="2" t="s">
        <v>753</v>
      </c>
      <c r="I836" s="2" t="s">
        <v>755</v>
      </c>
      <c r="J836" s="2" t="s">
        <v>754</v>
      </c>
      <c r="K836" s="2" t="s">
        <v>753</v>
      </c>
      <c r="L836" s="6">
        <v>12</v>
      </c>
      <c r="M836" s="2" t="s">
        <v>752</v>
      </c>
      <c r="N836" s="7">
        <v>40.22</v>
      </c>
      <c r="O836" s="4">
        <v>482.64</v>
      </c>
      <c r="P836" s="4">
        <v>482.64</v>
      </c>
      <c r="Q836" s="6">
        <v>0</v>
      </c>
    </row>
    <row r="837" spans="1:17" x14ac:dyDescent="0.25">
      <c r="A837" s="2" t="s">
        <v>434</v>
      </c>
      <c r="B837" s="2" t="s">
        <v>87</v>
      </c>
      <c r="C837" s="2" t="s">
        <v>88</v>
      </c>
      <c r="D837" s="2" t="s">
        <v>758</v>
      </c>
      <c r="E837" s="2" t="s">
        <v>855</v>
      </c>
      <c r="F837" s="2" t="s">
        <v>854</v>
      </c>
      <c r="G837" s="3">
        <v>46112</v>
      </c>
      <c r="H837" s="2" t="s">
        <v>753</v>
      </c>
      <c r="I837" s="2" t="s">
        <v>755</v>
      </c>
      <c r="J837" s="2" t="s">
        <v>754</v>
      </c>
      <c r="K837" s="2" t="s">
        <v>753</v>
      </c>
      <c r="L837" s="6">
        <v>84</v>
      </c>
      <c r="M837" s="2" t="s">
        <v>752</v>
      </c>
      <c r="N837" s="7">
        <v>42.37</v>
      </c>
      <c r="O837" s="4">
        <v>3559.08</v>
      </c>
      <c r="P837" s="4">
        <v>3559.08</v>
      </c>
      <c r="Q837" s="6">
        <v>0</v>
      </c>
    </row>
    <row r="838" spans="1:17" x14ac:dyDescent="0.25">
      <c r="A838" s="2" t="s">
        <v>434</v>
      </c>
      <c r="B838" s="2" t="s">
        <v>87</v>
      </c>
      <c r="C838" s="2" t="s">
        <v>88</v>
      </c>
      <c r="D838" s="2" t="s">
        <v>758</v>
      </c>
      <c r="E838" s="2" t="s">
        <v>902</v>
      </c>
      <c r="F838" s="2" t="s">
        <v>901</v>
      </c>
      <c r="G838" s="3">
        <v>46112</v>
      </c>
      <c r="H838" s="2" t="s">
        <v>753</v>
      </c>
      <c r="I838" s="2" t="s">
        <v>755</v>
      </c>
      <c r="J838" s="2" t="s">
        <v>754</v>
      </c>
      <c r="K838" s="2" t="s">
        <v>753</v>
      </c>
      <c r="L838" s="6">
        <v>16</v>
      </c>
      <c r="M838" s="2" t="s">
        <v>752</v>
      </c>
      <c r="N838" s="7">
        <v>42.22</v>
      </c>
      <c r="O838" s="4">
        <v>675.52</v>
      </c>
      <c r="P838" s="4">
        <v>675.52</v>
      </c>
      <c r="Q838" s="6">
        <v>0</v>
      </c>
    </row>
    <row r="839" spans="1:17" x14ac:dyDescent="0.25">
      <c r="A839" s="2" t="s">
        <v>434</v>
      </c>
      <c r="B839" s="2" t="s">
        <v>87</v>
      </c>
      <c r="C839" s="2" t="s">
        <v>88</v>
      </c>
      <c r="D839" s="2" t="s">
        <v>758</v>
      </c>
      <c r="E839" s="2" t="s">
        <v>954</v>
      </c>
      <c r="F839" s="2" t="s">
        <v>953</v>
      </c>
      <c r="G839" s="3">
        <v>46112</v>
      </c>
      <c r="H839" s="2" t="s">
        <v>753</v>
      </c>
      <c r="I839" s="2" t="s">
        <v>755</v>
      </c>
      <c r="J839" s="2" t="s">
        <v>754</v>
      </c>
      <c r="K839" s="2" t="s">
        <v>753</v>
      </c>
      <c r="L839" s="6">
        <v>4</v>
      </c>
      <c r="M839" s="2" t="s">
        <v>752</v>
      </c>
      <c r="N839" s="7">
        <v>36.24</v>
      </c>
      <c r="O839" s="4">
        <v>144.96</v>
      </c>
      <c r="P839" s="4">
        <v>144.96</v>
      </c>
      <c r="Q839" s="6">
        <v>0</v>
      </c>
    </row>
    <row r="840" spans="1:17" x14ac:dyDescent="0.25">
      <c r="A840" s="2" t="s">
        <v>434</v>
      </c>
      <c r="B840" s="2" t="s">
        <v>87</v>
      </c>
      <c r="C840" s="2" t="s">
        <v>88</v>
      </c>
      <c r="D840" s="2" t="s">
        <v>758</v>
      </c>
      <c r="E840" s="2" t="s">
        <v>900</v>
      </c>
      <c r="F840" s="2" t="s">
        <v>899</v>
      </c>
      <c r="G840" s="3">
        <v>46112</v>
      </c>
      <c r="H840" s="2" t="s">
        <v>753</v>
      </c>
      <c r="I840" s="2" t="s">
        <v>755</v>
      </c>
      <c r="J840" s="2" t="s">
        <v>754</v>
      </c>
      <c r="K840" s="2" t="s">
        <v>753</v>
      </c>
      <c r="L840" s="6">
        <v>28</v>
      </c>
      <c r="M840" s="2" t="s">
        <v>752</v>
      </c>
      <c r="N840" s="7">
        <v>32.549999999999997</v>
      </c>
      <c r="O840" s="4">
        <v>911.4</v>
      </c>
      <c r="P840" s="4">
        <v>911.4</v>
      </c>
      <c r="Q840" s="6">
        <v>0</v>
      </c>
    </row>
    <row r="841" spans="1:17" x14ac:dyDescent="0.25">
      <c r="A841" s="2" t="s">
        <v>434</v>
      </c>
      <c r="B841" s="2" t="s">
        <v>87</v>
      </c>
      <c r="C841" s="2" t="s">
        <v>88</v>
      </c>
      <c r="D841" s="2" t="s">
        <v>758</v>
      </c>
      <c r="E841" s="2" t="s">
        <v>780</v>
      </c>
      <c r="F841" s="2" t="s">
        <v>779</v>
      </c>
      <c r="G841" s="3">
        <v>46112</v>
      </c>
      <c r="H841" s="2" t="s">
        <v>753</v>
      </c>
      <c r="I841" s="2" t="s">
        <v>755</v>
      </c>
      <c r="J841" s="2" t="s">
        <v>754</v>
      </c>
      <c r="K841" s="2" t="s">
        <v>753</v>
      </c>
      <c r="L841" s="6">
        <v>4</v>
      </c>
      <c r="M841" s="2" t="s">
        <v>752</v>
      </c>
      <c r="N841" s="7">
        <v>35.57</v>
      </c>
      <c r="O841" s="4">
        <v>142.28</v>
      </c>
      <c r="P841" s="4">
        <v>142.28</v>
      </c>
      <c r="Q841" s="6">
        <v>0</v>
      </c>
    </row>
    <row r="842" spans="1:17" x14ac:dyDescent="0.25">
      <c r="A842" s="2" t="s">
        <v>434</v>
      </c>
      <c r="B842" s="2" t="s">
        <v>87</v>
      </c>
      <c r="C842" s="2" t="s">
        <v>88</v>
      </c>
      <c r="D842" s="2" t="s">
        <v>758</v>
      </c>
      <c r="E842" s="2" t="s">
        <v>898</v>
      </c>
      <c r="F842" s="2" t="s">
        <v>897</v>
      </c>
      <c r="G842" s="3">
        <v>46112</v>
      </c>
      <c r="H842" s="2" t="s">
        <v>753</v>
      </c>
      <c r="I842" s="2" t="s">
        <v>755</v>
      </c>
      <c r="J842" s="2" t="s">
        <v>754</v>
      </c>
      <c r="K842" s="2" t="s">
        <v>753</v>
      </c>
      <c r="L842" s="6">
        <v>28</v>
      </c>
      <c r="M842" s="2" t="s">
        <v>752</v>
      </c>
      <c r="N842" s="7">
        <v>41.25</v>
      </c>
      <c r="O842" s="4">
        <v>1155</v>
      </c>
      <c r="P842" s="4">
        <v>1155</v>
      </c>
      <c r="Q842" s="6">
        <v>0</v>
      </c>
    </row>
    <row r="843" spans="1:17" x14ac:dyDescent="0.25">
      <c r="A843" s="2" t="s">
        <v>434</v>
      </c>
      <c r="B843" s="2" t="s">
        <v>87</v>
      </c>
      <c r="C843" s="2" t="s">
        <v>88</v>
      </c>
      <c r="D843" s="2" t="s">
        <v>758</v>
      </c>
      <c r="E843" s="2" t="s">
        <v>819</v>
      </c>
      <c r="F843" s="2" t="s">
        <v>818</v>
      </c>
      <c r="G843" s="3">
        <v>46112</v>
      </c>
      <c r="H843" s="2" t="s">
        <v>753</v>
      </c>
      <c r="I843" s="2" t="s">
        <v>755</v>
      </c>
      <c r="J843" s="2" t="s">
        <v>754</v>
      </c>
      <c r="K843" s="2" t="s">
        <v>753</v>
      </c>
      <c r="L843" s="6">
        <v>28</v>
      </c>
      <c r="M843" s="2" t="s">
        <v>752</v>
      </c>
      <c r="N843" s="7">
        <v>40.22</v>
      </c>
      <c r="O843" s="4">
        <v>1126.1600000000001</v>
      </c>
      <c r="P843" s="4">
        <v>1126.1600000000001</v>
      </c>
      <c r="Q843" s="6">
        <v>0</v>
      </c>
    </row>
    <row r="844" spans="1:17" x14ac:dyDescent="0.25">
      <c r="A844" s="2" t="s">
        <v>429</v>
      </c>
      <c r="B844" s="2" t="s">
        <v>135</v>
      </c>
      <c r="C844" s="2" t="s">
        <v>136</v>
      </c>
      <c r="D844" s="2" t="s">
        <v>758</v>
      </c>
      <c r="E844" s="2" t="s">
        <v>813</v>
      </c>
      <c r="F844" s="2" t="s">
        <v>812</v>
      </c>
      <c r="G844" s="3">
        <v>46113</v>
      </c>
      <c r="H844" s="2" t="s">
        <v>753</v>
      </c>
      <c r="I844" s="2" t="s">
        <v>755</v>
      </c>
      <c r="J844" s="2" t="s">
        <v>754</v>
      </c>
      <c r="K844" s="2" t="s">
        <v>753</v>
      </c>
      <c r="L844" s="6">
        <v>112</v>
      </c>
      <c r="M844" s="2" t="s">
        <v>752</v>
      </c>
      <c r="N844" s="7">
        <v>46.25</v>
      </c>
      <c r="O844" s="4">
        <v>5180</v>
      </c>
      <c r="P844" s="4">
        <v>5180</v>
      </c>
      <c r="Q844" s="6">
        <v>0</v>
      </c>
    </row>
    <row r="845" spans="1:17" x14ac:dyDescent="0.25">
      <c r="A845" s="2" t="s">
        <v>429</v>
      </c>
      <c r="B845" s="2" t="s">
        <v>135</v>
      </c>
      <c r="C845" s="2" t="s">
        <v>136</v>
      </c>
      <c r="D845" s="2" t="s">
        <v>758</v>
      </c>
      <c r="E845" s="2" t="s">
        <v>763</v>
      </c>
      <c r="F845" s="2" t="s">
        <v>762</v>
      </c>
      <c r="G845" s="3">
        <v>46113</v>
      </c>
      <c r="H845" s="2" t="s">
        <v>753</v>
      </c>
      <c r="I845" s="2" t="s">
        <v>755</v>
      </c>
      <c r="J845" s="2" t="s">
        <v>754</v>
      </c>
      <c r="K845" s="2" t="s">
        <v>753</v>
      </c>
      <c r="L845" s="6">
        <v>96</v>
      </c>
      <c r="M845" s="2" t="s">
        <v>752</v>
      </c>
      <c r="N845" s="7">
        <v>42</v>
      </c>
      <c r="O845" s="4">
        <v>4032</v>
      </c>
      <c r="P845" s="4">
        <v>4032</v>
      </c>
      <c r="Q845" s="6">
        <v>0</v>
      </c>
    </row>
    <row r="846" spans="1:17" x14ac:dyDescent="0.25">
      <c r="A846" s="2" t="s">
        <v>429</v>
      </c>
      <c r="B846" s="2" t="s">
        <v>135</v>
      </c>
      <c r="C846" s="2" t="s">
        <v>136</v>
      </c>
      <c r="D846" s="2" t="s">
        <v>758</v>
      </c>
      <c r="E846" s="2" t="s">
        <v>788</v>
      </c>
      <c r="F846" s="2" t="s">
        <v>787</v>
      </c>
      <c r="G846" s="3">
        <v>46113</v>
      </c>
      <c r="H846" s="2" t="s">
        <v>753</v>
      </c>
      <c r="I846" s="2" t="s">
        <v>755</v>
      </c>
      <c r="J846" s="2" t="s">
        <v>754</v>
      </c>
      <c r="K846" s="2" t="s">
        <v>753</v>
      </c>
      <c r="L846" s="6">
        <v>308</v>
      </c>
      <c r="M846" s="2" t="s">
        <v>752</v>
      </c>
      <c r="N846" s="7">
        <v>38.299999999999997</v>
      </c>
      <c r="O846" s="4">
        <v>11796.4</v>
      </c>
      <c r="P846" s="4">
        <v>11796.4</v>
      </c>
      <c r="Q846" s="6">
        <v>0</v>
      </c>
    </row>
    <row r="847" spans="1:17" x14ac:dyDescent="0.25">
      <c r="A847" s="2" t="s">
        <v>429</v>
      </c>
      <c r="B847" s="2" t="s">
        <v>135</v>
      </c>
      <c r="C847" s="2" t="s">
        <v>136</v>
      </c>
      <c r="D847" s="2" t="s">
        <v>758</v>
      </c>
      <c r="E847" s="2" t="s">
        <v>786</v>
      </c>
      <c r="F847" s="2" t="s">
        <v>785</v>
      </c>
      <c r="G847" s="3">
        <v>46113</v>
      </c>
      <c r="H847" s="2" t="s">
        <v>753</v>
      </c>
      <c r="I847" s="2" t="s">
        <v>755</v>
      </c>
      <c r="J847" s="2" t="s">
        <v>754</v>
      </c>
      <c r="K847" s="2" t="s">
        <v>753</v>
      </c>
      <c r="L847" s="6">
        <v>84</v>
      </c>
      <c r="M847" s="2" t="s">
        <v>752</v>
      </c>
      <c r="N847" s="7">
        <v>36.47</v>
      </c>
      <c r="O847" s="4">
        <v>3063.48</v>
      </c>
      <c r="P847" s="4">
        <v>3063.48</v>
      </c>
      <c r="Q847" s="6">
        <v>0</v>
      </c>
    </row>
    <row r="848" spans="1:17" x14ac:dyDescent="0.25">
      <c r="A848" s="2" t="s">
        <v>429</v>
      </c>
      <c r="B848" s="2" t="s">
        <v>135</v>
      </c>
      <c r="C848" s="2" t="s">
        <v>136</v>
      </c>
      <c r="D848" s="2" t="s">
        <v>758</v>
      </c>
      <c r="E848" s="2" t="s">
        <v>894</v>
      </c>
      <c r="F848" s="2" t="s">
        <v>893</v>
      </c>
      <c r="G848" s="3">
        <v>46113</v>
      </c>
      <c r="H848" s="2" t="s">
        <v>753</v>
      </c>
      <c r="I848" s="2" t="s">
        <v>755</v>
      </c>
      <c r="J848" s="2" t="s">
        <v>754</v>
      </c>
      <c r="K848" s="2" t="s">
        <v>753</v>
      </c>
      <c r="L848" s="6">
        <v>36</v>
      </c>
      <c r="M848" s="2" t="s">
        <v>752</v>
      </c>
      <c r="N848" s="7">
        <v>33.25</v>
      </c>
      <c r="O848" s="4">
        <v>1197</v>
      </c>
      <c r="P848" s="4">
        <v>1197</v>
      </c>
      <c r="Q848" s="6">
        <v>0</v>
      </c>
    </row>
    <row r="849" spans="1:17" x14ac:dyDescent="0.25">
      <c r="A849" s="2" t="s">
        <v>429</v>
      </c>
      <c r="B849" s="2" t="s">
        <v>135</v>
      </c>
      <c r="C849" s="2" t="s">
        <v>136</v>
      </c>
      <c r="D849" s="2" t="s">
        <v>758</v>
      </c>
      <c r="E849" s="2" t="s">
        <v>925</v>
      </c>
      <c r="F849" s="2" t="s">
        <v>924</v>
      </c>
      <c r="G849" s="3">
        <v>46113</v>
      </c>
      <c r="H849" s="2" t="s">
        <v>753</v>
      </c>
      <c r="I849" s="2" t="s">
        <v>755</v>
      </c>
      <c r="J849" s="2" t="s">
        <v>754</v>
      </c>
      <c r="K849" s="2" t="s">
        <v>753</v>
      </c>
      <c r="L849" s="6">
        <v>48</v>
      </c>
      <c r="M849" s="2" t="s">
        <v>752</v>
      </c>
      <c r="N849" s="7">
        <v>35.75</v>
      </c>
      <c r="O849" s="4">
        <v>1716</v>
      </c>
      <c r="P849" s="4">
        <v>1716</v>
      </c>
      <c r="Q849" s="6">
        <v>0</v>
      </c>
    </row>
    <row r="850" spans="1:17" x14ac:dyDescent="0.25">
      <c r="A850" s="2" t="s">
        <v>429</v>
      </c>
      <c r="B850" s="2" t="s">
        <v>135</v>
      </c>
      <c r="C850" s="2" t="s">
        <v>136</v>
      </c>
      <c r="D850" s="2" t="s">
        <v>758</v>
      </c>
      <c r="E850" s="2" t="s">
        <v>845</v>
      </c>
      <c r="F850" s="2" t="s">
        <v>844</v>
      </c>
      <c r="G850" s="3">
        <v>46113</v>
      </c>
      <c r="H850" s="2" t="s">
        <v>753</v>
      </c>
      <c r="I850" s="2" t="s">
        <v>755</v>
      </c>
      <c r="J850" s="2" t="s">
        <v>754</v>
      </c>
      <c r="K850" s="2" t="s">
        <v>753</v>
      </c>
      <c r="L850" s="6">
        <v>39</v>
      </c>
      <c r="M850" s="2" t="s">
        <v>752</v>
      </c>
      <c r="N850" s="7">
        <v>38</v>
      </c>
      <c r="O850" s="4">
        <v>1482</v>
      </c>
      <c r="P850" s="4">
        <v>1482</v>
      </c>
      <c r="Q850" s="6">
        <v>0</v>
      </c>
    </row>
    <row r="851" spans="1:17" x14ac:dyDescent="0.25">
      <c r="A851" s="2" t="s">
        <v>457</v>
      </c>
      <c r="B851" s="2" t="s">
        <v>29</v>
      </c>
      <c r="C851" s="2" t="s">
        <v>30</v>
      </c>
      <c r="D851" s="2" t="s">
        <v>758</v>
      </c>
      <c r="E851" s="2" t="s">
        <v>817</v>
      </c>
      <c r="F851" s="2" t="s">
        <v>937</v>
      </c>
      <c r="G851" s="3">
        <v>46106</v>
      </c>
      <c r="H851" s="2" t="s">
        <v>753</v>
      </c>
      <c r="I851" s="2" t="s">
        <v>755</v>
      </c>
      <c r="J851" s="2" t="s">
        <v>754</v>
      </c>
      <c r="K851" s="2" t="s">
        <v>753</v>
      </c>
      <c r="L851" s="6">
        <v>28</v>
      </c>
      <c r="M851" s="2" t="s">
        <v>752</v>
      </c>
      <c r="N851" s="7">
        <v>31.42</v>
      </c>
      <c r="O851" s="4">
        <v>879.76</v>
      </c>
      <c r="P851" s="4">
        <v>879.76</v>
      </c>
      <c r="Q851" s="6">
        <v>0</v>
      </c>
    </row>
    <row r="852" spans="1:17" x14ac:dyDescent="0.25">
      <c r="A852" s="2" t="s">
        <v>457</v>
      </c>
      <c r="B852" s="2" t="s">
        <v>29</v>
      </c>
      <c r="C852" s="2" t="s">
        <v>30</v>
      </c>
      <c r="D852" s="2" t="s">
        <v>758</v>
      </c>
      <c r="E852" s="2" t="s">
        <v>815</v>
      </c>
      <c r="F852" s="2" t="s">
        <v>814</v>
      </c>
      <c r="G852" s="3">
        <v>46106</v>
      </c>
      <c r="H852" s="2" t="s">
        <v>753</v>
      </c>
      <c r="I852" s="2" t="s">
        <v>755</v>
      </c>
      <c r="J852" s="2" t="s">
        <v>754</v>
      </c>
      <c r="K852" s="2" t="s">
        <v>753</v>
      </c>
      <c r="L852" s="6">
        <v>140</v>
      </c>
      <c r="M852" s="2" t="s">
        <v>752</v>
      </c>
      <c r="N852" s="7">
        <v>34</v>
      </c>
      <c r="O852" s="4">
        <v>4760</v>
      </c>
      <c r="P852" s="4">
        <v>4760</v>
      </c>
      <c r="Q852" s="6">
        <v>0</v>
      </c>
    </row>
    <row r="853" spans="1:17" x14ac:dyDescent="0.25">
      <c r="A853" s="2" t="s">
        <v>457</v>
      </c>
      <c r="B853" s="2" t="s">
        <v>29</v>
      </c>
      <c r="C853" s="2" t="s">
        <v>30</v>
      </c>
      <c r="D853" s="2" t="s">
        <v>758</v>
      </c>
      <c r="E853" s="2" t="s">
        <v>811</v>
      </c>
      <c r="F853" s="2" t="s">
        <v>810</v>
      </c>
      <c r="G853" s="3">
        <v>46106</v>
      </c>
      <c r="H853" s="2" t="s">
        <v>753</v>
      </c>
      <c r="I853" s="2" t="s">
        <v>755</v>
      </c>
      <c r="J853" s="2" t="s">
        <v>754</v>
      </c>
      <c r="K853" s="2" t="s">
        <v>753</v>
      </c>
      <c r="L853" s="6">
        <v>20</v>
      </c>
      <c r="M853" s="2" t="s">
        <v>752</v>
      </c>
      <c r="N853" s="7">
        <v>43.26</v>
      </c>
      <c r="O853" s="4">
        <v>865.2</v>
      </c>
      <c r="P853" s="4">
        <v>865.2</v>
      </c>
      <c r="Q853" s="6">
        <v>0</v>
      </c>
    </row>
    <row r="854" spans="1:17" x14ac:dyDescent="0.25">
      <c r="A854" s="2" t="s">
        <v>457</v>
      </c>
      <c r="B854" s="2" t="s">
        <v>29</v>
      </c>
      <c r="C854" s="2" t="s">
        <v>30</v>
      </c>
      <c r="D854" s="2" t="s">
        <v>758</v>
      </c>
      <c r="E854" s="2" t="s">
        <v>763</v>
      </c>
      <c r="F854" s="2" t="s">
        <v>762</v>
      </c>
      <c r="G854" s="3">
        <v>46106</v>
      </c>
      <c r="H854" s="2" t="s">
        <v>753</v>
      </c>
      <c r="I854" s="2" t="s">
        <v>755</v>
      </c>
      <c r="J854" s="2" t="s">
        <v>754</v>
      </c>
      <c r="K854" s="2" t="s">
        <v>753</v>
      </c>
      <c r="L854" s="6">
        <v>112</v>
      </c>
      <c r="M854" s="2" t="s">
        <v>752</v>
      </c>
      <c r="N854" s="7">
        <v>43.36</v>
      </c>
      <c r="O854" s="4">
        <v>4856.32</v>
      </c>
      <c r="P854" s="4">
        <v>4856.32</v>
      </c>
      <c r="Q854" s="6">
        <v>0</v>
      </c>
    </row>
    <row r="855" spans="1:17" x14ac:dyDescent="0.25">
      <c r="A855" s="2" t="s">
        <v>457</v>
      </c>
      <c r="B855" s="2" t="s">
        <v>29</v>
      </c>
      <c r="C855" s="2" t="s">
        <v>30</v>
      </c>
      <c r="D855" s="2" t="s">
        <v>758</v>
      </c>
      <c r="E855" s="2" t="s">
        <v>776</v>
      </c>
      <c r="F855" s="2" t="s">
        <v>775</v>
      </c>
      <c r="G855" s="3">
        <v>46106</v>
      </c>
      <c r="H855" s="2" t="s">
        <v>753</v>
      </c>
      <c r="I855" s="2" t="s">
        <v>755</v>
      </c>
      <c r="J855" s="2" t="s">
        <v>754</v>
      </c>
      <c r="K855" s="2" t="s">
        <v>753</v>
      </c>
      <c r="L855" s="6">
        <v>20</v>
      </c>
      <c r="M855" s="2" t="s">
        <v>752</v>
      </c>
      <c r="N855" s="7">
        <v>41.2</v>
      </c>
      <c r="O855" s="4">
        <v>824</v>
      </c>
      <c r="P855" s="4">
        <v>824</v>
      </c>
      <c r="Q855" s="6">
        <v>0</v>
      </c>
    </row>
    <row r="856" spans="1:17" x14ac:dyDescent="0.25">
      <c r="A856" s="2" t="s">
        <v>457</v>
      </c>
      <c r="B856" s="2" t="s">
        <v>29</v>
      </c>
      <c r="C856" s="2" t="s">
        <v>30</v>
      </c>
      <c r="D856" s="2" t="s">
        <v>758</v>
      </c>
      <c r="E856" s="2" t="s">
        <v>805</v>
      </c>
      <c r="F856" s="2" t="s">
        <v>804</v>
      </c>
      <c r="G856" s="3">
        <v>46106</v>
      </c>
      <c r="H856" s="2" t="s">
        <v>753</v>
      </c>
      <c r="I856" s="2" t="s">
        <v>755</v>
      </c>
      <c r="J856" s="2" t="s">
        <v>754</v>
      </c>
      <c r="K856" s="2" t="s">
        <v>753</v>
      </c>
      <c r="L856" s="6">
        <v>20</v>
      </c>
      <c r="M856" s="2" t="s">
        <v>752</v>
      </c>
      <c r="N856" s="7">
        <v>41</v>
      </c>
      <c r="O856" s="4">
        <v>820</v>
      </c>
      <c r="P856" s="4">
        <v>820</v>
      </c>
      <c r="Q856" s="6">
        <v>0</v>
      </c>
    </row>
    <row r="857" spans="1:17" x14ac:dyDescent="0.25">
      <c r="A857" s="2" t="s">
        <v>461</v>
      </c>
      <c r="B857" s="2" t="s">
        <v>149</v>
      </c>
      <c r="C857" s="2" t="s">
        <v>150</v>
      </c>
      <c r="D857" s="2" t="s">
        <v>758</v>
      </c>
      <c r="E857" s="2" t="s">
        <v>763</v>
      </c>
      <c r="F857" s="2" t="s">
        <v>762</v>
      </c>
      <c r="G857" s="3">
        <v>46105</v>
      </c>
      <c r="H857" s="2" t="s">
        <v>753</v>
      </c>
      <c r="I857" s="2" t="s">
        <v>755</v>
      </c>
      <c r="J857" s="2" t="s">
        <v>754</v>
      </c>
      <c r="K857" s="2" t="s">
        <v>753</v>
      </c>
      <c r="L857" s="6">
        <v>504</v>
      </c>
      <c r="M857" s="2" t="s">
        <v>752</v>
      </c>
      <c r="N857" s="7">
        <v>42.6</v>
      </c>
      <c r="O857" s="4">
        <v>21470.400000000001</v>
      </c>
      <c r="P857" s="4">
        <v>21470.400000000001</v>
      </c>
      <c r="Q857" s="6">
        <v>0</v>
      </c>
    </row>
    <row r="858" spans="1:17" x14ac:dyDescent="0.25">
      <c r="A858" s="2" t="s">
        <v>461</v>
      </c>
      <c r="B858" s="2" t="s">
        <v>149</v>
      </c>
      <c r="C858" s="2" t="s">
        <v>150</v>
      </c>
      <c r="D858" s="2" t="s">
        <v>758</v>
      </c>
      <c r="E858" s="2" t="s">
        <v>772</v>
      </c>
      <c r="F858" s="2" t="s">
        <v>771</v>
      </c>
      <c r="G858" s="3">
        <v>46105</v>
      </c>
      <c r="H858" s="2" t="s">
        <v>753</v>
      </c>
      <c r="I858" s="2" t="s">
        <v>755</v>
      </c>
      <c r="J858" s="2" t="s">
        <v>754</v>
      </c>
      <c r="K858" s="2" t="s">
        <v>753</v>
      </c>
      <c r="L858" s="6">
        <v>252</v>
      </c>
      <c r="M858" s="2" t="s">
        <v>752</v>
      </c>
      <c r="N858" s="7">
        <v>34.5</v>
      </c>
      <c r="O858" s="4">
        <v>8694</v>
      </c>
      <c r="P858" s="4">
        <v>8694</v>
      </c>
      <c r="Q858" s="6">
        <v>0</v>
      </c>
    </row>
    <row r="859" spans="1:17" x14ac:dyDescent="0.25">
      <c r="A859" s="2" t="s">
        <v>461</v>
      </c>
      <c r="B859" s="2" t="s">
        <v>149</v>
      </c>
      <c r="C859" s="2" t="s">
        <v>150</v>
      </c>
      <c r="D859" s="2" t="s">
        <v>758</v>
      </c>
      <c r="E859" s="2" t="s">
        <v>786</v>
      </c>
      <c r="F859" s="2" t="s">
        <v>785</v>
      </c>
      <c r="G859" s="3">
        <v>46105</v>
      </c>
      <c r="H859" s="2" t="s">
        <v>753</v>
      </c>
      <c r="I859" s="2" t="s">
        <v>755</v>
      </c>
      <c r="J859" s="2" t="s">
        <v>754</v>
      </c>
      <c r="K859" s="2" t="s">
        <v>753</v>
      </c>
      <c r="L859" s="6">
        <v>84</v>
      </c>
      <c r="M859" s="2" t="s">
        <v>752</v>
      </c>
      <c r="N859" s="7">
        <v>35</v>
      </c>
      <c r="O859" s="4">
        <v>2940</v>
      </c>
      <c r="P859" s="4">
        <v>2940</v>
      </c>
      <c r="Q859" s="6">
        <v>0</v>
      </c>
    </row>
    <row r="860" spans="1:17" x14ac:dyDescent="0.25">
      <c r="A860" s="2" t="s">
        <v>502</v>
      </c>
      <c r="B860" s="2" t="s">
        <v>69</v>
      </c>
      <c r="C860" s="2" t="s">
        <v>70</v>
      </c>
      <c r="D860" s="2" t="s">
        <v>758</v>
      </c>
      <c r="E860" s="2" t="s">
        <v>847</v>
      </c>
      <c r="F860" s="2" t="s">
        <v>846</v>
      </c>
      <c r="G860" s="3">
        <v>46094</v>
      </c>
      <c r="H860" s="2" t="s">
        <v>753</v>
      </c>
      <c r="I860" s="2" t="s">
        <v>755</v>
      </c>
      <c r="J860" s="2" t="s">
        <v>754</v>
      </c>
      <c r="K860" s="2" t="s">
        <v>753</v>
      </c>
      <c r="L860" s="6">
        <v>20</v>
      </c>
      <c r="M860" s="2" t="s">
        <v>752</v>
      </c>
      <c r="N860" s="7">
        <v>30.32</v>
      </c>
      <c r="O860" s="4">
        <v>606.4</v>
      </c>
      <c r="P860" s="4">
        <v>606.4</v>
      </c>
      <c r="Q860" s="6">
        <v>0</v>
      </c>
    </row>
    <row r="861" spans="1:17" x14ac:dyDescent="0.25">
      <c r="A861" s="2" t="s">
        <v>502</v>
      </c>
      <c r="B861" s="2" t="s">
        <v>69</v>
      </c>
      <c r="C861" s="2" t="s">
        <v>70</v>
      </c>
      <c r="D861" s="2" t="s">
        <v>758</v>
      </c>
      <c r="E861" s="2" t="s">
        <v>857</v>
      </c>
      <c r="F861" s="2" t="s">
        <v>856</v>
      </c>
      <c r="G861" s="3">
        <v>46094</v>
      </c>
      <c r="H861" s="2" t="s">
        <v>753</v>
      </c>
      <c r="I861" s="2" t="s">
        <v>755</v>
      </c>
      <c r="J861" s="2" t="s">
        <v>754</v>
      </c>
      <c r="K861" s="2" t="s">
        <v>753</v>
      </c>
      <c r="L861" s="6">
        <v>35</v>
      </c>
      <c r="M861" s="2" t="s">
        <v>752</v>
      </c>
      <c r="N861" s="7">
        <v>34.18</v>
      </c>
      <c r="O861" s="4">
        <v>1196.3</v>
      </c>
      <c r="P861" s="4">
        <v>1196.3</v>
      </c>
      <c r="Q861" s="6">
        <v>0</v>
      </c>
    </row>
    <row r="862" spans="1:17" x14ac:dyDescent="0.25">
      <c r="A862" s="2" t="s">
        <v>502</v>
      </c>
      <c r="B862" s="2" t="s">
        <v>69</v>
      </c>
      <c r="C862" s="2" t="s">
        <v>70</v>
      </c>
      <c r="D862" s="2" t="s">
        <v>758</v>
      </c>
      <c r="E862" s="2" t="s">
        <v>855</v>
      </c>
      <c r="F862" s="2" t="s">
        <v>854</v>
      </c>
      <c r="G862" s="3">
        <v>46094</v>
      </c>
      <c r="H862" s="2" t="s">
        <v>753</v>
      </c>
      <c r="I862" s="2" t="s">
        <v>755</v>
      </c>
      <c r="J862" s="2" t="s">
        <v>754</v>
      </c>
      <c r="K862" s="2" t="s">
        <v>753</v>
      </c>
      <c r="L862" s="6">
        <v>20</v>
      </c>
      <c r="M862" s="2" t="s">
        <v>752</v>
      </c>
      <c r="N862" s="7">
        <v>53.2</v>
      </c>
      <c r="O862" s="4">
        <v>1064</v>
      </c>
      <c r="P862" s="4">
        <v>1064</v>
      </c>
      <c r="Q862" s="6">
        <v>0</v>
      </c>
    </row>
    <row r="863" spans="1:17" x14ac:dyDescent="0.25">
      <c r="A863" s="2" t="s">
        <v>449</v>
      </c>
      <c r="B863" s="2" t="s">
        <v>41</v>
      </c>
      <c r="C863" s="2" t="s">
        <v>42</v>
      </c>
      <c r="D863" s="2" t="s">
        <v>758</v>
      </c>
      <c r="E863" s="2" t="s">
        <v>784</v>
      </c>
      <c r="F863" s="2" t="s">
        <v>783</v>
      </c>
      <c r="G863" s="3">
        <v>46107</v>
      </c>
      <c r="H863" s="2" t="s">
        <v>753</v>
      </c>
      <c r="I863" s="2" t="s">
        <v>755</v>
      </c>
      <c r="J863" s="2" t="s">
        <v>754</v>
      </c>
      <c r="K863" s="2" t="s">
        <v>753</v>
      </c>
      <c r="L863" s="6">
        <v>32</v>
      </c>
      <c r="M863" s="2" t="s">
        <v>752</v>
      </c>
      <c r="N863" s="7">
        <v>34.93</v>
      </c>
      <c r="O863" s="4">
        <v>1117.76</v>
      </c>
      <c r="P863" s="4">
        <v>1117.76</v>
      </c>
      <c r="Q863" s="6">
        <v>0</v>
      </c>
    </row>
    <row r="864" spans="1:17" x14ac:dyDescent="0.25">
      <c r="A864" s="2" t="s">
        <v>449</v>
      </c>
      <c r="B864" s="2" t="s">
        <v>41</v>
      </c>
      <c r="C864" s="2" t="s">
        <v>42</v>
      </c>
      <c r="D864" s="2" t="s">
        <v>758</v>
      </c>
      <c r="E864" s="2" t="s">
        <v>847</v>
      </c>
      <c r="F864" s="2" t="s">
        <v>846</v>
      </c>
      <c r="G864" s="3">
        <v>46107</v>
      </c>
      <c r="H864" s="2" t="s">
        <v>753</v>
      </c>
      <c r="I864" s="2" t="s">
        <v>755</v>
      </c>
      <c r="J864" s="2" t="s">
        <v>754</v>
      </c>
      <c r="K864" s="2" t="s">
        <v>753</v>
      </c>
      <c r="L864" s="6">
        <v>72</v>
      </c>
      <c r="M864" s="2" t="s">
        <v>752</v>
      </c>
      <c r="N864" s="7">
        <v>35.479999999999997</v>
      </c>
      <c r="O864" s="4">
        <v>2554.56</v>
      </c>
      <c r="P864" s="4">
        <v>2554.56</v>
      </c>
      <c r="Q864" s="6">
        <v>0</v>
      </c>
    </row>
    <row r="865" spans="1:17" x14ac:dyDescent="0.25">
      <c r="A865" s="2" t="s">
        <v>449</v>
      </c>
      <c r="B865" s="2" t="s">
        <v>41</v>
      </c>
      <c r="C865" s="2" t="s">
        <v>42</v>
      </c>
      <c r="D865" s="2" t="s">
        <v>758</v>
      </c>
      <c r="E865" s="2" t="s">
        <v>920</v>
      </c>
      <c r="F865" s="2" t="s">
        <v>919</v>
      </c>
      <c r="G865" s="3">
        <v>46107</v>
      </c>
      <c r="H865" s="2" t="s">
        <v>753</v>
      </c>
      <c r="I865" s="2" t="s">
        <v>755</v>
      </c>
      <c r="J865" s="2" t="s">
        <v>754</v>
      </c>
      <c r="K865" s="2" t="s">
        <v>753</v>
      </c>
      <c r="L865" s="6">
        <v>32</v>
      </c>
      <c r="M865" s="2" t="s">
        <v>752</v>
      </c>
      <c r="N865" s="7">
        <v>28.88</v>
      </c>
      <c r="O865" s="4">
        <v>924.16</v>
      </c>
      <c r="P865" s="4">
        <v>924.16</v>
      </c>
      <c r="Q865" s="6">
        <v>0</v>
      </c>
    </row>
    <row r="866" spans="1:17" x14ac:dyDescent="0.25">
      <c r="A866" s="2" t="s">
        <v>449</v>
      </c>
      <c r="B866" s="2" t="s">
        <v>41</v>
      </c>
      <c r="C866" s="2" t="s">
        <v>42</v>
      </c>
      <c r="D866" s="2" t="s">
        <v>758</v>
      </c>
      <c r="E866" s="2" t="s">
        <v>894</v>
      </c>
      <c r="F866" s="2" t="s">
        <v>893</v>
      </c>
      <c r="G866" s="3">
        <v>46107</v>
      </c>
      <c r="H866" s="2" t="s">
        <v>753</v>
      </c>
      <c r="I866" s="2" t="s">
        <v>755</v>
      </c>
      <c r="J866" s="2" t="s">
        <v>754</v>
      </c>
      <c r="K866" s="2" t="s">
        <v>753</v>
      </c>
      <c r="L866" s="6">
        <v>112</v>
      </c>
      <c r="M866" s="2" t="s">
        <v>752</v>
      </c>
      <c r="N866" s="7">
        <v>28.33</v>
      </c>
      <c r="O866" s="4">
        <v>3172.96</v>
      </c>
      <c r="P866" s="4">
        <v>3172.96</v>
      </c>
      <c r="Q866" s="6">
        <v>0</v>
      </c>
    </row>
    <row r="867" spans="1:17" x14ac:dyDescent="0.25">
      <c r="A867" s="2" t="s">
        <v>449</v>
      </c>
      <c r="B867" s="2" t="s">
        <v>41</v>
      </c>
      <c r="C867" s="2" t="s">
        <v>42</v>
      </c>
      <c r="D867" s="2" t="s">
        <v>758</v>
      </c>
      <c r="E867" s="2" t="s">
        <v>794</v>
      </c>
      <c r="F867" s="2" t="s">
        <v>793</v>
      </c>
      <c r="G867" s="3">
        <v>46107</v>
      </c>
      <c r="H867" s="2" t="s">
        <v>753</v>
      </c>
      <c r="I867" s="2" t="s">
        <v>755</v>
      </c>
      <c r="J867" s="2" t="s">
        <v>754</v>
      </c>
      <c r="K867" s="2" t="s">
        <v>753</v>
      </c>
      <c r="L867" s="6">
        <v>120</v>
      </c>
      <c r="M867" s="2" t="s">
        <v>752</v>
      </c>
      <c r="N867" s="7">
        <v>28.49</v>
      </c>
      <c r="O867" s="4">
        <v>3418.8</v>
      </c>
      <c r="P867" s="4">
        <v>3418.8</v>
      </c>
      <c r="Q867" s="6">
        <v>0</v>
      </c>
    </row>
    <row r="868" spans="1:17" x14ac:dyDescent="0.25">
      <c r="A868" s="2" t="s">
        <v>449</v>
      </c>
      <c r="B868" s="2" t="s">
        <v>41</v>
      </c>
      <c r="C868" s="2" t="s">
        <v>42</v>
      </c>
      <c r="D868" s="2" t="s">
        <v>758</v>
      </c>
      <c r="E868" s="2" t="s">
        <v>845</v>
      </c>
      <c r="F868" s="2" t="s">
        <v>844</v>
      </c>
      <c r="G868" s="3">
        <v>46107</v>
      </c>
      <c r="H868" s="2" t="s">
        <v>753</v>
      </c>
      <c r="I868" s="2" t="s">
        <v>755</v>
      </c>
      <c r="J868" s="2" t="s">
        <v>754</v>
      </c>
      <c r="K868" s="2" t="s">
        <v>753</v>
      </c>
      <c r="L868" s="6">
        <v>56</v>
      </c>
      <c r="M868" s="2" t="s">
        <v>752</v>
      </c>
      <c r="N868" s="7">
        <v>28.49</v>
      </c>
      <c r="O868" s="4">
        <v>1595.44</v>
      </c>
      <c r="P868" s="4">
        <v>1595.44</v>
      </c>
      <c r="Q868" s="6">
        <v>0</v>
      </c>
    </row>
    <row r="869" spans="1:17" x14ac:dyDescent="0.25">
      <c r="A869" s="2" t="s">
        <v>449</v>
      </c>
      <c r="B869" s="2" t="s">
        <v>41</v>
      </c>
      <c r="C869" s="2" t="s">
        <v>42</v>
      </c>
      <c r="D869" s="2" t="s">
        <v>758</v>
      </c>
      <c r="E869" s="2" t="s">
        <v>841</v>
      </c>
      <c r="F869" s="2" t="s">
        <v>840</v>
      </c>
      <c r="G869" s="3">
        <v>46107</v>
      </c>
      <c r="H869" s="2" t="s">
        <v>753</v>
      </c>
      <c r="I869" s="2" t="s">
        <v>755</v>
      </c>
      <c r="J869" s="2" t="s">
        <v>754</v>
      </c>
      <c r="K869" s="2" t="s">
        <v>753</v>
      </c>
      <c r="L869" s="6">
        <v>64</v>
      </c>
      <c r="M869" s="2" t="s">
        <v>752</v>
      </c>
      <c r="N869" s="7">
        <v>28.49</v>
      </c>
      <c r="O869" s="4">
        <v>1823.36</v>
      </c>
      <c r="P869" s="4">
        <v>1823.36</v>
      </c>
      <c r="Q869" s="6">
        <v>0</v>
      </c>
    </row>
    <row r="870" spans="1:17" x14ac:dyDescent="0.25">
      <c r="A870" s="2" t="s">
        <v>449</v>
      </c>
      <c r="B870" s="2" t="s">
        <v>41</v>
      </c>
      <c r="C870" s="2" t="s">
        <v>42</v>
      </c>
      <c r="D870" s="2" t="s">
        <v>758</v>
      </c>
      <c r="E870" s="2" t="s">
        <v>786</v>
      </c>
      <c r="F870" s="2" t="s">
        <v>785</v>
      </c>
      <c r="G870" s="3">
        <v>46107</v>
      </c>
      <c r="H870" s="2" t="s">
        <v>753</v>
      </c>
      <c r="I870" s="2" t="s">
        <v>755</v>
      </c>
      <c r="J870" s="2" t="s">
        <v>754</v>
      </c>
      <c r="K870" s="2" t="s">
        <v>753</v>
      </c>
      <c r="L870" s="6">
        <v>140</v>
      </c>
      <c r="M870" s="2" t="s">
        <v>752</v>
      </c>
      <c r="N870" s="7">
        <v>25.25</v>
      </c>
      <c r="O870" s="4">
        <v>3535</v>
      </c>
      <c r="P870" s="4">
        <v>3535</v>
      </c>
      <c r="Q870" s="6">
        <v>0</v>
      </c>
    </row>
    <row r="871" spans="1:17" x14ac:dyDescent="0.25">
      <c r="A871" s="2" t="s">
        <v>449</v>
      </c>
      <c r="B871" s="2" t="s">
        <v>41</v>
      </c>
      <c r="C871" s="2" t="s">
        <v>42</v>
      </c>
      <c r="D871" s="2" t="s">
        <v>758</v>
      </c>
      <c r="E871" s="2" t="s">
        <v>839</v>
      </c>
      <c r="F871" s="2" t="s">
        <v>838</v>
      </c>
      <c r="G871" s="3">
        <v>46107</v>
      </c>
      <c r="H871" s="2" t="s">
        <v>753</v>
      </c>
      <c r="I871" s="2" t="s">
        <v>755</v>
      </c>
      <c r="J871" s="2" t="s">
        <v>754</v>
      </c>
      <c r="K871" s="2" t="s">
        <v>753</v>
      </c>
      <c r="L871" s="6">
        <v>32</v>
      </c>
      <c r="M871" s="2" t="s">
        <v>752</v>
      </c>
      <c r="N871" s="7">
        <v>36.630000000000003</v>
      </c>
      <c r="O871" s="4">
        <v>1172.1600000000001</v>
      </c>
      <c r="P871" s="4">
        <v>1172.1600000000001</v>
      </c>
      <c r="Q871" s="6">
        <v>0</v>
      </c>
    </row>
    <row r="872" spans="1:17" x14ac:dyDescent="0.25">
      <c r="A872" s="2" t="s">
        <v>449</v>
      </c>
      <c r="B872" s="2" t="s">
        <v>41</v>
      </c>
      <c r="C872" s="2" t="s">
        <v>42</v>
      </c>
      <c r="D872" s="2" t="s">
        <v>758</v>
      </c>
      <c r="E872" s="2" t="s">
        <v>892</v>
      </c>
      <c r="F872" s="2" t="s">
        <v>891</v>
      </c>
      <c r="G872" s="3">
        <v>46107</v>
      </c>
      <c r="H872" s="2" t="s">
        <v>753</v>
      </c>
      <c r="I872" s="2" t="s">
        <v>755</v>
      </c>
      <c r="J872" s="2" t="s">
        <v>754</v>
      </c>
      <c r="K872" s="2" t="s">
        <v>753</v>
      </c>
      <c r="L872" s="6">
        <v>12</v>
      </c>
      <c r="M872" s="2" t="s">
        <v>752</v>
      </c>
      <c r="N872" s="7">
        <v>47.74</v>
      </c>
      <c r="O872" s="4">
        <v>572.88</v>
      </c>
      <c r="P872" s="4">
        <v>572.88</v>
      </c>
      <c r="Q872" s="6">
        <v>0</v>
      </c>
    </row>
    <row r="873" spans="1:17" x14ac:dyDescent="0.25">
      <c r="A873" s="2" t="s">
        <v>449</v>
      </c>
      <c r="B873" s="2" t="s">
        <v>41</v>
      </c>
      <c r="C873" s="2" t="s">
        <v>42</v>
      </c>
      <c r="D873" s="2" t="s">
        <v>758</v>
      </c>
      <c r="E873" s="2" t="s">
        <v>813</v>
      </c>
      <c r="F873" s="2" t="s">
        <v>812</v>
      </c>
      <c r="G873" s="3">
        <v>46107</v>
      </c>
      <c r="H873" s="2" t="s">
        <v>753</v>
      </c>
      <c r="I873" s="2" t="s">
        <v>755</v>
      </c>
      <c r="J873" s="2" t="s">
        <v>754</v>
      </c>
      <c r="K873" s="2" t="s">
        <v>753</v>
      </c>
      <c r="L873" s="6">
        <v>48</v>
      </c>
      <c r="M873" s="2" t="s">
        <v>752</v>
      </c>
      <c r="N873" s="7">
        <v>36.630000000000003</v>
      </c>
      <c r="O873" s="4">
        <v>1758.24</v>
      </c>
      <c r="P873" s="4">
        <v>1758.24</v>
      </c>
      <c r="Q873" s="6">
        <v>0</v>
      </c>
    </row>
    <row r="874" spans="1:17" x14ac:dyDescent="0.25">
      <c r="A874" s="2" t="s">
        <v>449</v>
      </c>
      <c r="B874" s="2" t="s">
        <v>41</v>
      </c>
      <c r="C874" s="2" t="s">
        <v>42</v>
      </c>
      <c r="D874" s="2" t="s">
        <v>758</v>
      </c>
      <c r="E874" s="2" t="s">
        <v>763</v>
      </c>
      <c r="F874" s="2" t="s">
        <v>762</v>
      </c>
      <c r="G874" s="3">
        <v>46107</v>
      </c>
      <c r="H874" s="2" t="s">
        <v>753</v>
      </c>
      <c r="I874" s="2" t="s">
        <v>755</v>
      </c>
      <c r="J874" s="2" t="s">
        <v>754</v>
      </c>
      <c r="K874" s="2" t="s">
        <v>753</v>
      </c>
      <c r="L874" s="6">
        <v>112</v>
      </c>
      <c r="M874" s="2" t="s">
        <v>752</v>
      </c>
      <c r="N874" s="7">
        <v>40.43</v>
      </c>
      <c r="O874" s="4">
        <v>4528.16</v>
      </c>
      <c r="P874" s="4">
        <v>4528.16</v>
      </c>
      <c r="Q874" s="6">
        <v>0</v>
      </c>
    </row>
    <row r="875" spans="1:17" x14ac:dyDescent="0.25">
      <c r="A875" s="2" t="s">
        <v>455</v>
      </c>
      <c r="B875" s="2" t="s">
        <v>69</v>
      </c>
      <c r="C875" s="2" t="s">
        <v>70</v>
      </c>
      <c r="D875" s="2" t="s">
        <v>758</v>
      </c>
      <c r="E875" s="2" t="s">
        <v>847</v>
      </c>
      <c r="F875" s="2" t="s">
        <v>846</v>
      </c>
      <c r="G875" s="3">
        <v>46106</v>
      </c>
      <c r="H875" s="2" t="s">
        <v>753</v>
      </c>
      <c r="I875" s="2" t="s">
        <v>755</v>
      </c>
      <c r="J875" s="2" t="s">
        <v>754</v>
      </c>
      <c r="K875" s="2" t="s">
        <v>753</v>
      </c>
      <c r="L875" s="6">
        <v>25</v>
      </c>
      <c r="M875" s="2" t="s">
        <v>752</v>
      </c>
      <c r="N875" s="7">
        <v>30.32</v>
      </c>
      <c r="O875" s="4">
        <v>758</v>
      </c>
      <c r="P875" s="4">
        <v>758</v>
      </c>
      <c r="Q875" s="6">
        <v>0</v>
      </c>
    </row>
    <row r="876" spans="1:17" x14ac:dyDescent="0.25">
      <c r="A876" s="2" t="s">
        <v>455</v>
      </c>
      <c r="B876" s="2" t="s">
        <v>69</v>
      </c>
      <c r="C876" s="2" t="s">
        <v>70</v>
      </c>
      <c r="D876" s="2" t="s">
        <v>758</v>
      </c>
      <c r="E876" s="2" t="s">
        <v>857</v>
      </c>
      <c r="F876" s="2" t="s">
        <v>856</v>
      </c>
      <c r="G876" s="3">
        <v>46106</v>
      </c>
      <c r="H876" s="2" t="s">
        <v>753</v>
      </c>
      <c r="I876" s="2" t="s">
        <v>755</v>
      </c>
      <c r="J876" s="2" t="s">
        <v>754</v>
      </c>
      <c r="K876" s="2" t="s">
        <v>753</v>
      </c>
      <c r="L876" s="6">
        <v>45</v>
      </c>
      <c r="M876" s="2" t="s">
        <v>752</v>
      </c>
      <c r="N876" s="7">
        <v>34.18</v>
      </c>
      <c r="O876" s="4">
        <v>1538.1</v>
      </c>
      <c r="P876" s="4">
        <v>1538.1</v>
      </c>
      <c r="Q876" s="6">
        <v>0</v>
      </c>
    </row>
    <row r="877" spans="1:17" x14ac:dyDescent="0.25">
      <c r="A877" s="2" t="s">
        <v>455</v>
      </c>
      <c r="B877" s="2" t="s">
        <v>69</v>
      </c>
      <c r="C877" s="2" t="s">
        <v>70</v>
      </c>
      <c r="D877" s="2" t="s">
        <v>758</v>
      </c>
      <c r="E877" s="2" t="s">
        <v>855</v>
      </c>
      <c r="F877" s="2" t="s">
        <v>854</v>
      </c>
      <c r="G877" s="3">
        <v>46106</v>
      </c>
      <c r="H877" s="2" t="s">
        <v>753</v>
      </c>
      <c r="I877" s="2" t="s">
        <v>755</v>
      </c>
      <c r="J877" s="2" t="s">
        <v>754</v>
      </c>
      <c r="K877" s="2" t="s">
        <v>753</v>
      </c>
      <c r="L877" s="6">
        <v>20</v>
      </c>
      <c r="M877" s="2" t="s">
        <v>752</v>
      </c>
      <c r="N877" s="7">
        <v>53.2</v>
      </c>
      <c r="O877" s="4">
        <v>1064</v>
      </c>
      <c r="P877" s="4">
        <v>1064</v>
      </c>
      <c r="Q877" s="6">
        <v>0</v>
      </c>
    </row>
    <row r="878" spans="1:17" x14ac:dyDescent="0.25">
      <c r="A878" s="2" t="s">
        <v>425</v>
      </c>
      <c r="B878" s="2" t="s">
        <v>81</v>
      </c>
      <c r="C878" s="2" t="s">
        <v>82</v>
      </c>
      <c r="D878" s="2" t="s">
        <v>758</v>
      </c>
      <c r="E878" s="2" t="s">
        <v>763</v>
      </c>
      <c r="F878" s="2" t="s">
        <v>762</v>
      </c>
      <c r="G878" s="3">
        <v>46114</v>
      </c>
      <c r="H878" s="2" t="s">
        <v>753</v>
      </c>
      <c r="I878" s="2" t="s">
        <v>755</v>
      </c>
      <c r="J878" s="2" t="s">
        <v>754</v>
      </c>
      <c r="K878" s="2" t="s">
        <v>753</v>
      </c>
      <c r="L878" s="6">
        <v>224</v>
      </c>
      <c r="M878" s="2" t="s">
        <v>752</v>
      </c>
      <c r="N878" s="7">
        <v>46</v>
      </c>
      <c r="O878" s="4">
        <v>10304</v>
      </c>
      <c r="P878" s="4">
        <v>10304</v>
      </c>
      <c r="Q878" s="6">
        <v>0</v>
      </c>
    </row>
    <row r="879" spans="1:17" x14ac:dyDescent="0.25">
      <c r="A879" s="2" t="s">
        <v>425</v>
      </c>
      <c r="B879" s="2" t="s">
        <v>81</v>
      </c>
      <c r="C879" s="2" t="s">
        <v>82</v>
      </c>
      <c r="D879" s="2" t="s">
        <v>758</v>
      </c>
      <c r="E879" s="2" t="s">
        <v>766</v>
      </c>
      <c r="F879" s="2" t="s">
        <v>765</v>
      </c>
      <c r="G879" s="3">
        <v>46114</v>
      </c>
      <c r="H879" s="2" t="s">
        <v>753</v>
      </c>
      <c r="I879" s="2" t="s">
        <v>755</v>
      </c>
      <c r="J879" s="2" t="s">
        <v>754</v>
      </c>
      <c r="K879" s="2" t="s">
        <v>753</v>
      </c>
      <c r="L879" s="6">
        <v>49</v>
      </c>
      <c r="M879" s="2" t="s">
        <v>752</v>
      </c>
      <c r="N879" s="7">
        <v>40</v>
      </c>
      <c r="O879" s="4">
        <v>1960</v>
      </c>
      <c r="P879" s="4">
        <v>1960</v>
      </c>
      <c r="Q879" s="6">
        <v>0</v>
      </c>
    </row>
    <row r="880" spans="1:17" x14ac:dyDescent="0.25">
      <c r="A880" s="2" t="s">
        <v>447</v>
      </c>
      <c r="B880" s="2" t="s">
        <v>21</v>
      </c>
      <c r="C880" s="2" t="s">
        <v>22</v>
      </c>
      <c r="D880" s="2" t="s">
        <v>758</v>
      </c>
      <c r="E880" s="2" t="s">
        <v>763</v>
      </c>
      <c r="F880" s="2" t="s">
        <v>762</v>
      </c>
      <c r="G880" s="3">
        <v>46107</v>
      </c>
      <c r="H880" s="2" t="s">
        <v>753</v>
      </c>
      <c r="I880" s="2" t="s">
        <v>755</v>
      </c>
      <c r="J880" s="2" t="s">
        <v>754</v>
      </c>
      <c r="K880" s="2" t="s">
        <v>753</v>
      </c>
      <c r="L880" s="6">
        <v>336</v>
      </c>
      <c r="M880" s="2" t="s">
        <v>752</v>
      </c>
      <c r="N880" s="7">
        <v>42.6</v>
      </c>
      <c r="O880" s="4">
        <v>14313.6</v>
      </c>
      <c r="P880" s="4">
        <v>14313.6</v>
      </c>
      <c r="Q880" s="6">
        <v>0</v>
      </c>
    </row>
    <row r="881" spans="1:17" x14ac:dyDescent="0.25">
      <c r="A881" s="2" t="s">
        <v>447</v>
      </c>
      <c r="B881" s="2" t="s">
        <v>21</v>
      </c>
      <c r="C881" s="2" t="s">
        <v>22</v>
      </c>
      <c r="D881" s="2" t="s">
        <v>758</v>
      </c>
      <c r="E881" s="2" t="s">
        <v>800</v>
      </c>
      <c r="F881" s="2" t="s">
        <v>799</v>
      </c>
      <c r="G881" s="3">
        <v>46107</v>
      </c>
      <c r="H881" s="2" t="s">
        <v>753</v>
      </c>
      <c r="I881" s="2" t="s">
        <v>755</v>
      </c>
      <c r="J881" s="2" t="s">
        <v>754</v>
      </c>
      <c r="K881" s="2" t="s">
        <v>753</v>
      </c>
      <c r="L881" s="6">
        <v>56</v>
      </c>
      <c r="M881" s="2" t="s">
        <v>752</v>
      </c>
      <c r="N881" s="7">
        <v>34.200000000000003</v>
      </c>
      <c r="O881" s="4">
        <v>1915.2</v>
      </c>
      <c r="P881" s="4">
        <v>1915.2</v>
      </c>
      <c r="Q881" s="6">
        <v>0</v>
      </c>
    </row>
    <row r="882" spans="1:17" x14ac:dyDescent="0.25">
      <c r="A882" s="2" t="s">
        <v>447</v>
      </c>
      <c r="B882" s="2" t="s">
        <v>21</v>
      </c>
      <c r="C882" s="2" t="s">
        <v>22</v>
      </c>
      <c r="D882" s="2" t="s">
        <v>758</v>
      </c>
      <c r="E882" s="2" t="s">
        <v>798</v>
      </c>
      <c r="F882" s="2" t="s">
        <v>797</v>
      </c>
      <c r="G882" s="3">
        <v>46107</v>
      </c>
      <c r="H882" s="2" t="s">
        <v>753</v>
      </c>
      <c r="I882" s="2" t="s">
        <v>755</v>
      </c>
      <c r="J882" s="2" t="s">
        <v>754</v>
      </c>
      <c r="K882" s="2" t="s">
        <v>753</v>
      </c>
      <c r="L882" s="6">
        <v>28</v>
      </c>
      <c r="M882" s="2" t="s">
        <v>752</v>
      </c>
      <c r="N882" s="7">
        <v>35.65</v>
      </c>
      <c r="O882" s="4">
        <v>998.2</v>
      </c>
      <c r="P882" s="4">
        <v>998.2</v>
      </c>
      <c r="Q882" s="6">
        <v>0</v>
      </c>
    </row>
    <row r="883" spans="1:17" x14ac:dyDescent="0.25">
      <c r="A883" s="2" t="s">
        <v>447</v>
      </c>
      <c r="B883" s="2" t="s">
        <v>21</v>
      </c>
      <c r="C883" s="2" t="s">
        <v>22</v>
      </c>
      <c r="D883" s="2" t="s">
        <v>758</v>
      </c>
      <c r="E883" s="2" t="s">
        <v>796</v>
      </c>
      <c r="F883" s="2" t="s">
        <v>795</v>
      </c>
      <c r="G883" s="3">
        <v>46107</v>
      </c>
      <c r="H883" s="2" t="s">
        <v>753</v>
      </c>
      <c r="I883" s="2" t="s">
        <v>755</v>
      </c>
      <c r="J883" s="2" t="s">
        <v>754</v>
      </c>
      <c r="K883" s="2" t="s">
        <v>753</v>
      </c>
      <c r="L883" s="6">
        <v>56</v>
      </c>
      <c r="M883" s="2" t="s">
        <v>752</v>
      </c>
      <c r="N883" s="7">
        <v>35.65</v>
      </c>
      <c r="O883" s="4">
        <v>1996.4</v>
      </c>
      <c r="P883" s="4">
        <v>1996.4</v>
      </c>
      <c r="Q883" s="6">
        <v>0</v>
      </c>
    </row>
    <row r="884" spans="1:17" x14ac:dyDescent="0.25">
      <c r="A884" s="2" t="s">
        <v>447</v>
      </c>
      <c r="B884" s="2" t="s">
        <v>21</v>
      </c>
      <c r="C884" s="2" t="s">
        <v>22</v>
      </c>
      <c r="D884" s="2" t="s">
        <v>758</v>
      </c>
      <c r="E884" s="2" t="s">
        <v>774</v>
      </c>
      <c r="F884" s="2" t="s">
        <v>773</v>
      </c>
      <c r="G884" s="3">
        <v>46107</v>
      </c>
      <c r="H884" s="2" t="s">
        <v>753</v>
      </c>
      <c r="I884" s="2" t="s">
        <v>755</v>
      </c>
      <c r="J884" s="2" t="s">
        <v>754</v>
      </c>
      <c r="K884" s="2" t="s">
        <v>753</v>
      </c>
      <c r="L884" s="6">
        <v>16</v>
      </c>
      <c r="M884" s="2" t="s">
        <v>752</v>
      </c>
      <c r="N884" s="7">
        <v>38.299999999999997</v>
      </c>
      <c r="O884" s="4">
        <v>612.79999999999995</v>
      </c>
      <c r="P884" s="4">
        <v>612.79999999999995</v>
      </c>
      <c r="Q884" s="6">
        <v>0</v>
      </c>
    </row>
    <row r="885" spans="1:17" x14ac:dyDescent="0.25">
      <c r="A885" s="2" t="s">
        <v>447</v>
      </c>
      <c r="B885" s="2" t="s">
        <v>21</v>
      </c>
      <c r="C885" s="2" t="s">
        <v>22</v>
      </c>
      <c r="D885" s="2" t="s">
        <v>758</v>
      </c>
      <c r="E885" s="2" t="s">
        <v>927</v>
      </c>
      <c r="F885" s="2" t="s">
        <v>926</v>
      </c>
      <c r="G885" s="3">
        <v>46107</v>
      </c>
      <c r="H885" s="2" t="s">
        <v>753</v>
      </c>
      <c r="I885" s="2" t="s">
        <v>755</v>
      </c>
      <c r="J885" s="2" t="s">
        <v>754</v>
      </c>
      <c r="K885" s="2" t="s">
        <v>753</v>
      </c>
      <c r="L885" s="6">
        <v>0</v>
      </c>
      <c r="M885" s="2" t="s">
        <v>752</v>
      </c>
      <c r="N885" s="7">
        <v>46</v>
      </c>
      <c r="O885" s="4">
        <v>0</v>
      </c>
      <c r="P885" s="4">
        <v>0</v>
      </c>
      <c r="Q885" s="6">
        <v>0</v>
      </c>
    </row>
    <row r="886" spans="1:17" x14ac:dyDescent="0.25">
      <c r="A886" s="2" t="s">
        <v>447</v>
      </c>
      <c r="B886" s="2" t="s">
        <v>21</v>
      </c>
      <c r="C886" s="2" t="s">
        <v>22</v>
      </c>
      <c r="D886" s="2" t="s">
        <v>758</v>
      </c>
      <c r="E886" s="2" t="s">
        <v>792</v>
      </c>
      <c r="F886" s="2" t="s">
        <v>943</v>
      </c>
      <c r="G886" s="3">
        <v>46107</v>
      </c>
      <c r="H886" s="2" t="s">
        <v>753</v>
      </c>
      <c r="I886" s="2" t="s">
        <v>755</v>
      </c>
      <c r="J886" s="2" t="s">
        <v>754</v>
      </c>
      <c r="K886" s="2" t="s">
        <v>753</v>
      </c>
      <c r="L886" s="6">
        <v>0</v>
      </c>
      <c r="M886" s="2" t="s">
        <v>752</v>
      </c>
      <c r="N886" s="7">
        <v>35</v>
      </c>
      <c r="O886" s="4">
        <v>0</v>
      </c>
      <c r="P886" s="4">
        <v>0</v>
      </c>
      <c r="Q886" s="6">
        <v>0</v>
      </c>
    </row>
    <row r="887" spans="1:17" x14ac:dyDescent="0.25">
      <c r="A887" s="2" t="s">
        <v>447</v>
      </c>
      <c r="B887" s="2" t="s">
        <v>21</v>
      </c>
      <c r="C887" s="2" t="s">
        <v>22</v>
      </c>
      <c r="D887" s="2" t="s">
        <v>758</v>
      </c>
      <c r="E887" s="2" t="s">
        <v>788</v>
      </c>
      <c r="F887" s="2" t="s">
        <v>787</v>
      </c>
      <c r="G887" s="3">
        <v>46107</v>
      </c>
      <c r="H887" s="2" t="s">
        <v>753</v>
      </c>
      <c r="I887" s="2" t="s">
        <v>755</v>
      </c>
      <c r="J887" s="2" t="s">
        <v>754</v>
      </c>
      <c r="K887" s="2" t="s">
        <v>753</v>
      </c>
      <c r="L887" s="6">
        <v>0</v>
      </c>
      <c r="M887" s="2" t="s">
        <v>752</v>
      </c>
      <c r="N887" s="7">
        <v>38.299999999999997</v>
      </c>
      <c r="O887" s="4">
        <v>0</v>
      </c>
      <c r="P887" s="4">
        <v>0</v>
      </c>
      <c r="Q887" s="6">
        <v>0</v>
      </c>
    </row>
    <row r="888" spans="1:17" x14ac:dyDescent="0.25">
      <c r="A888" s="2" t="s">
        <v>447</v>
      </c>
      <c r="B888" s="2" t="s">
        <v>21</v>
      </c>
      <c r="C888" s="2" t="s">
        <v>22</v>
      </c>
      <c r="D888" s="2" t="s">
        <v>758</v>
      </c>
      <c r="E888" s="2" t="s">
        <v>786</v>
      </c>
      <c r="F888" s="2" t="s">
        <v>785</v>
      </c>
      <c r="G888" s="3">
        <v>46107</v>
      </c>
      <c r="H888" s="2" t="s">
        <v>753</v>
      </c>
      <c r="I888" s="2" t="s">
        <v>755</v>
      </c>
      <c r="J888" s="2" t="s">
        <v>754</v>
      </c>
      <c r="K888" s="2" t="s">
        <v>753</v>
      </c>
      <c r="L888" s="6">
        <v>56</v>
      </c>
      <c r="M888" s="2" t="s">
        <v>752</v>
      </c>
      <c r="N888" s="7">
        <v>35</v>
      </c>
      <c r="O888" s="4">
        <v>1960</v>
      </c>
      <c r="P888" s="4">
        <v>1960</v>
      </c>
      <c r="Q888" s="6">
        <v>0</v>
      </c>
    </row>
    <row r="889" spans="1:17" x14ac:dyDescent="0.25">
      <c r="A889" s="2" t="s">
        <v>447</v>
      </c>
      <c r="B889" s="2" t="s">
        <v>21</v>
      </c>
      <c r="C889" s="2" t="s">
        <v>22</v>
      </c>
      <c r="D889" s="2" t="s">
        <v>758</v>
      </c>
      <c r="E889" s="2" t="s">
        <v>782</v>
      </c>
      <c r="F889" s="2" t="s">
        <v>781</v>
      </c>
      <c r="G889" s="3">
        <v>46107</v>
      </c>
      <c r="H889" s="2" t="s">
        <v>753</v>
      </c>
      <c r="I889" s="2" t="s">
        <v>755</v>
      </c>
      <c r="J889" s="2" t="s">
        <v>754</v>
      </c>
      <c r="K889" s="2" t="s">
        <v>753</v>
      </c>
      <c r="L889" s="6">
        <v>40</v>
      </c>
      <c r="M889" s="2" t="s">
        <v>752</v>
      </c>
      <c r="N889" s="7">
        <v>36.18</v>
      </c>
      <c r="O889" s="4">
        <v>1447.2</v>
      </c>
      <c r="P889" s="4">
        <v>1447.2</v>
      </c>
      <c r="Q889" s="6">
        <v>0</v>
      </c>
    </row>
    <row r="890" spans="1:17" x14ac:dyDescent="0.25">
      <c r="A890" s="2" t="s">
        <v>447</v>
      </c>
      <c r="B890" s="2" t="s">
        <v>21</v>
      </c>
      <c r="C890" s="2" t="s">
        <v>22</v>
      </c>
      <c r="D890" s="2" t="s">
        <v>758</v>
      </c>
      <c r="E890" s="2" t="s">
        <v>780</v>
      </c>
      <c r="F890" s="2" t="s">
        <v>779</v>
      </c>
      <c r="G890" s="3">
        <v>46107</v>
      </c>
      <c r="H890" s="2" t="s">
        <v>753</v>
      </c>
      <c r="I890" s="2" t="s">
        <v>755</v>
      </c>
      <c r="J890" s="2" t="s">
        <v>754</v>
      </c>
      <c r="K890" s="2" t="s">
        <v>753</v>
      </c>
      <c r="L890" s="6">
        <v>12</v>
      </c>
      <c r="M890" s="2" t="s">
        <v>752</v>
      </c>
      <c r="N890" s="7">
        <v>36.07</v>
      </c>
      <c r="O890" s="4">
        <v>432.84</v>
      </c>
      <c r="P890" s="4">
        <v>432.84</v>
      </c>
      <c r="Q890" s="6">
        <v>0</v>
      </c>
    </row>
    <row r="891" spans="1:17" x14ac:dyDescent="0.25">
      <c r="A891" s="2" t="s">
        <v>447</v>
      </c>
      <c r="B891" s="2" t="s">
        <v>21</v>
      </c>
      <c r="C891" s="2" t="s">
        <v>22</v>
      </c>
      <c r="D891" s="2" t="s">
        <v>758</v>
      </c>
      <c r="E891" s="2" t="s">
        <v>778</v>
      </c>
      <c r="F891" s="2" t="s">
        <v>777</v>
      </c>
      <c r="G891" s="3">
        <v>46107</v>
      </c>
      <c r="H891" s="2" t="s">
        <v>753</v>
      </c>
      <c r="I891" s="2" t="s">
        <v>755</v>
      </c>
      <c r="J891" s="2" t="s">
        <v>754</v>
      </c>
      <c r="K891" s="2" t="s">
        <v>753</v>
      </c>
      <c r="L891" s="6">
        <v>28</v>
      </c>
      <c r="M891" s="2" t="s">
        <v>752</v>
      </c>
      <c r="N891" s="7">
        <v>42</v>
      </c>
      <c r="O891" s="4">
        <v>1176</v>
      </c>
      <c r="P891" s="4">
        <v>1176</v>
      </c>
      <c r="Q891" s="6">
        <v>0</v>
      </c>
    </row>
    <row r="892" spans="1:17" x14ac:dyDescent="0.25">
      <c r="A892" s="2" t="s">
        <v>447</v>
      </c>
      <c r="B892" s="2" t="s">
        <v>21</v>
      </c>
      <c r="C892" s="2" t="s">
        <v>22</v>
      </c>
      <c r="D892" s="2" t="s">
        <v>758</v>
      </c>
      <c r="E892" s="2" t="s">
        <v>776</v>
      </c>
      <c r="F892" s="2" t="s">
        <v>775</v>
      </c>
      <c r="G892" s="3">
        <v>46107</v>
      </c>
      <c r="H892" s="2" t="s">
        <v>753</v>
      </c>
      <c r="I892" s="2" t="s">
        <v>755</v>
      </c>
      <c r="J892" s="2" t="s">
        <v>754</v>
      </c>
      <c r="K892" s="2" t="s">
        <v>753</v>
      </c>
      <c r="L892" s="6">
        <v>28</v>
      </c>
      <c r="M892" s="2" t="s">
        <v>752</v>
      </c>
      <c r="N892" s="7">
        <v>43.82</v>
      </c>
      <c r="O892" s="4">
        <v>1226.96</v>
      </c>
      <c r="P892" s="4">
        <v>1226.96</v>
      </c>
      <c r="Q892" s="6">
        <v>0</v>
      </c>
    </row>
    <row r="893" spans="1:17" x14ac:dyDescent="0.25">
      <c r="A893" s="2" t="s">
        <v>447</v>
      </c>
      <c r="B893" s="2" t="s">
        <v>21</v>
      </c>
      <c r="C893" s="2" t="s">
        <v>22</v>
      </c>
      <c r="D893" s="2" t="s">
        <v>758</v>
      </c>
      <c r="E893" s="2" t="s">
        <v>794</v>
      </c>
      <c r="F893" s="2" t="s">
        <v>793</v>
      </c>
      <c r="G893" s="3">
        <v>46107</v>
      </c>
      <c r="H893" s="2" t="s">
        <v>753</v>
      </c>
      <c r="I893" s="2" t="s">
        <v>755</v>
      </c>
      <c r="J893" s="2" t="s">
        <v>754</v>
      </c>
      <c r="K893" s="2" t="s">
        <v>753</v>
      </c>
      <c r="L893" s="6">
        <v>84</v>
      </c>
      <c r="M893" s="2" t="s">
        <v>752</v>
      </c>
      <c r="N893" s="7">
        <v>40.619999999999997</v>
      </c>
      <c r="O893" s="4">
        <v>3412.08</v>
      </c>
      <c r="P893" s="4">
        <v>3412.08</v>
      </c>
      <c r="Q893" s="6">
        <v>0</v>
      </c>
    </row>
    <row r="894" spans="1:17" x14ac:dyDescent="0.25">
      <c r="A894" s="2" t="s">
        <v>447</v>
      </c>
      <c r="B894" s="2" t="s">
        <v>21</v>
      </c>
      <c r="C894" s="2" t="s">
        <v>22</v>
      </c>
      <c r="D894" s="2" t="s">
        <v>758</v>
      </c>
      <c r="E894" s="2" t="s">
        <v>790</v>
      </c>
      <c r="F894" s="2" t="s">
        <v>789</v>
      </c>
      <c r="G894" s="3">
        <v>46107</v>
      </c>
      <c r="H894" s="2" t="s">
        <v>753</v>
      </c>
      <c r="I894" s="2" t="s">
        <v>755</v>
      </c>
      <c r="J894" s="2" t="s">
        <v>754</v>
      </c>
      <c r="K894" s="2" t="s">
        <v>753</v>
      </c>
      <c r="L894" s="6">
        <v>56</v>
      </c>
      <c r="M894" s="2" t="s">
        <v>752</v>
      </c>
      <c r="N894" s="7">
        <v>39.25</v>
      </c>
      <c r="O894" s="4">
        <v>2198</v>
      </c>
      <c r="P894" s="4">
        <v>2198</v>
      </c>
      <c r="Q894" s="6">
        <v>0</v>
      </c>
    </row>
    <row r="895" spans="1:17" x14ac:dyDescent="0.25">
      <c r="A895" s="2" t="s">
        <v>447</v>
      </c>
      <c r="B895" s="2" t="s">
        <v>21</v>
      </c>
      <c r="C895" s="2" t="s">
        <v>22</v>
      </c>
      <c r="D895" s="2" t="s">
        <v>758</v>
      </c>
      <c r="E895" s="2" t="s">
        <v>851</v>
      </c>
      <c r="F895" s="2" t="s">
        <v>850</v>
      </c>
      <c r="G895" s="3">
        <v>46107</v>
      </c>
      <c r="H895" s="2" t="s">
        <v>753</v>
      </c>
      <c r="I895" s="2" t="s">
        <v>755</v>
      </c>
      <c r="J895" s="2" t="s">
        <v>754</v>
      </c>
      <c r="K895" s="2" t="s">
        <v>753</v>
      </c>
      <c r="L895" s="6">
        <v>28</v>
      </c>
      <c r="M895" s="2" t="s">
        <v>752</v>
      </c>
      <c r="N895" s="7">
        <v>43.82</v>
      </c>
      <c r="O895" s="4">
        <v>1226.96</v>
      </c>
      <c r="P895" s="4">
        <v>1226.96</v>
      </c>
      <c r="Q895" s="6">
        <v>0</v>
      </c>
    </row>
    <row r="896" spans="1:17" x14ac:dyDescent="0.25">
      <c r="A896" s="2" t="s">
        <v>447</v>
      </c>
      <c r="B896" s="2" t="s">
        <v>21</v>
      </c>
      <c r="C896" s="2" t="s">
        <v>22</v>
      </c>
      <c r="D896" s="2" t="s">
        <v>758</v>
      </c>
      <c r="E896" s="2" t="s">
        <v>853</v>
      </c>
      <c r="F896" s="2" t="s">
        <v>852</v>
      </c>
      <c r="G896" s="3">
        <v>46107</v>
      </c>
      <c r="H896" s="2" t="s">
        <v>753</v>
      </c>
      <c r="I896" s="2" t="s">
        <v>755</v>
      </c>
      <c r="J896" s="2" t="s">
        <v>754</v>
      </c>
      <c r="K896" s="2" t="s">
        <v>753</v>
      </c>
      <c r="L896" s="6">
        <v>4</v>
      </c>
      <c r="M896" s="2" t="s">
        <v>752</v>
      </c>
      <c r="N896" s="7">
        <v>64</v>
      </c>
      <c r="O896" s="4">
        <v>256</v>
      </c>
      <c r="P896" s="4">
        <v>256</v>
      </c>
      <c r="Q896" s="6">
        <v>0</v>
      </c>
    </row>
    <row r="897" spans="1:17" x14ac:dyDescent="0.25">
      <c r="A897" s="2" t="s">
        <v>486</v>
      </c>
      <c r="B897" s="2" t="s">
        <v>21</v>
      </c>
      <c r="C897" s="2" t="s">
        <v>22</v>
      </c>
      <c r="D897" s="2" t="s">
        <v>758</v>
      </c>
      <c r="E897" s="2" t="s">
        <v>794</v>
      </c>
      <c r="F897" s="2" t="s">
        <v>793</v>
      </c>
      <c r="G897" s="3">
        <v>46098</v>
      </c>
      <c r="H897" s="2" t="s">
        <v>753</v>
      </c>
      <c r="I897" s="2" t="s">
        <v>755</v>
      </c>
      <c r="J897" s="2" t="s">
        <v>754</v>
      </c>
      <c r="K897" s="2" t="s">
        <v>753</v>
      </c>
      <c r="L897" s="6">
        <v>28</v>
      </c>
      <c r="M897" s="2" t="s">
        <v>752</v>
      </c>
      <c r="N897" s="7">
        <v>40.619999999999997</v>
      </c>
      <c r="O897" s="4">
        <v>1137.3599999999999</v>
      </c>
      <c r="P897" s="4">
        <v>1137.3599999999999</v>
      </c>
      <c r="Q897" s="6">
        <v>0</v>
      </c>
    </row>
    <row r="898" spans="1:17" x14ac:dyDescent="0.25">
      <c r="A898" s="2" t="s">
        <v>486</v>
      </c>
      <c r="B898" s="2" t="s">
        <v>21</v>
      </c>
      <c r="C898" s="2" t="s">
        <v>22</v>
      </c>
      <c r="D898" s="2" t="s">
        <v>758</v>
      </c>
      <c r="E898" s="2" t="s">
        <v>851</v>
      </c>
      <c r="F898" s="2" t="s">
        <v>850</v>
      </c>
      <c r="G898" s="3">
        <v>46098</v>
      </c>
      <c r="H898" s="2" t="s">
        <v>753</v>
      </c>
      <c r="I898" s="2" t="s">
        <v>755</v>
      </c>
      <c r="J898" s="2" t="s">
        <v>754</v>
      </c>
      <c r="K898" s="2" t="s">
        <v>753</v>
      </c>
      <c r="L898" s="6">
        <v>28</v>
      </c>
      <c r="M898" s="2" t="s">
        <v>752</v>
      </c>
      <c r="N898" s="7">
        <v>43.82</v>
      </c>
      <c r="O898" s="4">
        <v>1226.96</v>
      </c>
      <c r="P898" s="4">
        <v>1226.96</v>
      </c>
      <c r="Q898" s="6">
        <v>0</v>
      </c>
    </row>
    <row r="899" spans="1:17" x14ac:dyDescent="0.25">
      <c r="A899" s="2" t="s">
        <v>438</v>
      </c>
      <c r="B899" s="2" t="s">
        <v>119</v>
      </c>
      <c r="C899" s="2" t="s">
        <v>120</v>
      </c>
      <c r="D899" s="2" t="s">
        <v>758</v>
      </c>
      <c r="E899" s="2" t="s">
        <v>936</v>
      </c>
      <c r="F899" s="2" t="s">
        <v>935</v>
      </c>
      <c r="G899" s="3">
        <v>46111</v>
      </c>
      <c r="H899" s="2" t="s">
        <v>753</v>
      </c>
      <c r="I899" s="2" t="s">
        <v>755</v>
      </c>
      <c r="J899" s="2" t="s">
        <v>754</v>
      </c>
      <c r="K899" s="2" t="s">
        <v>753</v>
      </c>
      <c r="L899" s="6">
        <v>20</v>
      </c>
      <c r="M899" s="2" t="s">
        <v>752</v>
      </c>
      <c r="N899" s="7">
        <v>43</v>
      </c>
      <c r="O899" s="4">
        <v>860</v>
      </c>
      <c r="P899" s="4">
        <v>860</v>
      </c>
      <c r="Q899" s="6">
        <v>0</v>
      </c>
    </row>
    <row r="900" spans="1:17" x14ac:dyDescent="0.25">
      <c r="A900" s="2" t="s">
        <v>438</v>
      </c>
      <c r="B900" s="2" t="s">
        <v>119</v>
      </c>
      <c r="C900" s="2" t="s">
        <v>120</v>
      </c>
      <c r="D900" s="2" t="s">
        <v>758</v>
      </c>
      <c r="E900" s="2" t="s">
        <v>763</v>
      </c>
      <c r="F900" s="2" t="s">
        <v>762</v>
      </c>
      <c r="G900" s="3">
        <v>46111</v>
      </c>
      <c r="H900" s="2" t="s">
        <v>753</v>
      </c>
      <c r="I900" s="2" t="s">
        <v>755</v>
      </c>
      <c r="J900" s="2" t="s">
        <v>754</v>
      </c>
      <c r="K900" s="2" t="s">
        <v>753</v>
      </c>
      <c r="L900" s="6">
        <v>12</v>
      </c>
      <c r="M900" s="2" t="s">
        <v>752</v>
      </c>
      <c r="N900" s="7">
        <v>44</v>
      </c>
      <c r="O900" s="4">
        <v>528</v>
      </c>
      <c r="P900" s="4">
        <v>528</v>
      </c>
      <c r="Q900" s="6">
        <v>0</v>
      </c>
    </row>
    <row r="901" spans="1:17" x14ac:dyDescent="0.25">
      <c r="A901" s="2" t="s">
        <v>438</v>
      </c>
      <c r="B901" s="2" t="s">
        <v>119</v>
      </c>
      <c r="C901" s="2" t="s">
        <v>120</v>
      </c>
      <c r="D901" s="2" t="s">
        <v>758</v>
      </c>
      <c r="E901" s="2" t="s">
        <v>757</v>
      </c>
      <c r="F901" s="2" t="s">
        <v>756</v>
      </c>
      <c r="G901" s="3">
        <v>46111</v>
      </c>
      <c r="H901" s="2" t="s">
        <v>753</v>
      </c>
      <c r="I901" s="2" t="s">
        <v>755</v>
      </c>
      <c r="J901" s="2" t="s">
        <v>754</v>
      </c>
      <c r="K901" s="2" t="s">
        <v>753</v>
      </c>
      <c r="L901" s="6">
        <v>16</v>
      </c>
      <c r="M901" s="2" t="s">
        <v>752</v>
      </c>
      <c r="N901" s="7">
        <v>42.11</v>
      </c>
      <c r="O901" s="4">
        <v>673.76</v>
      </c>
      <c r="P901" s="4">
        <v>673.76</v>
      </c>
      <c r="Q901" s="6">
        <v>0</v>
      </c>
    </row>
    <row r="902" spans="1:17" x14ac:dyDescent="0.25">
      <c r="A902" s="2" t="s">
        <v>438</v>
      </c>
      <c r="B902" s="2" t="s">
        <v>119</v>
      </c>
      <c r="C902" s="2" t="s">
        <v>120</v>
      </c>
      <c r="D902" s="2" t="s">
        <v>758</v>
      </c>
      <c r="E902" s="2" t="s">
        <v>847</v>
      </c>
      <c r="F902" s="2" t="s">
        <v>846</v>
      </c>
      <c r="G902" s="3">
        <v>46111</v>
      </c>
      <c r="H902" s="2" t="s">
        <v>753</v>
      </c>
      <c r="I902" s="2" t="s">
        <v>755</v>
      </c>
      <c r="J902" s="2" t="s">
        <v>754</v>
      </c>
      <c r="K902" s="2" t="s">
        <v>753</v>
      </c>
      <c r="L902" s="6">
        <v>84</v>
      </c>
      <c r="M902" s="2" t="s">
        <v>752</v>
      </c>
      <c r="N902" s="7">
        <v>38.75</v>
      </c>
      <c r="O902" s="4">
        <v>3255</v>
      </c>
      <c r="P902" s="4">
        <v>3255</v>
      </c>
      <c r="Q902" s="6">
        <v>0</v>
      </c>
    </row>
    <row r="903" spans="1:17" x14ac:dyDescent="0.25">
      <c r="A903" s="2" t="s">
        <v>438</v>
      </c>
      <c r="B903" s="2" t="s">
        <v>119</v>
      </c>
      <c r="C903" s="2" t="s">
        <v>120</v>
      </c>
      <c r="D903" s="2" t="s">
        <v>758</v>
      </c>
      <c r="E903" s="2" t="s">
        <v>916</v>
      </c>
      <c r="F903" s="2" t="s">
        <v>915</v>
      </c>
      <c r="G903" s="3">
        <v>46111</v>
      </c>
      <c r="H903" s="2" t="s">
        <v>753</v>
      </c>
      <c r="I903" s="2" t="s">
        <v>755</v>
      </c>
      <c r="J903" s="2" t="s">
        <v>754</v>
      </c>
      <c r="K903" s="2" t="s">
        <v>753</v>
      </c>
      <c r="L903" s="6">
        <v>12</v>
      </c>
      <c r="M903" s="2" t="s">
        <v>752</v>
      </c>
      <c r="N903" s="7">
        <v>40.78</v>
      </c>
      <c r="O903" s="4">
        <v>489.36</v>
      </c>
      <c r="P903" s="4">
        <v>489.36</v>
      </c>
      <c r="Q903" s="6">
        <v>0</v>
      </c>
    </row>
    <row r="904" spans="1:17" x14ac:dyDescent="0.25">
      <c r="A904" s="2" t="s">
        <v>438</v>
      </c>
      <c r="B904" s="2" t="s">
        <v>119</v>
      </c>
      <c r="C904" s="2" t="s">
        <v>120</v>
      </c>
      <c r="D904" s="2" t="s">
        <v>758</v>
      </c>
      <c r="E904" s="2" t="s">
        <v>807</v>
      </c>
      <c r="F904" s="2" t="s">
        <v>806</v>
      </c>
      <c r="G904" s="3">
        <v>46111</v>
      </c>
      <c r="H904" s="2" t="s">
        <v>753</v>
      </c>
      <c r="I904" s="2" t="s">
        <v>755</v>
      </c>
      <c r="J904" s="2" t="s">
        <v>754</v>
      </c>
      <c r="K904" s="2" t="s">
        <v>753</v>
      </c>
      <c r="L904" s="6">
        <v>8</v>
      </c>
      <c r="M904" s="2" t="s">
        <v>752</v>
      </c>
      <c r="N904" s="7">
        <v>44.65</v>
      </c>
      <c r="O904" s="4">
        <v>357.2</v>
      </c>
      <c r="P904" s="4">
        <v>357.2</v>
      </c>
      <c r="Q904" s="6">
        <v>0</v>
      </c>
    </row>
    <row r="905" spans="1:17" x14ac:dyDescent="0.25">
      <c r="A905" s="2" t="s">
        <v>438</v>
      </c>
      <c r="B905" s="2" t="s">
        <v>119</v>
      </c>
      <c r="C905" s="2" t="s">
        <v>120</v>
      </c>
      <c r="D905" s="2" t="s">
        <v>758</v>
      </c>
      <c r="E905" s="2" t="s">
        <v>845</v>
      </c>
      <c r="F905" s="2" t="s">
        <v>844</v>
      </c>
      <c r="G905" s="3">
        <v>46111</v>
      </c>
      <c r="H905" s="2" t="s">
        <v>753</v>
      </c>
      <c r="I905" s="2" t="s">
        <v>755</v>
      </c>
      <c r="J905" s="2" t="s">
        <v>754</v>
      </c>
      <c r="K905" s="2" t="s">
        <v>753</v>
      </c>
      <c r="L905" s="6">
        <v>16</v>
      </c>
      <c r="M905" s="2" t="s">
        <v>752</v>
      </c>
      <c r="N905" s="7">
        <v>40.619999999999997</v>
      </c>
      <c r="O905" s="4">
        <v>649.91999999999996</v>
      </c>
      <c r="P905" s="4">
        <v>649.91999999999996</v>
      </c>
      <c r="Q905" s="6">
        <v>0</v>
      </c>
    </row>
    <row r="906" spans="1:17" x14ac:dyDescent="0.25">
      <c r="A906" s="2" t="s">
        <v>438</v>
      </c>
      <c r="B906" s="2" t="s">
        <v>119</v>
      </c>
      <c r="C906" s="2" t="s">
        <v>120</v>
      </c>
      <c r="D906" s="2" t="s">
        <v>758</v>
      </c>
      <c r="E906" s="2" t="s">
        <v>914</v>
      </c>
      <c r="F906" s="2" t="s">
        <v>913</v>
      </c>
      <c r="G906" s="3">
        <v>46111</v>
      </c>
      <c r="H906" s="2" t="s">
        <v>753</v>
      </c>
      <c r="I906" s="2" t="s">
        <v>755</v>
      </c>
      <c r="J906" s="2" t="s">
        <v>754</v>
      </c>
      <c r="K906" s="2" t="s">
        <v>753</v>
      </c>
      <c r="L906" s="6">
        <v>4</v>
      </c>
      <c r="M906" s="2" t="s">
        <v>752</v>
      </c>
      <c r="N906" s="7">
        <v>41.6</v>
      </c>
      <c r="O906" s="4">
        <v>166.4</v>
      </c>
      <c r="P906" s="4">
        <v>166.4</v>
      </c>
      <c r="Q906" s="6">
        <v>0</v>
      </c>
    </row>
    <row r="907" spans="1:17" x14ac:dyDescent="0.25">
      <c r="A907" s="2" t="s">
        <v>438</v>
      </c>
      <c r="B907" s="2" t="s">
        <v>119</v>
      </c>
      <c r="C907" s="2" t="s">
        <v>120</v>
      </c>
      <c r="D907" s="2" t="s">
        <v>758</v>
      </c>
      <c r="E907" s="2" t="s">
        <v>786</v>
      </c>
      <c r="F907" s="2" t="s">
        <v>785</v>
      </c>
      <c r="G907" s="3">
        <v>46111</v>
      </c>
      <c r="H907" s="2" t="s">
        <v>753</v>
      </c>
      <c r="I907" s="2" t="s">
        <v>755</v>
      </c>
      <c r="J907" s="2" t="s">
        <v>754</v>
      </c>
      <c r="K907" s="2" t="s">
        <v>753</v>
      </c>
      <c r="L907" s="6">
        <v>48</v>
      </c>
      <c r="M907" s="2" t="s">
        <v>752</v>
      </c>
      <c r="N907" s="7">
        <v>35</v>
      </c>
      <c r="O907" s="4">
        <v>1680</v>
      </c>
      <c r="P907" s="4">
        <v>1680</v>
      </c>
      <c r="Q907" s="6">
        <v>0</v>
      </c>
    </row>
    <row r="908" spans="1:17" x14ac:dyDescent="0.25">
      <c r="A908" s="2" t="s">
        <v>438</v>
      </c>
      <c r="B908" s="2" t="s">
        <v>119</v>
      </c>
      <c r="C908" s="2" t="s">
        <v>120</v>
      </c>
      <c r="D908" s="2" t="s">
        <v>758</v>
      </c>
      <c r="E908" s="2" t="s">
        <v>782</v>
      </c>
      <c r="F908" s="2" t="s">
        <v>781</v>
      </c>
      <c r="G908" s="3">
        <v>46111</v>
      </c>
      <c r="H908" s="2" t="s">
        <v>753</v>
      </c>
      <c r="I908" s="2" t="s">
        <v>755</v>
      </c>
      <c r="J908" s="2" t="s">
        <v>754</v>
      </c>
      <c r="K908" s="2" t="s">
        <v>753</v>
      </c>
      <c r="L908" s="6">
        <v>4</v>
      </c>
      <c r="M908" s="2" t="s">
        <v>752</v>
      </c>
      <c r="N908" s="7">
        <v>36.18</v>
      </c>
      <c r="O908" s="4">
        <v>144.72</v>
      </c>
      <c r="P908" s="4">
        <v>144.72</v>
      </c>
      <c r="Q908" s="6">
        <v>0</v>
      </c>
    </row>
    <row r="909" spans="1:17" x14ac:dyDescent="0.25">
      <c r="A909" s="2" t="s">
        <v>438</v>
      </c>
      <c r="B909" s="2" t="s">
        <v>119</v>
      </c>
      <c r="C909" s="2" t="s">
        <v>120</v>
      </c>
      <c r="D909" s="2" t="s">
        <v>758</v>
      </c>
      <c r="E909" s="2" t="s">
        <v>813</v>
      </c>
      <c r="F909" s="2" t="s">
        <v>812</v>
      </c>
      <c r="G909" s="3">
        <v>46111</v>
      </c>
      <c r="H909" s="2" t="s">
        <v>753</v>
      </c>
      <c r="I909" s="2" t="s">
        <v>755</v>
      </c>
      <c r="J909" s="2" t="s">
        <v>754</v>
      </c>
      <c r="K909" s="2" t="s">
        <v>753</v>
      </c>
      <c r="L909" s="6">
        <v>40</v>
      </c>
      <c r="M909" s="2" t="s">
        <v>752</v>
      </c>
      <c r="N909" s="7">
        <v>53</v>
      </c>
      <c r="O909" s="4">
        <v>2120</v>
      </c>
      <c r="P909" s="4">
        <v>2120</v>
      </c>
      <c r="Q909" s="6">
        <v>0</v>
      </c>
    </row>
    <row r="910" spans="1:17" x14ac:dyDescent="0.25">
      <c r="A910" s="2" t="s">
        <v>438</v>
      </c>
      <c r="B910" s="2" t="s">
        <v>119</v>
      </c>
      <c r="C910" s="2" t="s">
        <v>120</v>
      </c>
      <c r="D910" s="2" t="s">
        <v>758</v>
      </c>
      <c r="E910" s="2" t="s">
        <v>776</v>
      </c>
      <c r="F910" s="2" t="s">
        <v>775</v>
      </c>
      <c r="G910" s="3">
        <v>46111</v>
      </c>
      <c r="H910" s="2" t="s">
        <v>753</v>
      </c>
      <c r="I910" s="2" t="s">
        <v>755</v>
      </c>
      <c r="J910" s="2" t="s">
        <v>754</v>
      </c>
      <c r="K910" s="2" t="s">
        <v>753</v>
      </c>
      <c r="L910" s="6">
        <v>56</v>
      </c>
      <c r="M910" s="2" t="s">
        <v>752</v>
      </c>
      <c r="N910" s="7">
        <v>43.82</v>
      </c>
      <c r="O910" s="4">
        <v>2453.92</v>
      </c>
      <c r="P910" s="4">
        <v>2453.92</v>
      </c>
      <c r="Q910" s="6">
        <v>0</v>
      </c>
    </row>
    <row r="911" spans="1:17" x14ac:dyDescent="0.25">
      <c r="A911" s="2" t="s">
        <v>438</v>
      </c>
      <c r="B911" s="2" t="s">
        <v>119</v>
      </c>
      <c r="C911" s="2" t="s">
        <v>120</v>
      </c>
      <c r="D911" s="2" t="s">
        <v>758</v>
      </c>
      <c r="E911" s="2" t="s">
        <v>912</v>
      </c>
      <c r="F911" s="2" t="s">
        <v>911</v>
      </c>
      <c r="G911" s="3">
        <v>46111</v>
      </c>
      <c r="H911" s="2" t="s">
        <v>753</v>
      </c>
      <c r="I911" s="2" t="s">
        <v>755</v>
      </c>
      <c r="J911" s="2" t="s">
        <v>754</v>
      </c>
      <c r="K911" s="2" t="s">
        <v>753</v>
      </c>
      <c r="L911" s="6">
        <v>16</v>
      </c>
      <c r="M911" s="2" t="s">
        <v>752</v>
      </c>
      <c r="N911" s="7">
        <v>55.13</v>
      </c>
      <c r="O911" s="4">
        <v>882.08</v>
      </c>
      <c r="P911" s="4">
        <v>882.08</v>
      </c>
      <c r="Q911" s="6">
        <v>0</v>
      </c>
    </row>
    <row r="912" spans="1:17" x14ac:dyDescent="0.25">
      <c r="A912" s="2" t="s">
        <v>436</v>
      </c>
      <c r="B912" s="2" t="s">
        <v>59</v>
      </c>
      <c r="C912" s="2" t="s">
        <v>60</v>
      </c>
      <c r="D912" s="2" t="s">
        <v>758</v>
      </c>
      <c r="E912" s="2" t="s">
        <v>871</v>
      </c>
      <c r="F912" s="2" t="s">
        <v>870</v>
      </c>
      <c r="G912" s="3">
        <v>46111</v>
      </c>
      <c r="H912" s="2" t="s">
        <v>753</v>
      </c>
      <c r="I912" s="2" t="s">
        <v>755</v>
      </c>
      <c r="J912" s="2" t="s">
        <v>754</v>
      </c>
      <c r="K912" s="2" t="s">
        <v>753</v>
      </c>
      <c r="L912" s="6">
        <v>60</v>
      </c>
      <c r="M912" s="2" t="s">
        <v>752</v>
      </c>
      <c r="N912" s="7">
        <v>41.7</v>
      </c>
      <c r="O912" s="4">
        <v>2502</v>
      </c>
      <c r="P912" s="4">
        <v>2502</v>
      </c>
      <c r="Q912" s="6">
        <v>0</v>
      </c>
    </row>
    <row r="913" spans="1:17" x14ac:dyDescent="0.25">
      <c r="A913" s="2" t="s">
        <v>436</v>
      </c>
      <c r="B913" s="2" t="s">
        <v>59</v>
      </c>
      <c r="C913" s="2" t="s">
        <v>60</v>
      </c>
      <c r="D913" s="2" t="s">
        <v>758</v>
      </c>
      <c r="E913" s="2" t="s">
        <v>896</v>
      </c>
      <c r="F913" s="2" t="s">
        <v>895</v>
      </c>
      <c r="G913" s="3">
        <v>46111</v>
      </c>
      <c r="H913" s="2" t="s">
        <v>753</v>
      </c>
      <c r="I913" s="2" t="s">
        <v>755</v>
      </c>
      <c r="J913" s="2" t="s">
        <v>754</v>
      </c>
      <c r="K913" s="2" t="s">
        <v>753</v>
      </c>
      <c r="L913" s="6">
        <v>24</v>
      </c>
      <c r="M913" s="2" t="s">
        <v>752</v>
      </c>
      <c r="N913" s="7">
        <v>41.49</v>
      </c>
      <c r="O913" s="4">
        <v>995.76</v>
      </c>
      <c r="P913" s="4">
        <v>995.76</v>
      </c>
      <c r="Q913" s="6">
        <v>0</v>
      </c>
    </row>
    <row r="914" spans="1:17" x14ac:dyDescent="0.25">
      <c r="A914" s="2" t="s">
        <v>436</v>
      </c>
      <c r="B914" s="2" t="s">
        <v>59</v>
      </c>
      <c r="C914" s="2" t="s">
        <v>60</v>
      </c>
      <c r="D914" s="2" t="s">
        <v>758</v>
      </c>
      <c r="E914" s="2" t="s">
        <v>869</v>
      </c>
      <c r="F914" s="2" t="s">
        <v>868</v>
      </c>
      <c r="G914" s="3">
        <v>46111</v>
      </c>
      <c r="H914" s="2" t="s">
        <v>753</v>
      </c>
      <c r="I914" s="2" t="s">
        <v>755</v>
      </c>
      <c r="J914" s="2" t="s">
        <v>754</v>
      </c>
      <c r="K914" s="2" t="s">
        <v>753</v>
      </c>
      <c r="L914" s="6">
        <v>240</v>
      </c>
      <c r="M914" s="2" t="s">
        <v>752</v>
      </c>
      <c r="N914" s="7">
        <v>48.49</v>
      </c>
      <c r="O914" s="4">
        <v>11637.6</v>
      </c>
      <c r="P914" s="4">
        <v>11637.6</v>
      </c>
      <c r="Q914" s="6">
        <v>0</v>
      </c>
    </row>
    <row r="915" spans="1:17" x14ac:dyDescent="0.25">
      <c r="A915" s="2" t="s">
        <v>436</v>
      </c>
      <c r="B915" s="2" t="s">
        <v>59</v>
      </c>
      <c r="C915" s="2" t="s">
        <v>60</v>
      </c>
      <c r="D915" s="2" t="s">
        <v>758</v>
      </c>
      <c r="E915" s="2" t="s">
        <v>867</v>
      </c>
      <c r="F915" s="2" t="s">
        <v>866</v>
      </c>
      <c r="G915" s="3">
        <v>46111</v>
      </c>
      <c r="H915" s="2" t="s">
        <v>753</v>
      </c>
      <c r="I915" s="2" t="s">
        <v>755</v>
      </c>
      <c r="J915" s="2" t="s">
        <v>754</v>
      </c>
      <c r="K915" s="2" t="s">
        <v>753</v>
      </c>
      <c r="L915" s="6">
        <v>32</v>
      </c>
      <c r="M915" s="2" t="s">
        <v>752</v>
      </c>
      <c r="N915" s="7">
        <v>36.299999999999997</v>
      </c>
      <c r="O915" s="4">
        <v>1161.5999999999999</v>
      </c>
      <c r="P915" s="4">
        <v>1161.5999999999999</v>
      </c>
      <c r="Q915" s="6">
        <v>0</v>
      </c>
    </row>
    <row r="916" spans="1:17" x14ac:dyDescent="0.25">
      <c r="A916" s="2" t="s">
        <v>436</v>
      </c>
      <c r="B916" s="2" t="s">
        <v>59</v>
      </c>
      <c r="C916" s="2" t="s">
        <v>60</v>
      </c>
      <c r="D916" s="2" t="s">
        <v>758</v>
      </c>
      <c r="E916" s="2" t="s">
        <v>863</v>
      </c>
      <c r="F916" s="2" t="s">
        <v>862</v>
      </c>
      <c r="G916" s="3">
        <v>46111</v>
      </c>
      <c r="H916" s="2" t="s">
        <v>753</v>
      </c>
      <c r="I916" s="2" t="s">
        <v>755</v>
      </c>
      <c r="J916" s="2" t="s">
        <v>754</v>
      </c>
      <c r="K916" s="2" t="s">
        <v>753</v>
      </c>
      <c r="L916" s="6">
        <v>28</v>
      </c>
      <c r="M916" s="2" t="s">
        <v>752</v>
      </c>
      <c r="N916" s="7">
        <v>33.299999999999997</v>
      </c>
      <c r="O916" s="4">
        <v>932.4</v>
      </c>
      <c r="P916" s="4">
        <v>932.4</v>
      </c>
      <c r="Q916" s="6">
        <v>0</v>
      </c>
    </row>
    <row r="917" spans="1:17" x14ac:dyDescent="0.25">
      <c r="A917" s="2" t="s">
        <v>436</v>
      </c>
      <c r="B917" s="2" t="s">
        <v>59</v>
      </c>
      <c r="C917" s="2" t="s">
        <v>60</v>
      </c>
      <c r="D917" s="2" t="s">
        <v>758</v>
      </c>
      <c r="E917" s="2" t="s">
        <v>763</v>
      </c>
      <c r="F917" s="2" t="s">
        <v>762</v>
      </c>
      <c r="G917" s="3">
        <v>46111</v>
      </c>
      <c r="H917" s="2" t="s">
        <v>753</v>
      </c>
      <c r="I917" s="2" t="s">
        <v>755</v>
      </c>
      <c r="J917" s="2" t="s">
        <v>754</v>
      </c>
      <c r="K917" s="2" t="s">
        <v>753</v>
      </c>
      <c r="L917" s="6">
        <v>112</v>
      </c>
      <c r="M917" s="2" t="s">
        <v>752</v>
      </c>
      <c r="N917" s="7">
        <v>36.82</v>
      </c>
      <c r="O917" s="4">
        <v>4123.84</v>
      </c>
      <c r="P917" s="4">
        <v>4123.84</v>
      </c>
      <c r="Q917" s="6">
        <v>0</v>
      </c>
    </row>
    <row r="918" spans="1:17" x14ac:dyDescent="0.25">
      <c r="A918" s="2" t="s">
        <v>436</v>
      </c>
      <c r="B918" s="2" t="s">
        <v>59</v>
      </c>
      <c r="C918" s="2" t="s">
        <v>60</v>
      </c>
      <c r="D918" s="2" t="s">
        <v>758</v>
      </c>
      <c r="E918" s="2" t="s">
        <v>861</v>
      </c>
      <c r="F918" s="2" t="s">
        <v>860</v>
      </c>
      <c r="G918" s="3">
        <v>46111</v>
      </c>
      <c r="H918" s="2" t="s">
        <v>753</v>
      </c>
      <c r="I918" s="2" t="s">
        <v>755</v>
      </c>
      <c r="J918" s="2" t="s">
        <v>754</v>
      </c>
      <c r="K918" s="2" t="s">
        <v>753</v>
      </c>
      <c r="L918" s="6">
        <v>28</v>
      </c>
      <c r="M918" s="2" t="s">
        <v>752</v>
      </c>
      <c r="N918" s="7">
        <v>39.700000000000003</v>
      </c>
      <c r="O918" s="4">
        <v>1111.5999999999999</v>
      </c>
      <c r="P918" s="4">
        <v>1111.5999999999999</v>
      </c>
      <c r="Q918" s="6">
        <v>0</v>
      </c>
    </row>
    <row r="919" spans="1:17" x14ac:dyDescent="0.25">
      <c r="A919" s="2" t="s">
        <v>436</v>
      </c>
      <c r="B919" s="2" t="s">
        <v>59</v>
      </c>
      <c r="C919" s="2" t="s">
        <v>60</v>
      </c>
      <c r="D919" s="2" t="s">
        <v>758</v>
      </c>
      <c r="E919" s="2" t="s">
        <v>757</v>
      </c>
      <c r="F919" s="2" t="s">
        <v>756</v>
      </c>
      <c r="G919" s="3">
        <v>46111</v>
      </c>
      <c r="H919" s="2" t="s">
        <v>753</v>
      </c>
      <c r="I919" s="2" t="s">
        <v>755</v>
      </c>
      <c r="J919" s="2" t="s">
        <v>754</v>
      </c>
      <c r="K919" s="2" t="s">
        <v>753</v>
      </c>
      <c r="L919" s="6">
        <v>168</v>
      </c>
      <c r="M919" s="2" t="s">
        <v>752</v>
      </c>
      <c r="N919" s="7">
        <v>39.700000000000003</v>
      </c>
      <c r="O919" s="4">
        <v>6669.6</v>
      </c>
      <c r="P919" s="4">
        <v>6669.6</v>
      </c>
      <c r="Q919" s="6">
        <v>0</v>
      </c>
    </row>
    <row r="920" spans="1:17" x14ac:dyDescent="0.25">
      <c r="A920" s="2" t="s">
        <v>436</v>
      </c>
      <c r="B920" s="2" t="s">
        <v>59</v>
      </c>
      <c r="C920" s="2" t="s">
        <v>60</v>
      </c>
      <c r="D920" s="2" t="s">
        <v>758</v>
      </c>
      <c r="E920" s="2" t="s">
        <v>865</v>
      </c>
      <c r="F920" s="2" t="s">
        <v>864</v>
      </c>
      <c r="G920" s="3">
        <v>46111</v>
      </c>
      <c r="H920" s="2" t="s">
        <v>753</v>
      </c>
      <c r="I920" s="2" t="s">
        <v>755</v>
      </c>
      <c r="J920" s="2" t="s">
        <v>754</v>
      </c>
      <c r="K920" s="2" t="s">
        <v>753</v>
      </c>
      <c r="L920" s="6">
        <v>48</v>
      </c>
      <c r="M920" s="2" t="s">
        <v>752</v>
      </c>
      <c r="N920" s="7">
        <v>36</v>
      </c>
      <c r="O920" s="4">
        <v>1728</v>
      </c>
      <c r="P920" s="4">
        <v>1728</v>
      </c>
      <c r="Q920" s="6">
        <v>0</v>
      </c>
    </row>
    <row r="921" spans="1:17" x14ac:dyDescent="0.25">
      <c r="A921" s="2" t="s">
        <v>431</v>
      </c>
      <c r="B921" s="2" t="s">
        <v>267</v>
      </c>
      <c r="C921" s="2" t="s">
        <v>268</v>
      </c>
      <c r="D921" s="2" t="s">
        <v>758</v>
      </c>
      <c r="E921" s="2" t="s">
        <v>763</v>
      </c>
      <c r="F921" s="2" t="s">
        <v>762</v>
      </c>
      <c r="G921" s="3">
        <v>46112</v>
      </c>
      <c r="H921" s="2" t="s">
        <v>753</v>
      </c>
      <c r="I921" s="2" t="s">
        <v>755</v>
      </c>
      <c r="J921" s="2" t="s">
        <v>754</v>
      </c>
      <c r="K921" s="2" t="s">
        <v>753</v>
      </c>
      <c r="L921" s="6">
        <v>625</v>
      </c>
      <c r="M921" s="2" t="s">
        <v>752</v>
      </c>
      <c r="N921" s="7">
        <v>44</v>
      </c>
      <c r="O921" s="4">
        <v>27500</v>
      </c>
      <c r="P921" s="4">
        <v>27500</v>
      </c>
      <c r="Q921" s="6">
        <v>0</v>
      </c>
    </row>
    <row r="922" spans="1:17" x14ac:dyDescent="0.25">
      <c r="A922" s="2" t="s">
        <v>427</v>
      </c>
      <c r="B922" s="2" t="s">
        <v>25</v>
      </c>
      <c r="C922" s="2" t="s">
        <v>26</v>
      </c>
      <c r="D922" s="2" t="s">
        <v>758</v>
      </c>
      <c r="E922" s="2" t="s">
        <v>890</v>
      </c>
      <c r="F922" s="2" t="s">
        <v>889</v>
      </c>
      <c r="G922" s="3">
        <v>46113</v>
      </c>
      <c r="H922" s="2" t="s">
        <v>753</v>
      </c>
      <c r="I922" s="2" t="s">
        <v>755</v>
      </c>
      <c r="J922" s="2" t="s">
        <v>754</v>
      </c>
      <c r="K922" s="2" t="s">
        <v>753</v>
      </c>
      <c r="L922" s="6">
        <v>16</v>
      </c>
      <c r="M922" s="2" t="s">
        <v>752</v>
      </c>
      <c r="N922" s="7">
        <v>46</v>
      </c>
      <c r="O922" s="4">
        <v>736</v>
      </c>
      <c r="P922" s="4">
        <v>736</v>
      </c>
      <c r="Q922" s="6">
        <v>0</v>
      </c>
    </row>
    <row r="923" spans="1:17" x14ac:dyDescent="0.25">
      <c r="A923" s="2" t="s">
        <v>427</v>
      </c>
      <c r="B923" s="2" t="s">
        <v>25</v>
      </c>
      <c r="C923" s="2" t="s">
        <v>26</v>
      </c>
      <c r="D923" s="2" t="s">
        <v>758</v>
      </c>
      <c r="E923" s="2" t="s">
        <v>829</v>
      </c>
      <c r="F923" s="2" t="s">
        <v>828</v>
      </c>
      <c r="G923" s="3">
        <v>46113</v>
      </c>
      <c r="H923" s="2" t="s">
        <v>753</v>
      </c>
      <c r="I923" s="2" t="s">
        <v>755</v>
      </c>
      <c r="J923" s="2" t="s">
        <v>754</v>
      </c>
      <c r="K923" s="2" t="s">
        <v>753</v>
      </c>
      <c r="L923" s="6">
        <v>40</v>
      </c>
      <c r="M923" s="2" t="s">
        <v>752</v>
      </c>
      <c r="N923" s="7">
        <v>40</v>
      </c>
      <c r="O923" s="4">
        <v>1600</v>
      </c>
      <c r="P923" s="4">
        <v>1600</v>
      </c>
      <c r="Q923" s="6">
        <v>0</v>
      </c>
    </row>
    <row r="924" spans="1:17" x14ac:dyDescent="0.25">
      <c r="A924" s="2" t="s">
        <v>427</v>
      </c>
      <c r="B924" s="2" t="s">
        <v>25</v>
      </c>
      <c r="C924" s="2" t="s">
        <v>26</v>
      </c>
      <c r="D924" s="2" t="s">
        <v>758</v>
      </c>
      <c r="E924" s="2" t="s">
        <v>827</v>
      </c>
      <c r="F924" s="2" t="s">
        <v>826</v>
      </c>
      <c r="G924" s="3">
        <v>46113</v>
      </c>
      <c r="H924" s="2" t="s">
        <v>753</v>
      </c>
      <c r="I924" s="2" t="s">
        <v>755</v>
      </c>
      <c r="J924" s="2" t="s">
        <v>754</v>
      </c>
      <c r="K924" s="2" t="s">
        <v>753</v>
      </c>
      <c r="L924" s="6">
        <v>16</v>
      </c>
      <c r="M924" s="2" t="s">
        <v>752</v>
      </c>
      <c r="N924" s="7">
        <v>41.85</v>
      </c>
      <c r="O924" s="4">
        <v>669.6</v>
      </c>
      <c r="P924" s="4">
        <v>669.6</v>
      </c>
      <c r="Q924" s="6">
        <v>0</v>
      </c>
    </row>
    <row r="925" spans="1:17" x14ac:dyDescent="0.25">
      <c r="A925" s="2" t="s">
        <v>427</v>
      </c>
      <c r="B925" s="2" t="s">
        <v>25</v>
      </c>
      <c r="C925" s="2" t="s">
        <v>26</v>
      </c>
      <c r="D925" s="2" t="s">
        <v>758</v>
      </c>
      <c r="E925" s="2" t="s">
        <v>825</v>
      </c>
      <c r="F925" s="2" t="s">
        <v>824</v>
      </c>
      <c r="G925" s="3">
        <v>46113</v>
      </c>
      <c r="H925" s="2" t="s">
        <v>753</v>
      </c>
      <c r="I925" s="2" t="s">
        <v>755</v>
      </c>
      <c r="J925" s="2" t="s">
        <v>754</v>
      </c>
      <c r="K925" s="2" t="s">
        <v>753</v>
      </c>
      <c r="L925" s="6">
        <v>8</v>
      </c>
      <c r="M925" s="2" t="s">
        <v>752</v>
      </c>
      <c r="N925" s="7">
        <v>47.2</v>
      </c>
      <c r="O925" s="4">
        <v>377.6</v>
      </c>
      <c r="P925" s="4">
        <v>377.6</v>
      </c>
      <c r="Q925" s="6">
        <v>0</v>
      </c>
    </row>
    <row r="926" spans="1:17" x14ac:dyDescent="0.25">
      <c r="A926" s="2" t="s">
        <v>427</v>
      </c>
      <c r="B926" s="2" t="s">
        <v>25</v>
      </c>
      <c r="C926" s="2" t="s">
        <v>26</v>
      </c>
      <c r="D926" s="2" t="s">
        <v>758</v>
      </c>
      <c r="E926" s="2" t="s">
        <v>823</v>
      </c>
      <c r="F926" s="2" t="s">
        <v>822</v>
      </c>
      <c r="G926" s="3">
        <v>46113</v>
      </c>
      <c r="H926" s="2" t="s">
        <v>753</v>
      </c>
      <c r="I926" s="2" t="s">
        <v>755</v>
      </c>
      <c r="J926" s="2" t="s">
        <v>754</v>
      </c>
      <c r="K926" s="2" t="s">
        <v>753</v>
      </c>
      <c r="L926" s="6">
        <v>48</v>
      </c>
      <c r="M926" s="2" t="s">
        <v>752</v>
      </c>
      <c r="N926" s="7">
        <v>52</v>
      </c>
      <c r="O926" s="4">
        <v>2496</v>
      </c>
      <c r="P926" s="4">
        <v>2496</v>
      </c>
      <c r="Q926" s="6">
        <v>0</v>
      </c>
    </row>
    <row r="927" spans="1:17" x14ac:dyDescent="0.25">
      <c r="A927" s="2" t="s">
        <v>427</v>
      </c>
      <c r="B927" s="2" t="s">
        <v>25</v>
      </c>
      <c r="C927" s="2" t="s">
        <v>26</v>
      </c>
      <c r="D927" s="2" t="s">
        <v>758</v>
      </c>
      <c r="E927" s="2" t="s">
        <v>763</v>
      </c>
      <c r="F927" s="2" t="s">
        <v>762</v>
      </c>
      <c r="G927" s="3">
        <v>46113</v>
      </c>
      <c r="H927" s="2" t="s">
        <v>753</v>
      </c>
      <c r="I927" s="2" t="s">
        <v>755</v>
      </c>
      <c r="J927" s="2" t="s">
        <v>754</v>
      </c>
      <c r="K927" s="2" t="s">
        <v>753</v>
      </c>
      <c r="L927" s="6">
        <v>192</v>
      </c>
      <c r="M927" s="2" t="s">
        <v>752</v>
      </c>
      <c r="N927" s="7">
        <v>43.5</v>
      </c>
      <c r="O927" s="4">
        <v>8352</v>
      </c>
      <c r="P927" s="4">
        <v>8352</v>
      </c>
      <c r="Q927" s="6">
        <v>0</v>
      </c>
    </row>
    <row r="928" spans="1:17" x14ac:dyDescent="0.25">
      <c r="A928" s="2" t="s">
        <v>427</v>
      </c>
      <c r="B928" s="2" t="s">
        <v>25</v>
      </c>
      <c r="C928" s="2" t="s">
        <v>26</v>
      </c>
      <c r="D928" s="2" t="s">
        <v>758</v>
      </c>
      <c r="E928" s="2" t="s">
        <v>819</v>
      </c>
      <c r="F928" s="2" t="s">
        <v>818</v>
      </c>
      <c r="G928" s="3">
        <v>46113</v>
      </c>
      <c r="H928" s="2" t="s">
        <v>753</v>
      </c>
      <c r="I928" s="2" t="s">
        <v>755</v>
      </c>
      <c r="J928" s="2" t="s">
        <v>754</v>
      </c>
      <c r="K928" s="2" t="s">
        <v>753</v>
      </c>
      <c r="L928" s="6">
        <v>16</v>
      </c>
      <c r="M928" s="2" t="s">
        <v>752</v>
      </c>
      <c r="N928" s="7">
        <v>38.25</v>
      </c>
      <c r="O928" s="4">
        <v>612</v>
      </c>
      <c r="P928" s="4">
        <v>612</v>
      </c>
      <c r="Q928" s="6">
        <v>0</v>
      </c>
    </row>
    <row r="929" spans="1:17" x14ac:dyDescent="0.25">
      <c r="A929" s="2" t="s">
        <v>423</v>
      </c>
      <c r="B929" s="2" t="s">
        <v>41</v>
      </c>
      <c r="C929" s="2" t="s">
        <v>42</v>
      </c>
      <c r="D929" s="2" t="s">
        <v>758</v>
      </c>
      <c r="E929" s="2" t="s">
        <v>847</v>
      </c>
      <c r="F929" s="2" t="s">
        <v>846</v>
      </c>
      <c r="G929" s="3">
        <v>46114</v>
      </c>
      <c r="H929" s="2" t="s">
        <v>753</v>
      </c>
      <c r="I929" s="2" t="s">
        <v>755</v>
      </c>
      <c r="J929" s="2" t="s">
        <v>754</v>
      </c>
      <c r="K929" s="2" t="s">
        <v>753</v>
      </c>
      <c r="L929" s="6">
        <v>48</v>
      </c>
      <c r="M929" s="2" t="s">
        <v>752</v>
      </c>
      <c r="N929" s="7">
        <v>35.479999999999997</v>
      </c>
      <c r="O929" s="4">
        <v>1703.04</v>
      </c>
      <c r="P929" s="4">
        <v>1703.04</v>
      </c>
      <c r="Q929" s="6">
        <v>0</v>
      </c>
    </row>
    <row r="930" spans="1:17" x14ac:dyDescent="0.25">
      <c r="A930" s="2" t="s">
        <v>423</v>
      </c>
      <c r="B930" s="2" t="s">
        <v>41</v>
      </c>
      <c r="C930" s="2" t="s">
        <v>42</v>
      </c>
      <c r="D930" s="2" t="s">
        <v>758</v>
      </c>
      <c r="E930" s="2" t="s">
        <v>875</v>
      </c>
      <c r="F930" s="2" t="s">
        <v>874</v>
      </c>
      <c r="G930" s="3">
        <v>46114</v>
      </c>
      <c r="H930" s="2" t="s">
        <v>753</v>
      </c>
      <c r="I930" s="2" t="s">
        <v>755</v>
      </c>
      <c r="J930" s="2" t="s">
        <v>754</v>
      </c>
      <c r="K930" s="2" t="s">
        <v>753</v>
      </c>
      <c r="L930" s="6">
        <v>80</v>
      </c>
      <c r="M930" s="2" t="s">
        <v>752</v>
      </c>
      <c r="N930" s="7">
        <v>32.89</v>
      </c>
      <c r="O930" s="4">
        <v>2631.2</v>
      </c>
      <c r="P930" s="4">
        <v>2631.2</v>
      </c>
      <c r="Q930" s="6">
        <v>0</v>
      </c>
    </row>
    <row r="931" spans="1:17" x14ac:dyDescent="0.25">
      <c r="A931" s="2" t="s">
        <v>423</v>
      </c>
      <c r="B931" s="2" t="s">
        <v>41</v>
      </c>
      <c r="C931" s="2" t="s">
        <v>42</v>
      </c>
      <c r="D931" s="2" t="s">
        <v>758</v>
      </c>
      <c r="E931" s="2" t="s">
        <v>894</v>
      </c>
      <c r="F931" s="2" t="s">
        <v>893</v>
      </c>
      <c r="G931" s="3">
        <v>46114</v>
      </c>
      <c r="H931" s="2" t="s">
        <v>753</v>
      </c>
      <c r="I931" s="2" t="s">
        <v>755</v>
      </c>
      <c r="J931" s="2" t="s">
        <v>754</v>
      </c>
      <c r="K931" s="2" t="s">
        <v>753</v>
      </c>
      <c r="L931" s="6">
        <v>224</v>
      </c>
      <c r="M931" s="2" t="s">
        <v>752</v>
      </c>
      <c r="N931" s="7">
        <v>28.33</v>
      </c>
      <c r="O931" s="4">
        <v>6345.92</v>
      </c>
      <c r="P931" s="4">
        <v>6345.92</v>
      </c>
      <c r="Q931" s="6">
        <v>0</v>
      </c>
    </row>
    <row r="932" spans="1:17" x14ac:dyDescent="0.25">
      <c r="A932" s="2" t="s">
        <v>423</v>
      </c>
      <c r="B932" s="2" t="s">
        <v>41</v>
      </c>
      <c r="C932" s="2" t="s">
        <v>42</v>
      </c>
      <c r="D932" s="2" t="s">
        <v>758</v>
      </c>
      <c r="E932" s="2" t="s">
        <v>794</v>
      </c>
      <c r="F932" s="2" t="s">
        <v>793</v>
      </c>
      <c r="G932" s="3">
        <v>46114</v>
      </c>
      <c r="H932" s="2" t="s">
        <v>753</v>
      </c>
      <c r="I932" s="2" t="s">
        <v>755</v>
      </c>
      <c r="J932" s="2" t="s">
        <v>754</v>
      </c>
      <c r="K932" s="2" t="s">
        <v>753</v>
      </c>
      <c r="L932" s="6">
        <v>216</v>
      </c>
      <c r="M932" s="2" t="s">
        <v>752</v>
      </c>
      <c r="N932" s="7">
        <v>28.49</v>
      </c>
      <c r="O932" s="4">
        <v>6153.84</v>
      </c>
      <c r="P932" s="4">
        <v>6153.84</v>
      </c>
      <c r="Q932" s="6">
        <v>0</v>
      </c>
    </row>
    <row r="933" spans="1:17" x14ac:dyDescent="0.25">
      <c r="A933" s="2" t="s">
        <v>423</v>
      </c>
      <c r="B933" s="2" t="s">
        <v>41</v>
      </c>
      <c r="C933" s="2" t="s">
        <v>42</v>
      </c>
      <c r="D933" s="2" t="s">
        <v>758</v>
      </c>
      <c r="E933" s="2" t="s">
        <v>843</v>
      </c>
      <c r="F933" s="2" t="s">
        <v>842</v>
      </c>
      <c r="G933" s="3">
        <v>46114</v>
      </c>
      <c r="H933" s="2" t="s">
        <v>753</v>
      </c>
      <c r="I933" s="2" t="s">
        <v>755</v>
      </c>
      <c r="J933" s="2" t="s">
        <v>754</v>
      </c>
      <c r="K933" s="2" t="s">
        <v>753</v>
      </c>
      <c r="L933" s="6">
        <v>64</v>
      </c>
      <c r="M933" s="2" t="s">
        <v>752</v>
      </c>
      <c r="N933" s="7">
        <v>28.49</v>
      </c>
      <c r="O933" s="4">
        <v>1823.36</v>
      </c>
      <c r="P933" s="4">
        <v>1823.36</v>
      </c>
      <c r="Q933" s="6">
        <v>0</v>
      </c>
    </row>
    <row r="934" spans="1:17" x14ac:dyDescent="0.25">
      <c r="A934" s="2" t="s">
        <v>423</v>
      </c>
      <c r="B934" s="2" t="s">
        <v>41</v>
      </c>
      <c r="C934" s="2" t="s">
        <v>42</v>
      </c>
      <c r="D934" s="2" t="s">
        <v>758</v>
      </c>
      <c r="E934" s="2" t="s">
        <v>841</v>
      </c>
      <c r="F934" s="2" t="s">
        <v>840</v>
      </c>
      <c r="G934" s="3">
        <v>46114</v>
      </c>
      <c r="H934" s="2" t="s">
        <v>753</v>
      </c>
      <c r="I934" s="2" t="s">
        <v>755</v>
      </c>
      <c r="J934" s="2" t="s">
        <v>754</v>
      </c>
      <c r="K934" s="2" t="s">
        <v>753</v>
      </c>
      <c r="L934" s="6">
        <v>32</v>
      </c>
      <c r="M934" s="2" t="s">
        <v>752</v>
      </c>
      <c r="N934" s="7">
        <v>28.49</v>
      </c>
      <c r="O934" s="4">
        <v>911.68</v>
      </c>
      <c r="P934" s="4">
        <v>911.68</v>
      </c>
      <c r="Q934" s="6">
        <v>0</v>
      </c>
    </row>
    <row r="935" spans="1:17" x14ac:dyDescent="0.25">
      <c r="A935" s="2" t="s">
        <v>423</v>
      </c>
      <c r="B935" s="2" t="s">
        <v>41</v>
      </c>
      <c r="C935" s="2" t="s">
        <v>42</v>
      </c>
      <c r="D935" s="2" t="s">
        <v>758</v>
      </c>
      <c r="E935" s="2" t="s">
        <v>786</v>
      </c>
      <c r="F935" s="2" t="s">
        <v>785</v>
      </c>
      <c r="G935" s="3">
        <v>46114</v>
      </c>
      <c r="H935" s="2" t="s">
        <v>753</v>
      </c>
      <c r="I935" s="2" t="s">
        <v>755</v>
      </c>
      <c r="J935" s="2" t="s">
        <v>754</v>
      </c>
      <c r="K935" s="2" t="s">
        <v>753</v>
      </c>
      <c r="L935" s="6">
        <v>56</v>
      </c>
      <c r="M935" s="2" t="s">
        <v>752</v>
      </c>
      <c r="N935" s="7">
        <v>25.25</v>
      </c>
      <c r="O935" s="4">
        <v>1414</v>
      </c>
      <c r="P935" s="4">
        <v>1414</v>
      </c>
      <c r="Q935" s="6">
        <v>0</v>
      </c>
    </row>
    <row r="936" spans="1:17" x14ac:dyDescent="0.25">
      <c r="A936" s="2" t="s">
        <v>423</v>
      </c>
      <c r="B936" s="2" t="s">
        <v>41</v>
      </c>
      <c r="C936" s="2" t="s">
        <v>42</v>
      </c>
      <c r="D936" s="2" t="s">
        <v>758</v>
      </c>
      <c r="E936" s="2" t="s">
        <v>817</v>
      </c>
      <c r="F936" s="2" t="s">
        <v>937</v>
      </c>
      <c r="G936" s="3">
        <v>46114</v>
      </c>
      <c r="H936" s="2" t="s">
        <v>753</v>
      </c>
      <c r="I936" s="2" t="s">
        <v>755</v>
      </c>
      <c r="J936" s="2" t="s">
        <v>754</v>
      </c>
      <c r="K936" s="2" t="s">
        <v>753</v>
      </c>
      <c r="L936" s="6">
        <v>48</v>
      </c>
      <c r="M936" s="2" t="s">
        <v>752</v>
      </c>
      <c r="N936" s="7">
        <v>28.88</v>
      </c>
      <c r="O936" s="4">
        <v>1386.24</v>
      </c>
      <c r="P936" s="4">
        <v>1386.24</v>
      </c>
      <c r="Q936" s="6">
        <v>0</v>
      </c>
    </row>
    <row r="937" spans="1:17" x14ac:dyDescent="0.25">
      <c r="A937" s="2" t="s">
        <v>423</v>
      </c>
      <c r="B937" s="2" t="s">
        <v>41</v>
      </c>
      <c r="C937" s="2" t="s">
        <v>42</v>
      </c>
      <c r="D937" s="2" t="s">
        <v>758</v>
      </c>
      <c r="E937" s="2" t="s">
        <v>776</v>
      </c>
      <c r="F937" s="2" t="s">
        <v>775</v>
      </c>
      <c r="G937" s="3">
        <v>46114</v>
      </c>
      <c r="H937" s="2" t="s">
        <v>753</v>
      </c>
      <c r="I937" s="2" t="s">
        <v>755</v>
      </c>
      <c r="J937" s="2" t="s">
        <v>754</v>
      </c>
      <c r="K937" s="2" t="s">
        <v>753</v>
      </c>
      <c r="L937" s="6">
        <v>24</v>
      </c>
      <c r="M937" s="2" t="s">
        <v>752</v>
      </c>
      <c r="N937" s="7">
        <v>37.950000000000003</v>
      </c>
      <c r="O937" s="4">
        <v>910.8</v>
      </c>
      <c r="P937" s="4">
        <v>910.8</v>
      </c>
      <c r="Q937" s="6">
        <v>0</v>
      </c>
    </row>
    <row r="938" spans="1:17" x14ac:dyDescent="0.25">
      <c r="A938" s="2" t="s">
        <v>423</v>
      </c>
      <c r="B938" s="2" t="s">
        <v>41</v>
      </c>
      <c r="C938" s="2" t="s">
        <v>42</v>
      </c>
      <c r="D938" s="2" t="s">
        <v>758</v>
      </c>
      <c r="E938" s="2" t="s">
        <v>813</v>
      </c>
      <c r="F938" s="2" t="s">
        <v>812</v>
      </c>
      <c r="G938" s="3">
        <v>46114</v>
      </c>
      <c r="H938" s="2" t="s">
        <v>753</v>
      </c>
      <c r="I938" s="2" t="s">
        <v>755</v>
      </c>
      <c r="J938" s="2" t="s">
        <v>754</v>
      </c>
      <c r="K938" s="2" t="s">
        <v>753</v>
      </c>
      <c r="L938" s="6">
        <v>24</v>
      </c>
      <c r="M938" s="2" t="s">
        <v>752</v>
      </c>
      <c r="N938" s="7">
        <v>36.630000000000003</v>
      </c>
      <c r="O938" s="4">
        <v>879.12</v>
      </c>
      <c r="P938" s="4">
        <v>879.12</v>
      </c>
      <c r="Q938" s="6">
        <v>0</v>
      </c>
    </row>
    <row r="939" spans="1:17" x14ac:dyDescent="0.25">
      <c r="A939" s="2" t="s">
        <v>423</v>
      </c>
      <c r="B939" s="2" t="s">
        <v>41</v>
      </c>
      <c r="C939" s="2" t="s">
        <v>42</v>
      </c>
      <c r="D939" s="2" t="s">
        <v>758</v>
      </c>
      <c r="E939" s="2" t="s">
        <v>845</v>
      </c>
      <c r="F939" s="2" t="s">
        <v>844</v>
      </c>
      <c r="G939" s="3">
        <v>46114</v>
      </c>
      <c r="H939" s="2" t="s">
        <v>753</v>
      </c>
      <c r="I939" s="2" t="s">
        <v>755</v>
      </c>
      <c r="J939" s="2" t="s">
        <v>754</v>
      </c>
      <c r="K939" s="2" t="s">
        <v>753</v>
      </c>
      <c r="L939" s="6">
        <v>28</v>
      </c>
      <c r="M939" s="2" t="s">
        <v>752</v>
      </c>
      <c r="N939" s="7">
        <v>28.49</v>
      </c>
      <c r="O939" s="4">
        <v>797.72</v>
      </c>
      <c r="P939" s="4">
        <v>797.72</v>
      </c>
      <c r="Q939" s="6">
        <v>0</v>
      </c>
    </row>
    <row r="940" spans="1:17" x14ac:dyDescent="0.25">
      <c r="A940" s="2" t="s">
        <v>359</v>
      </c>
      <c r="B940" s="2" t="s">
        <v>29</v>
      </c>
      <c r="C940" s="2" t="s">
        <v>30</v>
      </c>
      <c r="D940" s="2" t="s">
        <v>758</v>
      </c>
      <c r="E940" s="2" t="s">
        <v>817</v>
      </c>
      <c r="F940" s="2" t="s">
        <v>937</v>
      </c>
      <c r="G940" s="3">
        <v>46132</v>
      </c>
      <c r="H940" s="2" t="s">
        <v>753</v>
      </c>
      <c r="I940" s="2" t="s">
        <v>755</v>
      </c>
      <c r="J940" s="2" t="s">
        <v>754</v>
      </c>
      <c r="K940" s="2" t="s">
        <v>753</v>
      </c>
      <c r="L940" s="6">
        <v>168</v>
      </c>
      <c r="M940" s="2" t="s">
        <v>752</v>
      </c>
      <c r="N940" s="7">
        <v>31.42</v>
      </c>
      <c r="O940" s="4">
        <v>5278.56</v>
      </c>
      <c r="P940" s="4">
        <v>5278.56</v>
      </c>
      <c r="Q940" s="6">
        <v>0</v>
      </c>
    </row>
    <row r="941" spans="1:17" x14ac:dyDescent="0.25">
      <c r="A941" s="2" t="s">
        <v>359</v>
      </c>
      <c r="B941" s="2" t="s">
        <v>29</v>
      </c>
      <c r="C941" s="2" t="s">
        <v>30</v>
      </c>
      <c r="D941" s="2" t="s">
        <v>758</v>
      </c>
      <c r="E941" s="2" t="s">
        <v>813</v>
      </c>
      <c r="F941" s="2" t="s">
        <v>812</v>
      </c>
      <c r="G941" s="3">
        <v>46132</v>
      </c>
      <c r="H941" s="2" t="s">
        <v>753</v>
      </c>
      <c r="I941" s="2" t="s">
        <v>755</v>
      </c>
      <c r="J941" s="2" t="s">
        <v>754</v>
      </c>
      <c r="K941" s="2" t="s">
        <v>753</v>
      </c>
      <c r="L941" s="6">
        <v>12</v>
      </c>
      <c r="M941" s="2" t="s">
        <v>752</v>
      </c>
      <c r="N941" s="7">
        <v>43.26</v>
      </c>
      <c r="O941" s="4">
        <v>519.12</v>
      </c>
      <c r="P941" s="4">
        <v>519.12</v>
      </c>
      <c r="Q941" s="6">
        <v>0</v>
      </c>
    </row>
    <row r="942" spans="1:17" x14ac:dyDescent="0.25">
      <c r="A942" s="2" t="s">
        <v>359</v>
      </c>
      <c r="B942" s="2" t="s">
        <v>29</v>
      </c>
      <c r="C942" s="2" t="s">
        <v>30</v>
      </c>
      <c r="D942" s="2" t="s">
        <v>758</v>
      </c>
      <c r="E942" s="2" t="s">
        <v>763</v>
      </c>
      <c r="F942" s="2" t="s">
        <v>762</v>
      </c>
      <c r="G942" s="3">
        <v>46132</v>
      </c>
      <c r="H942" s="2" t="s">
        <v>753</v>
      </c>
      <c r="I942" s="2" t="s">
        <v>755</v>
      </c>
      <c r="J942" s="2" t="s">
        <v>754</v>
      </c>
      <c r="K942" s="2" t="s">
        <v>753</v>
      </c>
      <c r="L942" s="6">
        <v>56</v>
      </c>
      <c r="M942" s="2" t="s">
        <v>752</v>
      </c>
      <c r="N942" s="7">
        <v>43.36</v>
      </c>
      <c r="O942" s="4">
        <v>2428.16</v>
      </c>
      <c r="P942" s="4">
        <v>2428.16</v>
      </c>
      <c r="Q942" s="6">
        <v>0</v>
      </c>
    </row>
    <row r="943" spans="1:17" x14ac:dyDescent="0.25">
      <c r="A943" s="2" t="s">
        <v>359</v>
      </c>
      <c r="B943" s="2" t="s">
        <v>29</v>
      </c>
      <c r="C943" s="2" t="s">
        <v>30</v>
      </c>
      <c r="D943" s="2" t="s">
        <v>758</v>
      </c>
      <c r="E943" s="2" t="s">
        <v>809</v>
      </c>
      <c r="F943" s="2" t="s">
        <v>808</v>
      </c>
      <c r="G943" s="3">
        <v>46132</v>
      </c>
      <c r="H943" s="2" t="s">
        <v>753</v>
      </c>
      <c r="I943" s="2" t="s">
        <v>755</v>
      </c>
      <c r="J943" s="2" t="s">
        <v>754</v>
      </c>
      <c r="K943" s="2" t="s">
        <v>753</v>
      </c>
      <c r="L943" s="6">
        <v>28</v>
      </c>
      <c r="M943" s="2" t="s">
        <v>752</v>
      </c>
      <c r="N943" s="7">
        <v>39.53</v>
      </c>
      <c r="O943" s="4">
        <v>1106.8399999999999</v>
      </c>
      <c r="P943" s="4">
        <v>1106.8399999999999</v>
      </c>
      <c r="Q943" s="6">
        <v>0</v>
      </c>
    </row>
    <row r="944" spans="1:17" x14ac:dyDescent="0.25">
      <c r="A944" s="2" t="s">
        <v>359</v>
      </c>
      <c r="B944" s="2" t="s">
        <v>29</v>
      </c>
      <c r="C944" s="2" t="s">
        <v>30</v>
      </c>
      <c r="D944" s="2" t="s">
        <v>758</v>
      </c>
      <c r="E944" s="2" t="s">
        <v>873</v>
      </c>
      <c r="F944" s="2" t="s">
        <v>872</v>
      </c>
      <c r="G944" s="3">
        <v>46132</v>
      </c>
      <c r="H944" s="2" t="s">
        <v>753</v>
      </c>
      <c r="I944" s="2" t="s">
        <v>755</v>
      </c>
      <c r="J944" s="2" t="s">
        <v>754</v>
      </c>
      <c r="K944" s="2" t="s">
        <v>753</v>
      </c>
      <c r="L944" s="6">
        <v>12</v>
      </c>
      <c r="M944" s="2" t="s">
        <v>752</v>
      </c>
      <c r="N944" s="7">
        <v>36.979999999999997</v>
      </c>
      <c r="O944" s="4">
        <v>443.76</v>
      </c>
      <c r="P944" s="4">
        <v>443.76</v>
      </c>
      <c r="Q944" s="6">
        <v>0</v>
      </c>
    </row>
    <row r="945" spans="1:17" x14ac:dyDescent="0.25">
      <c r="A945" s="2" t="s">
        <v>359</v>
      </c>
      <c r="B945" s="2" t="s">
        <v>29</v>
      </c>
      <c r="C945" s="2" t="s">
        <v>30</v>
      </c>
      <c r="D945" s="2" t="s">
        <v>758</v>
      </c>
      <c r="E945" s="2" t="s">
        <v>776</v>
      </c>
      <c r="F945" s="2" t="s">
        <v>775</v>
      </c>
      <c r="G945" s="3">
        <v>46132</v>
      </c>
      <c r="H945" s="2" t="s">
        <v>753</v>
      </c>
      <c r="I945" s="2" t="s">
        <v>755</v>
      </c>
      <c r="J945" s="2" t="s">
        <v>754</v>
      </c>
      <c r="K945" s="2" t="s">
        <v>753</v>
      </c>
      <c r="L945" s="6">
        <v>20</v>
      </c>
      <c r="M945" s="2" t="s">
        <v>752</v>
      </c>
      <c r="N945" s="7">
        <v>41.2</v>
      </c>
      <c r="O945" s="4">
        <v>824</v>
      </c>
      <c r="P945" s="4">
        <v>824</v>
      </c>
      <c r="Q945" s="6">
        <v>0</v>
      </c>
    </row>
    <row r="946" spans="1:17" x14ac:dyDescent="0.25">
      <c r="A946" s="2" t="s">
        <v>359</v>
      </c>
      <c r="B946" s="2" t="s">
        <v>29</v>
      </c>
      <c r="C946" s="2" t="s">
        <v>30</v>
      </c>
      <c r="D946" s="2" t="s">
        <v>758</v>
      </c>
      <c r="E946" s="2" t="s">
        <v>807</v>
      </c>
      <c r="F946" s="2" t="s">
        <v>806</v>
      </c>
      <c r="G946" s="3">
        <v>46132</v>
      </c>
      <c r="H946" s="2" t="s">
        <v>753</v>
      </c>
      <c r="I946" s="2" t="s">
        <v>755</v>
      </c>
      <c r="J946" s="2" t="s">
        <v>754</v>
      </c>
      <c r="K946" s="2" t="s">
        <v>753</v>
      </c>
      <c r="L946" s="6">
        <v>12</v>
      </c>
      <c r="M946" s="2" t="s">
        <v>752</v>
      </c>
      <c r="N946" s="7">
        <v>42.02</v>
      </c>
      <c r="O946" s="4">
        <v>504.24</v>
      </c>
      <c r="P946" s="4">
        <v>504.24</v>
      </c>
      <c r="Q946" s="6">
        <v>0</v>
      </c>
    </row>
    <row r="947" spans="1:17" x14ac:dyDescent="0.25">
      <c r="A947" s="2" t="s">
        <v>359</v>
      </c>
      <c r="B947" s="2" t="s">
        <v>29</v>
      </c>
      <c r="C947" s="2" t="s">
        <v>30</v>
      </c>
      <c r="D947" s="2" t="s">
        <v>758</v>
      </c>
      <c r="E947" s="2" t="s">
        <v>805</v>
      </c>
      <c r="F947" s="2" t="s">
        <v>804</v>
      </c>
      <c r="G947" s="3">
        <v>46132</v>
      </c>
      <c r="H947" s="2" t="s">
        <v>753</v>
      </c>
      <c r="I947" s="2" t="s">
        <v>755</v>
      </c>
      <c r="J947" s="2" t="s">
        <v>754</v>
      </c>
      <c r="K947" s="2" t="s">
        <v>753</v>
      </c>
      <c r="L947" s="6">
        <v>40</v>
      </c>
      <c r="M947" s="2" t="s">
        <v>752</v>
      </c>
      <c r="N947" s="7">
        <v>41</v>
      </c>
      <c r="O947" s="4">
        <v>1640</v>
      </c>
      <c r="P947" s="4">
        <v>1640</v>
      </c>
      <c r="Q947" s="6">
        <v>0</v>
      </c>
    </row>
    <row r="948" spans="1:17" x14ac:dyDescent="0.25">
      <c r="A948" s="2" t="s">
        <v>411</v>
      </c>
      <c r="B948" s="2" t="s">
        <v>139</v>
      </c>
      <c r="C948" s="2" t="s">
        <v>140</v>
      </c>
      <c r="D948" s="2" t="s">
        <v>758</v>
      </c>
      <c r="E948" s="2" t="s">
        <v>865</v>
      </c>
      <c r="F948" s="2" t="s">
        <v>864</v>
      </c>
      <c r="G948" s="3">
        <v>46118</v>
      </c>
      <c r="H948" s="2" t="s">
        <v>753</v>
      </c>
      <c r="I948" s="2" t="s">
        <v>755</v>
      </c>
      <c r="J948" s="2" t="s">
        <v>754</v>
      </c>
      <c r="K948" s="2" t="s">
        <v>753</v>
      </c>
      <c r="L948" s="6">
        <v>52</v>
      </c>
      <c r="M948" s="2" t="s">
        <v>752</v>
      </c>
      <c r="N948" s="7">
        <v>40.11</v>
      </c>
      <c r="O948" s="4">
        <v>2085.7199999999998</v>
      </c>
      <c r="P948" s="4">
        <v>2085.7199999999998</v>
      </c>
      <c r="Q948" s="6">
        <v>0</v>
      </c>
    </row>
    <row r="949" spans="1:17" x14ac:dyDescent="0.25">
      <c r="A949" s="2" t="s">
        <v>411</v>
      </c>
      <c r="B949" s="2" t="s">
        <v>139</v>
      </c>
      <c r="C949" s="2" t="s">
        <v>140</v>
      </c>
      <c r="D949" s="2" t="s">
        <v>758</v>
      </c>
      <c r="E949" s="2" t="s">
        <v>922</v>
      </c>
      <c r="F949" s="2" t="s">
        <v>921</v>
      </c>
      <c r="G949" s="3">
        <v>46118</v>
      </c>
      <c r="H949" s="2" t="s">
        <v>753</v>
      </c>
      <c r="I949" s="2" t="s">
        <v>755</v>
      </c>
      <c r="J949" s="2" t="s">
        <v>754</v>
      </c>
      <c r="K949" s="2" t="s">
        <v>753</v>
      </c>
      <c r="L949" s="6">
        <v>24</v>
      </c>
      <c r="M949" s="2" t="s">
        <v>752</v>
      </c>
      <c r="N949" s="7">
        <v>48.57</v>
      </c>
      <c r="O949" s="4">
        <v>1165.68</v>
      </c>
      <c r="P949" s="4">
        <v>1165.68</v>
      </c>
      <c r="Q949" s="6">
        <v>0</v>
      </c>
    </row>
    <row r="950" spans="1:17" x14ac:dyDescent="0.25">
      <c r="A950" s="2" t="s">
        <v>411</v>
      </c>
      <c r="B950" s="2" t="s">
        <v>139</v>
      </c>
      <c r="C950" s="2" t="s">
        <v>140</v>
      </c>
      <c r="D950" s="2" t="s">
        <v>758</v>
      </c>
      <c r="E950" s="2" t="s">
        <v>827</v>
      </c>
      <c r="F950" s="2" t="s">
        <v>826</v>
      </c>
      <c r="G950" s="3">
        <v>46118</v>
      </c>
      <c r="H950" s="2" t="s">
        <v>753</v>
      </c>
      <c r="I950" s="2" t="s">
        <v>755</v>
      </c>
      <c r="J950" s="2" t="s">
        <v>754</v>
      </c>
      <c r="K950" s="2" t="s">
        <v>753</v>
      </c>
      <c r="L950" s="6">
        <v>36</v>
      </c>
      <c r="M950" s="2" t="s">
        <v>752</v>
      </c>
      <c r="N950" s="7">
        <v>40.85</v>
      </c>
      <c r="O950" s="4">
        <v>1470.6</v>
      </c>
      <c r="P950" s="4">
        <v>1470.6</v>
      </c>
      <c r="Q950" s="6">
        <v>0</v>
      </c>
    </row>
    <row r="951" spans="1:17" x14ac:dyDescent="0.25">
      <c r="A951" s="2" t="s">
        <v>411</v>
      </c>
      <c r="B951" s="2" t="s">
        <v>139</v>
      </c>
      <c r="C951" s="2" t="s">
        <v>140</v>
      </c>
      <c r="D951" s="2" t="s">
        <v>758</v>
      </c>
      <c r="E951" s="2" t="s">
        <v>879</v>
      </c>
      <c r="F951" s="2" t="s">
        <v>878</v>
      </c>
      <c r="G951" s="3">
        <v>46118</v>
      </c>
      <c r="H951" s="2" t="s">
        <v>753</v>
      </c>
      <c r="I951" s="2" t="s">
        <v>755</v>
      </c>
      <c r="J951" s="2" t="s">
        <v>754</v>
      </c>
      <c r="K951" s="2" t="s">
        <v>753</v>
      </c>
      <c r="L951" s="6">
        <v>136</v>
      </c>
      <c r="M951" s="2" t="s">
        <v>752</v>
      </c>
      <c r="N951" s="7">
        <v>40.9</v>
      </c>
      <c r="O951" s="4">
        <v>5562.4</v>
      </c>
      <c r="P951" s="4">
        <v>5562.4</v>
      </c>
      <c r="Q951" s="6">
        <v>0</v>
      </c>
    </row>
    <row r="952" spans="1:17" x14ac:dyDescent="0.25">
      <c r="A952" s="2" t="s">
        <v>411</v>
      </c>
      <c r="B952" s="2" t="s">
        <v>139</v>
      </c>
      <c r="C952" s="2" t="s">
        <v>140</v>
      </c>
      <c r="D952" s="2" t="s">
        <v>758</v>
      </c>
      <c r="E952" s="2" t="s">
        <v>847</v>
      </c>
      <c r="F952" s="2" t="s">
        <v>846</v>
      </c>
      <c r="G952" s="3">
        <v>46118</v>
      </c>
      <c r="H952" s="2" t="s">
        <v>753</v>
      </c>
      <c r="I952" s="2" t="s">
        <v>755</v>
      </c>
      <c r="J952" s="2" t="s">
        <v>754</v>
      </c>
      <c r="K952" s="2" t="s">
        <v>753</v>
      </c>
      <c r="L952" s="6">
        <v>64</v>
      </c>
      <c r="M952" s="2" t="s">
        <v>752</v>
      </c>
      <c r="N952" s="7">
        <v>38.08</v>
      </c>
      <c r="O952" s="4">
        <v>2437.12</v>
      </c>
      <c r="P952" s="4">
        <v>2437.12</v>
      </c>
      <c r="Q952" s="6">
        <v>0</v>
      </c>
    </row>
    <row r="953" spans="1:17" x14ac:dyDescent="0.25">
      <c r="A953" s="2" t="s">
        <v>411</v>
      </c>
      <c r="B953" s="2" t="s">
        <v>139</v>
      </c>
      <c r="C953" s="2" t="s">
        <v>140</v>
      </c>
      <c r="D953" s="2" t="s">
        <v>758</v>
      </c>
      <c r="E953" s="2" t="s">
        <v>819</v>
      </c>
      <c r="F953" s="2" t="s">
        <v>818</v>
      </c>
      <c r="G953" s="3">
        <v>46118</v>
      </c>
      <c r="H953" s="2" t="s">
        <v>753</v>
      </c>
      <c r="I953" s="2" t="s">
        <v>755</v>
      </c>
      <c r="J953" s="2" t="s">
        <v>754</v>
      </c>
      <c r="K953" s="2" t="s">
        <v>753</v>
      </c>
      <c r="L953" s="6">
        <v>68</v>
      </c>
      <c r="M953" s="2" t="s">
        <v>752</v>
      </c>
      <c r="N953" s="7">
        <v>40.22</v>
      </c>
      <c r="O953" s="4">
        <v>2734.96</v>
      </c>
      <c r="P953" s="4">
        <v>2734.96</v>
      </c>
      <c r="Q953" s="6">
        <v>0</v>
      </c>
    </row>
    <row r="954" spans="1:17" x14ac:dyDescent="0.25">
      <c r="A954" s="2" t="s">
        <v>397</v>
      </c>
      <c r="B954" s="2" t="s">
        <v>167</v>
      </c>
      <c r="C954" s="2" t="s">
        <v>168</v>
      </c>
      <c r="D954" s="2" t="s">
        <v>758</v>
      </c>
      <c r="E954" s="2" t="s">
        <v>766</v>
      </c>
      <c r="F954" s="2" t="s">
        <v>765</v>
      </c>
      <c r="G954" s="3">
        <v>46120</v>
      </c>
      <c r="H954" s="2" t="s">
        <v>770</v>
      </c>
      <c r="I954" s="2" t="s">
        <v>755</v>
      </c>
      <c r="J954" s="2" t="s">
        <v>754</v>
      </c>
      <c r="K954" s="2" t="s">
        <v>753</v>
      </c>
      <c r="L954" s="6">
        <v>84</v>
      </c>
      <c r="M954" s="2" t="s">
        <v>752</v>
      </c>
      <c r="N954" s="7">
        <v>39.65</v>
      </c>
      <c r="O954" s="4">
        <v>3330.6</v>
      </c>
      <c r="P954" s="4">
        <v>3330.6</v>
      </c>
      <c r="Q954" s="6">
        <v>0</v>
      </c>
    </row>
    <row r="955" spans="1:17" x14ac:dyDescent="0.25">
      <c r="A955" s="2" t="s">
        <v>397</v>
      </c>
      <c r="B955" s="2" t="s">
        <v>167</v>
      </c>
      <c r="C955" s="2" t="s">
        <v>168</v>
      </c>
      <c r="D955" s="2" t="s">
        <v>758</v>
      </c>
      <c r="E955" s="2" t="s">
        <v>794</v>
      </c>
      <c r="F955" s="2" t="s">
        <v>793</v>
      </c>
      <c r="G955" s="3">
        <v>46120</v>
      </c>
      <c r="H955" s="2" t="s">
        <v>770</v>
      </c>
      <c r="I955" s="2" t="s">
        <v>755</v>
      </c>
      <c r="J955" s="2" t="s">
        <v>754</v>
      </c>
      <c r="K955" s="2" t="s">
        <v>753</v>
      </c>
      <c r="L955" s="6">
        <v>364</v>
      </c>
      <c r="M955" s="2" t="s">
        <v>752</v>
      </c>
      <c r="N955" s="7">
        <v>35</v>
      </c>
      <c r="O955" s="4">
        <v>12740</v>
      </c>
      <c r="P955" s="4">
        <v>12740</v>
      </c>
      <c r="Q955" s="6">
        <v>0</v>
      </c>
    </row>
    <row r="956" spans="1:17" x14ac:dyDescent="0.25">
      <c r="A956" s="2" t="s">
        <v>421</v>
      </c>
      <c r="B956" s="2" t="s">
        <v>195</v>
      </c>
      <c r="C956" s="2" t="s">
        <v>196</v>
      </c>
      <c r="D956" s="2" t="s">
        <v>758</v>
      </c>
      <c r="E956" s="2" t="s">
        <v>942</v>
      </c>
      <c r="F956" s="2" t="s">
        <v>941</v>
      </c>
      <c r="G956" s="3">
        <v>46114</v>
      </c>
      <c r="H956" s="2" t="s">
        <v>753</v>
      </c>
      <c r="I956" s="2" t="s">
        <v>755</v>
      </c>
      <c r="J956" s="2" t="s">
        <v>754</v>
      </c>
      <c r="K956" s="2" t="s">
        <v>753</v>
      </c>
      <c r="L956" s="6">
        <v>36</v>
      </c>
      <c r="M956" s="2" t="s">
        <v>752</v>
      </c>
      <c r="N956" s="7">
        <v>46.38</v>
      </c>
      <c r="O956" s="4">
        <v>1669.68</v>
      </c>
      <c r="P956" s="4">
        <v>1669.68</v>
      </c>
      <c r="Q956" s="6">
        <v>0</v>
      </c>
    </row>
    <row r="957" spans="1:17" x14ac:dyDescent="0.25">
      <c r="A957" s="2" t="s">
        <v>421</v>
      </c>
      <c r="B957" s="2" t="s">
        <v>195</v>
      </c>
      <c r="C957" s="2" t="s">
        <v>196</v>
      </c>
      <c r="D957" s="2" t="s">
        <v>758</v>
      </c>
      <c r="E957" s="2" t="s">
        <v>829</v>
      </c>
      <c r="F957" s="2" t="s">
        <v>828</v>
      </c>
      <c r="G957" s="3">
        <v>46114</v>
      </c>
      <c r="H957" s="2" t="s">
        <v>753</v>
      </c>
      <c r="I957" s="2" t="s">
        <v>755</v>
      </c>
      <c r="J957" s="2" t="s">
        <v>754</v>
      </c>
      <c r="K957" s="2" t="s">
        <v>753</v>
      </c>
      <c r="L957" s="6">
        <v>48</v>
      </c>
      <c r="M957" s="2" t="s">
        <v>752</v>
      </c>
      <c r="N957" s="7">
        <v>28.5</v>
      </c>
      <c r="O957" s="4">
        <v>1368</v>
      </c>
      <c r="P957" s="4">
        <v>1368</v>
      </c>
      <c r="Q957" s="6">
        <v>0</v>
      </c>
    </row>
    <row r="958" spans="1:17" x14ac:dyDescent="0.25">
      <c r="A958" s="2" t="s">
        <v>421</v>
      </c>
      <c r="B958" s="2" t="s">
        <v>195</v>
      </c>
      <c r="C958" s="2" t="s">
        <v>196</v>
      </c>
      <c r="D958" s="2" t="s">
        <v>758</v>
      </c>
      <c r="E958" s="2" t="s">
        <v>831</v>
      </c>
      <c r="F958" s="2" t="s">
        <v>830</v>
      </c>
      <c r="G958" s="3">
        <v>46114</v>
      </c>
      <c r="H958" s="2" t="s">
        <v>753</v>
      </c>
      <c r="I958" s="2" t="s">
        <v>755</v>
      </c>
      <c r="J958" s="2" t="s">
        <v>754</v>
      </c>
      <c r="K958" s="2" t="s">
        <v>753</v>
      </c>
      <c r="L958" s="6">
        <v>120</v>
      </c>
      <c r="M958" s="2" t="s">
        <v>752</v>
      </c>
      <c r="N958" s="7">
        <v>54.38</v>
      </c>
      <c r="O958" s="4">
        <v>6525.6</v>
      </c>
      <c r="P958" s="4">
        <v>6525.6</v>
      </c>
      <c r="Q958" s="6">
        <v>0</v>
      </c>
    </row>
    <row r="959" spans="1:17" x14ac:dyDescent="0.25">
      <c r="A959" s="2" t="s">
        <v>421</v>
      </c>
      <c r="B959" s="2" t="s">
        <v>195</v>
      </c>
      <c r="C959" s="2" t="s">
        <v>196</v>
      </c>
      <c r="D959" s="2" t="s">
        <v>758</v>
      </c>
      <c r="E959" s="2" t="s">
        <v>869</v>
      </c>
      <c r="F959" s="2" t="s">
        <v>868</v>
      </c>
      <c r="G959" s="3">
        <v>46114</v>
      </c>
      <c r="H959" s="2" t="s">
        <v>753</v>
      </c>
      <c r="I959" s="2" t="s">
        <v>755</v>
      </c>
      <c r="J959" s="2" t="s">
        <v>754</v>
      </c>
      <c r="K959" s="2" t="s">
        <v>753</v>
      </c>
      <c r="L959" s="6">
        <v>240</v>
      </c>
      <c r="M959" s="2" t="s">
        <v>752</v>
      </c>
      <c r="N959" s="7">
        <v>51.38</v>
      </c>
      <c r="O959" s="4">
        <v>12331.2</v>
      </c>
      <c r="P959" s="4">
        <v>12331.2</v>
      </c>
      <c r="Q959" s="6">
        <v>0</v>
      </c>
    </row>
    <row r="960" spans="1:17" x14ac:dyDescent="0.25">
      <c r="A960" s="2" t="s">
        <v>419</v>
      </c>
      <c r="B960" s="2" t="s">
        <v>73</v>
      </c>
      <c r="C960" s="2" t="s">
        <v>74</v>
      </c>
      <c r="D960" s="2" t="s">
        <v>758</v>
      </c>
      <c r="E960" s="2" t="s">
        <v>881</v>
      </c>
      <c r="F960" s="2" t="s">
        <v>880</v>
      </c>
      <c r="G960" s="3">
        <v>46114</v>
      </c>
      <c r="H960" s="2" t="s">
        <v>753</v>
      </c>
      <c r="I960" s="2" t="s">
        <v>755</v>
      </c>
      <c r="J960" s="2" t="s">
        <v>754</v>
      </c>
      <c r="K960" s="2" t="s">
        <v>753</v>
      </c>
      <c r="L960" s="6">
        <v>56</v>
      </c>
      <c r="M960" s="2" t="s">
        <v>752</v>
      </c>
      <c r="N960" s="7">
        <v>50.05</v>
      </c>
      <c r="O960" s="4">
        <v>2802.8</v>
      </c>
      <c r="P960" s="4">
        <v>2802.8</v>
      </c>
      <c r="Q960" s="6">
        <v>0</v>
      </c>
    </row>
    <row r="961" spans="1:17" x14ac:dyDescent="0.25">
      <c r="A961" s="2" t="s">
        <v>419</v>
      </c>
      <c r="B961" s="2" t="s">
        <v>73</v>
      </c>
      <c r="C961" s="2" t="s">
        <v>74</v>
      </c>
      <c r="D961" s="2" t="s">
        <v>758</v>
      </c>
      <c r="E961" s="2" t="s">
        <v>794</v>
      </c>
      <c r="F961" s="2" t="s">
        <v>793</v>
      </c>
      <c r="G961" s="3">
        <v>46114</v>
      </c>
      <c r="H961" s="2" t="s">
        <v>753</v>
      </c>
      <c r="I961" s="2" t="s">
        <v>755</v>
      </c>
      <c r="J961" s="2" t="s">
        <v>754</v>
      </c>
      <c r="K961" s="2" t="s">
        <v>753</v>
      </c>
      <c r="L961" s="6">
        <v>252</v>
      </c>
      <c r="M961" s="2" t="s">
        <v>752</v>
      </c>
      <c r="N961" s="7">
        <v>36</v>
      </c>
      <c r="O961" s="4">
        <v>9072</v>
      </c>
      <c r="P961" s="4">
        <v>9072</v>
      </c>
      <c r="Q961" s="6">
        <v>0</v>
      </c>
    </row>
    <row r="962" spans="1:17" x14ac:dyDescent="0.25">
      <c r="A962" s="2" t="s">
        <v>419</v>
      </c>
      <c r="B962" s="2" t="s">
        <v>73</v>
      </c>
      <c r="C962" s="2" t="s">
        <v>74</v>
      </c>
      <c r="D962" s="2" t="s">
        <v>758</v>
      </c>
      <c r="E962" s="2" t="s">
        <v>879</v>
      </c>
      <c r="F962" s="2" t="s">
        <v>878</v>
      </c>
      <c r="G962" s="3">
        <v>46114</v>
      </c>
      <c r="H962" s="2" t="s">
        <v>753</v>
      </c>
      <c r="I962" s="2" t="s">
        <v>755</v>
      </c>
      <c r="J962" s="2" t="s">
        <v>754</v>
      </c>
      <c r="K962" s="2" t="s">
        <v>753</v>
      </c>
      <c r="L962" s="6">
        <v>56</v>
      </c>
      <c r="M962" s="2" t="s">
        <v>752</v>
      </c>
      <c r="N962" s="7">
        <v>30</v>
      </c>
      <c r="O962" s="4">
        <v>1680</v>
      </c>
      <c r="P962" s="4">
        <v>1680</v>
      </c>
      <c r="Q962" s="6">
        <v>0</v>
      </c>
    </row>
    <row r="963" spans="1:17" x14ac:dyDescent="0.25">
      <c r="A963" s="2" t="s">
        <v>419</v>
      </c>
      <c r="B963" s="2" t="s">
        <v>73</v>
      </c>
      <c r="C963" s="2" t="s">
        <v>74</v>
      </c>
      <c r="D963" s="2" t="s">
        <v>758</v>
      </c>
      <c r="E963" s="2" t="s">
        <v>815</v>
      </c>
      <c r="F963" s="2" t="s">
        <v>814</v>
      </c>
      <c r="G963" s="3">
        <v>46114</v>
      </c>
      <c r="H963" s="2" t="s">
        <v>753</v>
      </c>
      <c r="I963" s="2" t="s">
        <v>755</v>
      </c>
      <c r="J963" s="2" t="s">
        <v>754</v>
      </c>
      <c r="K963" s="2" t="s">
        <v>753</v>
      </c>
      <c r="L963" s="6">
        <v>140</v>
      </c>
      <c r="M963" s="2" t="s">
        <v>752</v>
      </c>
      <c r="N963" s="7">
        <v>40</v>
      </c>
      <c r="O963" s="4">
        <v>5600</v>
      </c>
      <c r="P963" s="4">
        <v>5600</v>
      </c>
      <c r="Q963" s="6">
        <v>0</v>
      </c>
    </row>
    <row r="964" spans="1:17" x14ac:dyDescent="0.25">
      <c r="A964" s="2" t="s">
        <v>419</v>
      </c>
      <c r="B964" s="2" t="s">
        <v>73</v>
      </c>
      <c r="C964" s="2" t="s">
        <v>74</v>
      </c>
      <c r="D964" s="2" t="s">
        <v>758</v>
      </c>
      <c r="E964" s="2" t="s">
        <v>877</v>
      </c>
      <c r="F964" s="2" t="s">
        <v>876</v>
      </c>
      <c r="G964" s="3">
        <v>46114</v>
      </c>
      <c r="H964" s="2" t="s">
        <v>753</v>
      </c>
      <c r="I964" s="2" t="s">
        <v>755</v>
      </c>
      <c r="J964" s="2" t="s">
        <v>754</v>
      </c>
      <c r="K964" s="2" t="s">
        <v>753</v>
      </c>
      <c r="L964" s="6">
        <v>28</v>
      </c>
      <c r="M964" s="2" t="s">
        <v>752</v>
      </c>
      <c r="N964" s="7">
        <v>50.95</v>
      </c>
      <c r="O964" s="4">
        <v>1426.6</v>
      </c>
      <c r="P964" s="4">
        <v>1426.6</v>
      </c>
      <c r="Q964" s="6">
        <v>0</v>
      </c>
    </row>
    <row r="965" spans="1:17" x14ac:dyDescent="0.25">
      <c r="A965" s="2" t="s">
        <v>391</v>
      </c>
      <c r="B965" s="2" t="s">
        <v>123</v>
      </c>
      <c r="C965" s="2" t="s">
        <v>124</v>
      </c>
      <c r="D965" s="2" t="s">
        <v>758</v>
      </c>
      <c r="E965" s="2" t="s">
        <v>817</v>
      </c>
      <c r="F965" s="2" t="s">
        <v>937</v>
      </c>
      <c r="G965" s="3">
        <v>46121</v>
      </c>
      <c r="H965" s="2" t="s">
        <v>753</v>
      </c>
      <c r="I965" s="2" t="s">
        <v>755</v>
      </c>
      <c r="J965" s="2" t="s">
        <v>754</v>
      </c>
      <c r="K965" s="2" t="s">
        <v>753</v>
      </c>
      <c r="L965" s="6">
        <v>56</v>
      </c>
      <c r="M965" s="2" t="s">
        <v>752</v>
      </c>
      <c r="N965" s="7">
        <v>35.75</v>
      </c>
      <c r="O965" s="4">
        <v>2002</v>
      </c>
      <c r="P965" s="4">
        <v>2002</v>
      </c>
      <c r="Q965" s="6">
        <v>0</v>
      </c>
    </row>
    <row r="966" spans="1:17" x14ac:dyDescent="0.25">
      <c r="A966" s="2" t="s">
        <v>391</v>
      </c>
      <c r="B966" s="2" t="s">
        <v>123</v>
      </c>
      <c r="C966" s="2" t="s">
        <v>124</v>
      </c>
      <c r="D966" s="2" t="s">
        <v>758</v>
      </c>
      <c r="E966" s="2" t="s">
        <v>763</v>
      </c>
      <c r="F966" s="2" t="s">
        <v>762</v>
      </c>
      <c r="G966" s="3">
        <v>46121</v>
      </c>
      <c r="H966" s="2" t="s">
        <v>753</v>
      </c>
      <c r="I966" s="2" t="s">
        <v>755</v>
      </c>
      <c r="J966" s="2" t="s">
        <v>754</v>
      </c>
      <c r="K966" s="2" t="s">
        <v>753</v>
      </c>
      <c r="L966" s="6">
        <v>28</v>
      </c>
      <c r="M966" s="2" t="s">
        <v>752</v>
      </c>
      <c r="N966" s="7">
        <v>50.6</v>
      </c>
      <c r="O966" s="4">
        <v>1416.8</v>
      </c>
      <c r="P966" s="4">
        <v>1416.8</v>
      </c>
      <c r="Q966" s="6">
        <v>0</v>
      </c>
    </row>
    <row r="967" spans="1:17" x14ac:dyDescent="0.25">
      <c r="A967" s="2" t="s">
        <v>391</v>
      </c>
      <c r="B967" s="2" t="s">
        <v>123</v>
      </c>
      <c r="C967" s="2" t="s">
        <v>124</v>
      </c>
      <c r="D967" s="2" t="s">
        <v>758</v>
      </c>
      <c r="E967" s="2" t="s">
        <v>920</v>
      </c>
      <c r="F967" s="2" t="s">
        <v>919</v>
      </c>
      <c r="G967" s="3">
        <v>46121</v>
      </c>
      <c r="H967" s="2" t="s">
        <v>753</v>
      </c>
      <c r="I967" s="2" t="s">
        <v>755</v>
      </c>
      <c r="J967" s="2" t="s">
        <v>754</v>
      </c>
      <c r="K967" s="2" t="s">
        <v>753</v>
      </c>
      <c r="L967" s="6">
        <v>196</v>
      </c>
      <c r="M967" s="2" t="s">
        <v>752</v>
      </c>
      <c r="N967" s="7">
        <v>35</v>
      </c>
      <c r="O967" s="4">
        <v>6860</v>
      </c>
      <c r="P967" s="4">
        <v>6860</v>
      </c>
      <c r="Q967" s="6">
        <v>0</v>
      </c>
    </row>
    <row r="968" spans="1:17" x14ac:dyDescent="0.25">
      <c r="A968" s="2" t="s">
        <v>385</v>
      </c>
      <c r="B968" s="2" t="s">
        <v>295</v>
      </c>
      <c r="C968" s="2" t="s">
        <v>296</v>
      </c>
      <c r="D968" s="2" t="s">
        <v>758</v>
      </c>
      <c r="E968" s="2" t="s">
        <v>763</v>
      </c>
      <c r="F968" s="2" t="s">
        <v>762</v>
      </c>
      <c r="G968" s="3">
        <v>46125</v>
      </c>
      <c r="H968" s="2" t="s">
        <v>753</v>
      </c>
      <c r="I968" s="2" t="s">
        <v>755</v>
      </c>
      <c r="J968" s="2" t="s">
        <v>754</v>
      </c>
      <c r="K968" s="2" t="s">
        <v>753</v>
      </c>
      <c r="L968" s="6">
        <v>168</v>
      </c>
      <c r="M968" s="2" t="s">
        <v>752</v>
      </c>
      <c r="N968" s="7">
        <v>46.6</v>
      </c>
      <c r="O968" s="4">
        <v>7828.8</v>
      </c>
      <c r="P968" s="4">
        <v>7828.8</v>
      </c>
      <c r="Q968" s="6">
        <v>0</v>
      </c>
    </row>
    <row r="969" spans="1:17" x14ac:dyDescent="0.25">
      <c r="A969" s="2" t="s">
        <v>408</v>
      </c>
      <c r="B969" s="2" t="s">
        <v>177</v>
      </c>
      <c r="C969" s="2" t="s">
        <v>178</v>
      </c>
      <c r="D969" s="2" t="s">
        <v>758</v>
      </c>
      <c r="E969" s="2" t="s">
        <v>763</v>
      </c>
      <c r="F969" s="2" t="s">
        <v>762</v>
      </c>
      <c r="G969" s="3">
        <v>46118</v>
      </c>
      <c r="H969" s="2" t="s">
        <v>753</v>
      </c>
      <c r="I969" s="2" t="s">
        <v>755</v>
      </c>
      <c r="J969" s="2" t="s">
        <v>754</v>
      </c>
      <c r="K969" s="2" t="s">
        <v>753</v>
      </c>
      <c r="L969" s="6">
        <v>92</v>
      </c>
      <c r="M969" s="2" t="s">
        <v>752</v>
      </c>
      <c r="N969" s="7">
        <v>42.6</v>
      </c>
      <c r="O969" s="4">
        <v>3919.2</v>
      </c>
      <c r="P969" s="4">
        <v>3919.2</v>
      </c>
      <c r="Q969" s="6">
        <v>0</v>
      </c>
    </row>
    <row r="970" spans="1:17" x14ac:dyDescent="0.25">
      <c r="A970" s="2" t="s">
        <v>408</v>
      </c>
      <c r="B970" s="2" t="s">
        <v>177</v>
      </c>
      <c r="C970" s="2" t="s">
        <v>178</v>
      </c>
      <c r="D970" s="2" t="s">
        <v>758</v>
      </c>
      <c r="E970" s="2" t="s">
        <v>881</v>
      </c>
      <c r="F970" s="2" t="s">
        <v>880</v>
      </c>
      <c r="G970" s="3">
        <v>46118</v>
      </c>
      <c r="H970" s="2" t="s">
        <v>753</v>
      </c>
      <c r="I970" s="2" t="s">
        <v>755</v>
      </c>
      <c r="J970" s="2" t="s">
        <v>754</v>
      </c>
      <c r="K970" s="2" t="s">
        <v>753</v>
      </c>
      <c r="L970" s="6">
        <v>8</v>
      </c>
      <c r="M970" s="2" t="s">
        <v>752</v>
      </c>
      <c r="N970" s="7">
        <v>41.15</v>
      </c>
      <c r="O970" s="4">
        <v>329.2</v>
      </c>
      <c r="P970" s="4">
        <v>329.2</v>
      </c>
      <c r="Q970" s="6">
        <v>0</v>
      </c>
    </row>
    <row r="971" spans="1:17" x14ac:dyDescent="0.25">
      <c r="A971" s="2" t="s">
        <v>408</v>
      </c>
      <c r="B971" s="2" t="s">
        <v>177</v>
      </c>
      <c r="C971" s="2" t="s">
        <v>178</v>
      </c>
      <c r="D971" s="2" t="s">
        <v>758</v>
      </c>
      <c r="E971" s="2" t="s">
        <v>790</v>
      </c>
      <c r="F971" s="2" t="s">
        <v>789</v>
      </c>
      <c r="G971" s="3">
        <v>46118</v>
      </c>
      <c r="H971" s="2" t="s">
        <v>753</v>
      </c>
      <c r="I971" s="2" t="s">
        <v>755</v>
      </c>
      <c r="J971" s="2" t="s">
        <v>754</v>
      </c>
      <c r="K971" s="2" t="s">
        <v>753</v>
      </c>
      <c r="L971" s="6">
        <v>16</v>
      </c>
      <c r="M971" s="2" t="s">
        <v>752</v>
      </c>
      <c r="N971" s="7">
        <v>39.25</v>
      </c>
      <c r="O971" s="4">
        <v>628</v>
      </c>
      <c r="P971" s="4">
        <v>628</v>
      </c>
      <c r="Q971" s="6">
        <v>0</v>
      </c>
    </row>
    <row r="972" spans="1:17" x14ac:dyDescent="0.25">
      <c r="A972" s="2" t="s">
        <v>408</v>
      </c>
      <c r="B972" s="2" t="s">
        <v>177</v>
      </c>
      <c r="C972" s="2" t="s">
        <v>178</v>
      </c>
      <c r="D972" s="2" t="s">
        <v>758</v>
      </c>
      <c r="E972" s="2" t="s">
        <v>914</v>
      </c>
      <c r="F972" s="2" t="s">
        <v>913</v>
      </c>
      <c r="G972" s="3">
        <v>46118</v>
      </c>
      <c r="H972" s="2" t="s">
        <v>753</v>
      </c>
      <c r="I972" s="2" t="s">
        <v>755</v>
      </c>
      <c r="J972" s="2" t="s">
        <v>754</v>
      </c>
      <c r="K972" s="2" t="s">
        <v>753</v>
      </c>
      <c r="L972" s="6">
        <v>4</v>
      </c>
      <c r="M972" s="2" t="s">
        <v>752</v>
      </c>
      <c r="N972" s="7">
        <v>41.6</v>
      </c>
      <c r="O972" s="4">
        <v>166.4</v>
      </c>
      <c r="P972" s="4">
        <v>166.4</v>
      </c>
      <c r="Q972" s="6">
        <v>0</v>
      </c>
    </row>
    <row r="973" spans="1:17" x14ac:dyDescent="0.25">
      <c r="A973" s="2" t="s">
        <v>408</v>
      </c>
      <c r="B973" s="2" t="s">
        <v>177</v>
      </c>
      <c r="C973" s="2" t="s">
        <v>178</v>
      </c>
      <c r="D973" s="2" t="s">
        <v>758</v>
      </c>
      <c r="E973" s="2" t="s">
        <v>780</v>
      </c>
      <c r="F973" s="2" t="s">
        <v>779</v>
      </c>
      <c r="G973" s="3">
        <v>46118</v>
      </c>
      <c r="H973" s="2" t="s">
        <v>753</v>
      </c>
      <c r="I973" s="2" t="s">
        <v>755</v>
      </c>
      <c r="J973" s="2" t="s">
        <v>754</v>
      </c>
      <c r="K973" s="2" t="s">
        <v>753</v>
      </c>
      <c r="L973" s="6">
        <v>1</v>
      </c>
      <c r="M973" s="2" t="s">
        <v>752</v>
      </c>
      <c r="N973" s="7">
        <v>36.5</v>
      </c>
      <c r="O973" s="4">
        <v>36.5</v>
      </c>
      <c r="P973" s="4">
        <v>36.5</v>
      </c>
      <c r="Q973" s="6">
        <v>0</v>
      </c>
    </row>
    <row r="974" spans="1:17" x14ac:dyDescent="0.25">
      <c r="A974" s="2" t="s">
        <v>408</v>
      </c>
      <c r="B974" s="2" t="s">
        <v>177</v>
      </c>
      <c r="C974" s="2" t="s">
        <v>178</v>
      </c>
      <c r="D974" s="2" t="s">
        <v>758</v>
      </c>
      <c r="E974" s="2" t="s">
        <v>772</v>
      </c>
      <c r="F974" s="2" t="s">
        <v>771</v>
      </c>
      <c r="G974" s="3">
        <v>46118</v>
      </c>
      <c r="H974" s="2" t="s">
        <v>753</v>
      </c>
      <c r="I974" s="2" t="s">
        <v>755</v>
      </c>
      <c r="J974" s="2" t="s">
        <v>754</v>
      </c>
      <c r="K974" s="2" t="s">
        <v>753</v>
      </c>
      <c r="L974" s="6">
        <v>50</v>
      </c>
      <c r="M974" s="2" t="s">
        <v>752</v>
      </c>
      <c r="N974" s="7">
        <v>34.5</v>
      </c>
      <c r="O974" s="4">
        <v>1725</v>
      </c>
      <c r="P974" s="4">
        <v>1725</v>
      </c>
      <c r="Q974" s="6">
        <v>0</v>
      </c>
    </row>
    <row r="975" spans="1:17" x14ac:dyDescent="0.25">
      <c r="A975" s="2" t="s">
        <v>388</v>
      </c>
      <c r="B975" s="2" t="s">
        <v>21</v>
      </c>
      <c r="C975" s="2" t="s">
        <v>22</v>
      </c>
      <c r="D975" s="2" t="s">
        <v>758</v>
      </c>
      <c r="E975" s="2" t="s">
        <v>763</v>
      </c>
      <c r="F975" s="2" t="s">
        <v>762</v>
      </c>
      <c r="G975" s="3">
        <v>46121</v>
      </c>
      <c r="H975" s="2" t="s">
        <v>753</v>
      </c>
      <c r="I975" s="2" t="s">
        <v>755</v>
      </c>
      <c r="J975" s="2" t="s">
        <v>754</v>
      </c>
      <c r="K975" s="2" t="s">
        <v>753</v>
      </c>
      <c r="L975" s="6">
        <v>336</v>
      </c>
      <c r="M975" s="2" t="s">
        <v>752</v>
      </c>
      <c r="N975" s="7">
        <v>42.6</v>
      </c>
      <c r="O975" s="4">
        <v>14313.6</v>
      </c>
      <c r="P975" s="4">
        <v>14313.6</v>
      </c>
      <c r="Q975" s="6">
        <v>0</v>
      </c>
    </row>
    <row r="976" spans="1:17" x14ac:dyDescent="0.25">
      <c r="A976" s="2" t="s">
        <v>388</v>
      </c>
      <c r="B976" s="2" t="s">
        <v>21</v>
      </c>
      <c r="C976" s="2" t="s">
        <v>22</v>
      </c>
      <c r="D976" s="2" t="s">
        <v>758</v>
      </c>
      <c r="E976" s="2" t="s">
        <v>853</v>
      </c>
      <c r="F976" s="2" t="s">
        <v>852</v>
      </c>
      <c r="G976" s="3">
        <v>46121</v>
      </c>
      <c r="H976" s="2" t="s">
        <v>753</v>
      </c>
      <c r="I976" s="2" t="s">
        <v>755</v>
      </c>
      <c r="J976" s="2" t="s">
        <v>754</v>
      </c>
      <c r="K976" s="2" t="s">
        <v>753</v>
      </c>
      <c r="L976" s="6">
        <v>4</v>
      </c>
      <c r="M976" s="2" t="s">
        <v>752</v>
      </c>
      <c r="N976" s="7">
        <v>64</v>
      </c>
      <c r="O976" s="4">
        <v>256</v>
      </c>
      <c r="P976" s="4">
        <v>256</v>
      </c>
      <c r="Q976" s="6">
        <v>0</v>
      </c>
    </row>
    <row r="977" spans="1:17" x14ac:dyDescent="0.25">
      <c r="A977" s="2" t="s">
        <v>388</v>
      </c>
      <c r="B977" s="2" t="s">
        <v>21</v>
      </c>
      <c r="C977" s="2" t="s">
        <v>22</v>
      </c>
      <c r="D977" s="2" t="s">
        <v>758</v>
      </c>
      <c r="E977" s="2" t="s">
        <v>796</v>
      </c>
      <c r="F977" s="2" t="s">
        <v>795</v>
      </c>
      <c r="G977" s="3">
        <v>46121</v>
      </c>
      <c r="H977" s="2" t="s">
        <v>753</v>
      </c>
      <c r="I977" s="2" t="s">
        <v>755</v>
      </c>
      <c r="J977" s="2" t="s">
        <v>754</v>
      </c>
      <c r="K977" s="2" t="s">
        <v>753</v>
      </c>
      <c r="L977" s="6">
        <v>0</v>
      </c>
      <c r="M977" s="2" t="s">
        <v>752</v>
      </c>
      <c r="N977" s="7">
        <v>35.65</v>
      </c>
      <c r="O977" s="4">
        <v>0</v>
      </c>
      <c r="P977" s="4">
        <v>0</v>
      </c>
      <c r="Q977" s="6">
        <v>0</v>
      </c>
    </row>
    <row r="978" spans="1:17" x14ac:dyDescent="0.25">
      <c r="A978" s="2" t="s">
        <v>388</v>
      </c>
      <c r="B978" s="2" t="s">
        <v>21</v>
      </c>
      <c r="C978" s="2" t="s">
        <v>22</v>
      </c>
      <c r="D978" s="2" t="s">
        <v>758</v>
      </c>
      <c r="E978" s="2" t="s">
        <v>823</v>
      </c>
      <c r="F978" s="2" t="s">
        <v>822</v>
      </c>
      <c r="G978" s="3">
        <v>46121</v>
      </c>
      <c r="H978" s="2" t="s">
        <v>753</v>
      </c>
      <c r="I978" s="2" t="s">
        <v>755</v>
      </c>
      <c r="J978" s="2" t="s">
        <v>754</v>
      </c>
      <c r="K978" s="2" t="s">
        <v>753</v>
      </c>
      <c r="L978" s="6">
        <v>12</v>
      </c>
      <c r="M978" s="2" t="s">
        <v>752</v>
      </c>
      <c r="N978" s="7">
        <v>54</v>
      </c>
      <c r="O978" s="4">
        <v>648</v>
      </c>
      <c r="P978" s="4">
        <v>648</v>
      </c>
      <c r="Q978" s="6">
        <v>0</v>
      </c>
    </row>
    <row r="979" spans="1:17" x14ac:dyDescent="0.25">
      <c r="A979" s="2" t="s">
        <v>388</v>
      </c>
      <c r="B979" s="2" t="s">
        <v>21</v>
      </c>
      <c r="C979" s="2" t="s">
        <v>22</v>
      </c>
      <c r="D979" s="2" t="s">
        <v>758</v>
      </c>
      <c r="E979" s="2" t="s">
        <v>774</v>
      </c>
      <c r="F979" s="2" t="s">
        <v>773</v>
      </c>
      <c r="G979" s="3">
        <v>46121</v>
      </c>
      <c r="H979" s="2" t="s">
        <v>753</v>
      </c>
      <c r="I979" s="2" t="s">
        <v>755</v>
      </c>
      <c r="J979" s="2" t="s">
        <v>754</v>
      </c>
      <c r="K979" s="2" t="s">
        <v>753</v>
      </c>
      <c r="L979" s="6">
        <v>32</v>
      </c>
      <c r="M979" s="2" t="s">
        <v>752</v>
      </c>
      <c r="N979" s="7">
        <v>38.299999999999997</v>
      </c>
      <c r="O979" s="4">
        <v>1225.5999999999999</v>
      </c>
      <c r="P979" s="4">
        <v>1225.5999999999999</v>
      </c>
      <c r="Q979" s="6">
        <v>0</v>
      </c>
    </row>
    <row r="980" spans="1:17" x14ac:dyDescent="0.25">
      <c r="A980" s="2" t="s">
        <v>388</v>
      </c>
      <c r="B980" s="2" t="s">
        <v>21</v>
      </c>
      <c r="C980" s="2" t="s">
        <v>22</v>
      </c>
      <c r="D980" s="2" t="s">
        <v>758</v>
      </c>
      <c r="E980" s="2" t="s">
        <v>794</v>
      </c>
      <c r="F980" s="2" t="s">
        <v>793</v>
      </c>
      <c r="G980" s="3">
        <v>46121</v>
      </c>
      <c r="H980" s="2" t="s">
        <v>753</v>
      </c>
      <c r="I980" s="2" t="s">
        <v>755</v>
      </c>
      <c r="J980" s="2" t="s">
        <v>754</v>
      </c>
      <c r="K980" s="2" t="s">
        <v>753</v>
      </c>
      <c r="L980" s="6">
        <v>0</v>
      </c>
      <c r="M980" s="2" t="s">
        <v>752</v>
      </c>
      <c r="N980" s="7">
        <v>40.619999999999997</v>
      </c>
      <c r="O980" s="4">
        <v>0</v>
      </c>
      <c r="P980" s="4">
        <v>0</v>
      </c>
      <c r="Q980" s="6">
        <v>0</v>
      </c>
    </row>
    <row r="981" spans="1:17" x14ac:dyDescent="0.25">
      <c r="A981" s="2" t="s">
        <v>388</v>
      </c>
      <c r="B981" s="2" t="s">
        <v>21</v>
      </c>
      <c r="C981" s="2" t="s">
        <v>22</v>
      </c>
      <c r="D981" s="2" t="s">
        <v>758</v>
      </c>
      <c r="E981" s="2" t="s">
        <v>788</v>
      </c>
      <c r="F981" s="2" t="s">
        <v>787</v>
      </c>
      <c r="G981" s="3">
        <v>46121</v>
      </c>
      <c r="H981" s="2" t="s">
        <v>753</v>
      </c>
      <c r="I981" s="2" t="s">
        <v>755</v>
      </c>
      <c r="J981" s="2" t="s">
        <v>754</v>
      </c>
      <c r="K981" s="2" t="s">
        <v>753</v>
      </c>
      <c r="L981" s="6">
        <v>84</v>
      </c>
      <c r="M981" s="2" t="s">
        <v>752</v>
      </c>
      <c r="N981" s="7">
        <v>38.299999999999997</v>
      </c>
      <c r="O981" s="4">
        <v>3217.2</v>
      </c>
      <c r="P981" s="4">
        <v>3217.2</v>
      </c>
      <c r="Q981" s="6">
        <v>0</v>
      </c>
    </row>
    <row r="982" spans="1:17" x14ac:dyDescent="0.25">
      <c r="A982" s="2" t="s">
        <v>388</v>
      </c>
      <c r="B982" s="2" t="s">
        <v>21</v>
      </c>
      <c r="C982" s="2" t="s">
        <v>22</v>
      </c>
      <c r="D982" s="2" t="s">
        <v>758</v>
      </c>
      <c r="E982" s="2" t="s">
        <v>772</v>
      </c>
      <c r="F982" s="2" t="s">
        <v>771</v>
      </c>
      <c r="G982" s="3">
        <v>46121</v>
      </c>
      <c r="H982" s="2" t="s">
        <v>753</v>
      </c>
      <c r="I982" s="2" t="s">
        <v>755</v>
      </c>
      <c r="J982" s="2" t="s">
        <v>754</v>
      </c>
      <c r="K982" s="2" t="s">
        <v>753</v>
      </c>
      <c r="L982" s="6">
        <v>168</v>
      </c>
      <c r="M982" s="2" t="s">
        <v>752</v>
      </c>
      <c r="N982" s="7">
        <v>34.5</v>
      </c>
      <c r="O982" s="4">
        <v>5796</v>
      </c>
      <c r="P982" s="4">
        <v>5796</v>
      </c>
      <c r="Q982" s="6">
        <v>0</v>
      </c>
    </row>
    <row r="983" spans="1:17" x14ac:dyDescent="0.25">
      <c r="A983" s="2" t="s">
        <v>388</v>
      </c>
      <c r="B983" s="2" t="s">
        <v>21</v>
      </c>
      <c r="C983" s="2" t="s">
        <v>22</v>
      </c>
      <c r="D983" s="2" t="s">
        <v>758</v>
      </c>
      <c r="E983" s="2" t="s">
        <v>784</v>
      </c>
      <c r="F983" s="2" t="s">
        <v>783</v>
      </c>
      <c r="G983" s="3">
        <v>46121</v>
      </c>
      <c r="H983" s="2" t="s">
        <v>753</v>
      </c>
      <c r="I983" s="2" t="s">
        <v>755</v>
      </c>
      <c r="J983" s="2" t="s">
        <v>754</v>
      </c>
      <c r="K983" s="2" t="s">
        <v>753</v>
      </c>
      <c r="L983" s="6">
        <v>8</v>
      </c>
      <c r="M983" s="2" t="s">
        <v>752</v>
      </c>
      <c r="N983" s="7">
        <v>38.07</v>
      </c>
      <c r="O983" s="4">
        <v>304.56</v>
      </c>
      <c r="P983" s="4">
        <v>304.56</v>
      </c>
      <c r="Q983" s="6">
        <v>0</v>
      </c>
    </row>
    <row r="984" spans="1:17" x14ac:dyDescent="0.25">
      <c r="A984" s="2" t="s">
        <v>388</v>
      </c>
      <c r="B984" s="2" t="s">
        <v>21</v>
      </c>
      <c r="C984" s="2" t="s">
        <v>22</v>
      </c>
      <c r="D984" s="2" t="s">
        <v>758</v>
      </c>
      <c r="E984" s="2" t="s">
        <v>780</v>
      </c>
      <c r="F984" s="2" t="s">
        <v>779</v>
      </c>
      <c r="G984" s="3">
        <v>46121</v>
      </c>
      <c r="H984" s="2" t="s">
        <v>753</v>
      </c>
      <c r="I984" s="2" t="s">
        <v>755</v>
      </c>
      <c r="J984" s="2" t="s">
        <v>754</v>
      </c>
      <c r="K984" s="2" t="s">
        <v>753</v>
      </c>
      <c r="L984" s="6">
        <v>28</v>
      </c>
      <c r="M984" s="2" t="s">
        <v>752</v>
      </c>
      <c r="N984" s="7">
        <v>36.07</v>
      </c>
      <c r="O984" s="4">
        <v>1009.96</v>
      </c>
      <c r="P984" s="4">
        <v>1009.96</v>
      </c>
      <c r="Q984" s="6">
        <v>0</v>
      </c>
    </row>
    <row r="985" spans="1:17" x14ac:dyDescent="0.25">
      <c r="A985" s="2" t="s">
        <v>388</v>
      </c>
      <c r="B985" s="2" t="s">
        <v>21</v>
      </c>
      <c r="C985" s="2" t="s">
        <v>22</v>
      </c>
      <c r="D985" s="2" t="s">
        <v>758</v>
      </c>
      <c r="E985" s="2" t="s">
        <v>778</v>
      </c>
      <c r="F985" s="2" t="s">
        <v>777</v>
      </c>
      <c r="G985" s="3">
        <v>46121</v>
      </c>
      <c r="H985" s="2" t="s">
        <v>753</v>
      </c>
      <c r="I985" s="2" t="s">
        <v>755</v>
      </c>
      <c r="J985" s="2" t="s">
        <v>754</v>
      </c>
      <c r="K985" s="2" t="s">
        <v>753</v>
      </c>
      <c r="L985" s="6">
        <v>0</v>
      </c>
      <c r="M985" s="2" t="s">
        <v>752</v>
      </c>
      <c r="N985" s="7">
        <v>42</v>
      </c>
      <c r="O985" s="4">
        <v>0</v>
      </c>
      <c r="P985" s="4">
        <v>0</v>
      </c>
      <c r="Q985" s="6">
        <v>0</v>
      </c>
    </row>
    <row r="986" spans="1:17" x14ac:dyDescent="0.25">
      <c r="A986" s="2" t="s">
        <v>388</v>
      </c>
      <c r="B986" s="2" t="s">
        <v>21</v>
      </c>
      <c r="C986" s="2" t="s">
        <v>22</v>
      </c>
      <c r="D986" s="2" t="s">
        <v>758</v>
      </c>
      <c r="E986" s="2" t="s">
        <v>776</v>
      </c>
      <c r="F986" s="2" t="s">
        <v>775</v>
      </c>
      <c r="G986" s="3">
        <v>46121</v>
      </c>
      <c r="H986" s="2" t="s">
        <v>753</v>
      </c>
      <c r="I986" s="2" t="s">
        <v>755</v>
      </c>
      <c r="J986" s="2" t="s">
        <v>754</v>
      </c>
      <c r="K986" s="2" t="s">
        <v>753</v>
      </c>
      <c r="L986" s="6">
        <v>48</v>
      </c>
      <c r="M986" s="2" t="s">
        <v>752</v>
      </c>
      <c r="N986" s="7">
        <v>43.82</v>
      </c>
      <c r="O986" s="4">
        <v>2103.36</v>
      </c>
      <c r="P986" s="4">
        <v>2103.36</v>
      </c>
      <c r="Q986" s="6">
        <v>0</v>
      </c>
    </row>
    <row r="987" spans="1:17" x14ac:dyDescent="0.25">
      <c r="A987" s="2" t="s">
        <v>388</v>
      </c>
      <c r="B987" s="2" t="s">
        <v>21</v>
      </c>
      <c r="C987" s="2" t="s">
        <v>22</v>
      </c>
      <c r="D987" s="2" t="s">
        <v>758</v>
      </c>
      <c r="E987" s="2" t="s">
        <v>800</v>
      </c>
      <c r="F987" s="2" t="s">
        <v>799</v>
      </c>
      <c r="G987" s="3">
        <v>46121</v>
      </c>
      <c r="H987" s="2" t="s">
        <v>753</v>
      </c>
      <c r="I987" s="2" t="s">
        <v>755</v>
      </c>
      <c r="J987" s="2" t="s">
        <v>754</v>
      </c>
      <c r="K987" s="2" t="s">
        <v>753</v>
      </c>
      <c r="L987" s="6">
        <v>0</v>
      </c>
      <c r="M987" s="2" t="s">
        <v>752</v>
      </c>
      <c r="N987" s="7">
        <v>34.200000000000003</v>
      </c>
      <c r="O987" s="4">
        <v>0</v>
      </c>
      <c r="P987" s="4">
        <v>0</v>
      </c>
      <c r="Q987" s="6">
        <v>0</v>
      </c>
    </row>
    <row r="988" spans="1:17" x14ac:dyDescent="0.25">
      <c r="A988" s="2" t="s">
        <v>388</v>
      </c>
      <c r="B988" s="2" t="s">
        <v>21</v>
      </c>
      <c r="C988" s="2" t="s">
        <v>22</v>
      </c>
      <c r="D988" s="2" t="s">
        <v>758</v>
      </c>
      <c r="E988" s="2" t="s">
        <v>792</v>
      </c>
      <c r="F988" s="2" t="s">
        <v>943</v>
      </c>
      <c r="G988" s="3">
        <v>46121</v>
      </c>
      <c r="H988" s="2" t="s">
        <v>753</v>
      </c>
      <c r="I988" s="2" t="s">
        <v>755</v>
      </c>
      <c r="J988" s="2" t="s">
        <v>754</v>
      </c>
      <c r="K988" s="2" t="s">
        <v>753</v>
      </c>
      <c r="L988" s="6">
        <v>16</v>
      </c>
      <c r="M988" s="2" t="s">
        <v>752</v>
      </c>
      <c r="N988" s="7">
        <v>35</v>
      </c>
      <c r="O988" s="4">
        <v>560</v>
      </c>
      <c r="P988" s="4">
        <v>560</v>
      </c>
      <c r="Q988" s="6">
        <v>0</v>
      </c>
    </row>
    <row r="989" spans="1:17" x14ac:dyDescent="0.25">
      <c r="A989" s="2" t="s">
        <v>403</v>
      </c>
      <c r="B989" s="2" t="s">
        <v>77</v>
      </c>
      <c r="C989" s="2" t="s">
        <v>78</v>
      </c>
      <c r="D989" s="2" t="s">
        <v>758</v>
      </c>
      <c r="E989" s="2" t="s">
        <v>879</v>
      </c>
      <c r="F989" s="2" t="s">
        <v>878</v>
      </c>
      <c r="G989" s="3">
        <v>46119</v>
      </c>
      <c r="H989" s="2" t="s">
        <v>753</v>
      </c>
      <c r="I989" s="2" t="s">
        <v>755</v>
      </c>
      <c r="J989" s="2" t="s">
        <v>754</v>
      </c>
      <c r="K989" s="2" t="s">
        <v>753</v>
      </c>
      <c r="L989" s="6">
        <v>224</v>
      </c>
      <c r="M989" s="2" t="s">
        <v>752</v>
      </c>
      <c r="N989" s="7">
        <v>30</v>
      </c>
      <c r="O989" s="4">
        <v>6720</v>
      </c>
      <c r="P989" s="4">
        <v>6720</v>
      </c>
      <c r="Q989" s="6">
        <v>0</v>
      </c>
    </row>
    <row r="990" spans="1:17" x14ac:dyDescent="0.25">
      <c r="A990" s="2" t="s">
        <v>383</v>
      </c>
      <c r="B990" s="2" t="s">
        <v>181</v>
      </c>
      <c r="C990" s="2" t="s">
        <v>182</v>
      </c>
      <c r="D990" s="2" t="s">
        <v>758</v>
      </c>
      <c r="E990" s="2" t="s">
        <v>871</v>
      </c>
      <c r="F990" s="2" t="s">
        <v>870</v>
      </c>
      <c r="G990" s="3">
        <v>46125</v>
      </c>
      <c r="H990" s="2" t="s">
        <v>753</v>
      </c>
      <c r="I990" s="2" t="s">
        <v>755</v>
      </c>
      <c r="J990" s="2" t="s">
        <v>754</v>
      </c>
      <c r="K990" s="2" t="s">
        <v>753</v>
      </c>
      <c r="L990" s="6">
        <v>112</v>
      </c>
      <c r="M990" s="2" t="s">
        <v>752</v>
      </c>
      <c r="N990" s="7">
        <v>37.659999999999997</v>
      </c>
      <c r="O990" s="4">
        <v>4217.92</v>
      </c>
      <c r="P990" s="4">
        <v>4217.92</v>
      </c>
      <c r="Q990" s="6">
        <v>0</v>
      </c>
    </row>
    <row r="991" spans="1:17" x14ac:dyDescent="0.25">
      <c r="A991" s="2" t="s">
        <v>383</v>
      </c>
      <c r="B991" s="2" t="s">
        <v>181</v>
      </c>
      <c r="C991" s="2" t="s">
        <v>182</v>
      </c>
      <c r="D991" s="2" t="s">
        <v>758</v>
      </c>
      <c r="E991" s="2" t="s">
        <v>794</v>
      </c>
      <c r="F991" s="2" t="s">
        <v>793</v>
      </c>
      <c r="G991" s="3">
        <v>46125</v>
      </c>
      <c r="H991" s="2" t="s">
        <v>753</v>
      </c>
      <c r="I991" s="2" t="s">
        <v>755</v>
      </c>
      <c r="J991" s="2" t="s">
        <v>754</v>
      </c>
      <c r="K991" s="2" t="s">
        <v>753</v>
      </c>
      <c r="L991" s="6">
        <v>84</v>
      </c>
      <c r="M991" s="2" t="s">
        <v>752</v>
      </c>
      <c r="N991" s="7">
        <v>40</v>
      </c>
      <c r="O991" s="4">
        <v>3360</v>
      </c>
      <c r="P991" s="4">
        <v>3360</v>
      </c>
      <c r="Q991" s="6">
        <v>0</v>
      </c>
    </row>
    <row r="992" spans="1:17" x14ac:dyDescent="0.25">
      <c r="A992" s="2" t="s">
        <v>383</v>
      </c>
      <c r="B992" s="2" t="s">
        <v>181</v>
      </c>
      <c r="C992" s="2" t="s">
        <v>182</v>
      </c>
      <c r="D992" s="2" t="s">
        <v>758</v>
      </c>
      <c r="E992" s="2" t="s">
        <v>879</v>
      </c>
      <c r="F992" s="2" t="s">
        <v>878</v>
      </c>
      <c r="G992" s="3">
        <v>46125</v>
      </c>
      <c r="H992" s="2" t="s">
        <v>753</v>
      </c>
      <c r="I992" s="2" t="s">
        <v>755</v>
      </c>
      <c r="J992" s="2" t="s">
        <v>754</v>
      </c>
      <c r="K992" s="2" t="s">
        <v>753</v>
      </c>
      <c r="L992" s="6">
        <v>8</v>
      </c>
      <c r="M992" s="2" t="s">
        <v>752</v>
      </c>
      <c r="N992" s="7">
        <v>39</v>
      </c>
      <c r="O992" s="4">
        <v>312</v>
      </c>
      <c r="P992" s="4">
        <v>312</v>
      </c>
      <c r="Q992" s="6">
        <v>0</v>
      </c>
    </row>
    <row r="993" spans="1:17" x14ac:dyDescent="0.25">
      <c r="A993" s="2" t="s">
        <v>383</v>
      </c>
      <c r="B993" s="2" t="s">
        <v>181</v>
      </c>
      <c r="C993" s="2" t="s">
        <v>182</v>
      </c>
      <c r="D993" s="2" t="s">
        <v>758</v>
      </c>
      <c r="E993" s="2" t="s">
        <v>763</v>
      </c>
      <c r="F993" s="2" t="s">
        <v>762</v>
      </c>
      <c r="G993" s="3">
        <v>46125</v>
      </c>
      <c r="H993" s="2" t="s">
        <v>753</v>
      </c>
      <c r="I993" s="2" t="s">
        <v>755</v>
      </c>
      <c r="J993" s="2" t="s">
        <v>754</v>
      </c>
      <c r="K993" s="2" t="s">
        <v>753</v>
      </c>
      <c r="L993" s="6">
        <v>112</v>
      </c>
      <c r="M993" s="2" t="s">
        <v>752</v>
      </c>
      <c r="N993" s="7">
        <v>44</v>
      </c>
      <c r="O993" s="4">
        <v>4928</v>
      </c>
      <c r="P993" s="4">
        <v>4928</v>
      </c>
      <c r="Q993" s="6">
        <v>0</v>
      </c>
    </row>
    <row r="994" spans="1:17" x14ac:dyDescent="0.25">
      <c r="A994" s="2" t="s">
        <v>383</v>
      </c>
      <c r="B994" s="2" t="s">
        <v>181</v>
      </c>
      <c r="C994" s="2" t="s">
        <v>182</v>
      </c>
      <c r="D994" s="2" t="s">
        <v>758</v>
      </c>
      <c r="E994" s="2" t="s">
        <v>782</v>
      </c>
      <c r="F994" s="2" t="s">
        <v>781</v>
      </c>
      <c r="G994" s="3">
        <v>46125</v>
      </c>
      <c r="H994" s="2" t="s">
        <v>753</v>
      </c>
      <c r="I994" s="2" t="s">
        <v>755</v>
      </c>
      <c r="J994" s="2" t="s">
        <v>754</v>
      </c>
      <c r="K994" s="2" t="s">
        <v>753</v>
      </c>
      <c r="L994" s="6">
        <v>4</v>
      </c>
      <c r="M994" s="2" t="s">
        <v>752</v>
      </c>
      <c r="N994" s="7">
        <v>37</v>
      </c>
      <c r="O994" s="4">
        <v>148</v>
      </c>
      <c r="P994" s="4">
        <v>148</v>
      </c>
      <c r="Q994" s="6">
        <v>0</v>
      </c>
    </row>
    <row r="995" spans="1:17" x14ac:dyDescent="0.25">
      <c r="A995" s="2" t="s">
        <v>383</v>
      </c>
      <c r="B995" s="2" t="s">
        <v>181</v>
      </c>
      <c r="C995" s="2" t="s">
        <v>182</v>
      </c>
      <c r="D995" s="2" t="s">
        <v>758</v>
      </c>
      <c r="E995" s="2" t="s">
        <v>847</v>
      </c>
      <c r="F995" s="2" t="s">
        <v>846</v>
      </c>
      <c r="G995" s="3">
        <v>46125</v>
      </c>
      <c r="H995" s="2" t="s">
        <v>753</v>
      </c>
      <c r="I995" s="2" t="s">
        <v>755</v>
      </c>
      <c r="J995" s="2" t="s">
        <v>754</v>
      </c>
      <c r="K995" s="2" t="s">
        <v>753</v>
      </c>
      <c r="L995" s="6">
        <v>196</v>
      </c>
      <c r="M995" s="2" t="s">
        <v>752</v>
      </c>
      <c r="N995" s="7">
        <v>39</v>
      </c>
      <c r="O995" s="4">
        <v>7644</v>
      </c>
      <c r="P995" s="4">
        <v>7644</v>
      </c>
      <c r="Q995" s="6">
        <v>0</v>
      </c>
    </row>
    <row r="996" spans="1:17" x14ac:dyDescent="0.25">
      <c r="A996" s="2" t="s">
        <v>395</v>
      </c>
      <c r="B996" s="2" t="s">
        <v>69</v>
      </c>
      <c r="C996" s="2" t="s">
        <v>70</v>
      </c>
      <c r="D996" s="2" t="s">
        <v>758</v>
      </c>
      <c r="E996" s="2" t="s">
        <v>847</v>
      </c>
      <c r="F996" s="2" t="s">
        <v>846</v>
      </c>
      <c r="G996" s="3">
        <v>46120</v>
      </c>
      <c r="H996" s="2" t="s">
        <v>753</v>
      </c>
      <c r="I996" s="2" t="s">
        <v>755</v>
      </c>
      <c r="J996" s="2" t="s">
        <v>754</v>
      </c>
      <c r="K996" s="2" t="s">
        <v>753</v>
      </c>
      <c r="L996" s="6">
        <v>25</v>
      </c>
      <c r="M996" s="2" t="s">
        <v>752</v>
      </c>
      <c r="N996" s="7">
        <v>30.32</v>
      </c>
      <c r="O996" s="4">
        <v>758</v>
      </c>
      <c r="P996" s="4">
        <v>758</v>
      </c>
      <c r="Q996" s="6">
        <v>0</v>
      </c>
    </row>
    <row r="997" spans="1:17" x14ac:dyDescent="0.25">
      <c r="A997" s="2" t="s">
        <v>395</v>
      </c>
      <c r="B997" s="2" t="s">
        <v>69</v>
      </c>
      <c r="C997" s="2" t="s">
        <v>70</v>
      </c>
      <c r="D997" s="2" t="s">
        <v>758</v>
      </c>
      <c r="E997" s="2" t="s">
        <v>857</v>
      </c>
      <c r="F997" s="2" t="s">
        <v>856</v>
      </c>
      <c r="G997" s="3">
        <v>46120</v>
      </c>
      <c r="H997" s="2" t="s">
        <v>753</v>
      </c>
      <c r="I997" s="2" t="s">
        <v>755</v>
      </c>
      <c r="J997" s="2" t="s">
        <v>754</v>
      </c>
      <c r="K997" s="2" t="s">
        <v>753</v>
      </c>
      <c r="L997" s="6">
        <v>45</v>
      </c>
      <c r="M997" s="2" t="s">
        <v>752</v>
      </c>
      <c r="N997" s="7">
        <v>34.18</v>
      </c>
      <c r="O997" s="4">
        <v>1538.1</v>
      </c>
      <c r="P997" s="4">
        <v>1538.1</v>
      </c>
      <c r="Q997" s="6">
        <v>0</v>
      </c>
    </row>
    <row r="998" spans="1:17" x14ac:dyDescent="0.25">
      <c r="A998" s="2" t="s">
        <v>395</v>
      </c>
      <c r="B998" s="2" t="s">
        <v>69</v>
      </c>
      <c r="C998" s="2" t="s">
        <v>70</v>
      </c>
      <c r="D998" s="2" t="s">
        <v>758</v>
      </c>
      <c r="E998" s="2" t="s">
        <v>855</v>
      </c>
      <c r="F998" s="2" t="s">
        <v>854</v>
      </c>
      <c r="G998" s="3">
        <v>46120</v>
      </c>
      <c r="H998" s="2" t="s">
        <v>753</v>
      </c>
      <c r="I998" s="2" t="s">
        <v>755</v>
      </c>
      <c r="J998" s="2" t="s">
        <v>754</v>
      </c>
      <c r="K998" s="2" t="s">
        <v>753</v>
      </c>
      <c r="L998" s="6">
        <v>20</v>
      </c>
      <c r="M998" s="2" t="s">
        <v>752</v>
      </c>
      <c r="N998" s="7">
        <v>53.2</v>
      </c>
      <c r="O998" s="4">
        <v>1064</v>
      </c>
      <c r="P998" s="4">
        <v>1064</v>
      </c>
      <c r="Q998" s="6">
        <v>0</v>
      </c>
    </row>
    <row r="999" spans="1:17" x14ac:dyDescent="0.25">
      <c r="A999" s="2" t="s">
        <v>974</v>
      </c>
      <c r="B999" s="2" t="s">
        <v>973</v>
      </c>
      <c r="C999" s="2" t="s">
        <v>972</v>
      </c>
      <c r="D999" s="2" t="s">
        <v>758</v>
      </c>
      <c r="E999" s="2" t="s">
        <v>757</v>
      </c>
      <c r="F999" s="2" t="s">
        <v>756</v>
      </c>
      <c r="G999" s="3">
        <v>46106</v>
      </c>
      <c r="H999" s="2" t="s">
        <v>753</v>
      </c>
      <c r="I999" s="2" t="s">
        <v>755</v>
      </c>
      <c r="J999" s="2" t="s">
        <v>754</v>
      </c>
      <c r="K999" s="2" t="s">
        <v>753</v>
      </c>
      <c r="L999" s="6">
        <v>0</v>
      </c>
      <c r="M999" s="2" t="s">
        <v>752</v>
      </c>
      <c r="N999" s="7">
        <v>0</v>
      </c>
      <c r="O999" s="4">
        <v>0</v>
      </c>
      <c r="P999" s="4">
        <v>0</v>
      </c>
      <c r="Q999" s="6">
        <v>0</v>
      </c>
    </row>
    <row r="1000" spans="1:17" x14ac:dyDescent="0.25">
      <c r="A1000" s="2" t="s">
        <v>401</v>
      </c>
      <c r="B1000" s="2" t="s">
        <v>99</v>
      </c>
      <c r="C1000" s="2" t="s">
        <v>100</v>
      </c>
      <c r="D1000" s="2" t="s">
        <v>758</v>
      </c>
      <c r="E1000" s="2" t="s">
        <v>763</v>
      </c>
      <c r="F1000" s="2" t="s">
        <v>762</v>
      </c>
      <c r="G1000" s="3">
        <v>46119</v>
      </c>
      <c r="H1000" s="2" t="s">
        <v>770</v>
      </c>
      <c r="I1000" s="2" t="s">
        <v>755</v>
      </c>
      <c r="J1000" s="2" t="s">
        <v>754</v>
      </c>
      <c r="K1000" s="2" t="s">
        <v>753</v>
      </c>
      <c r="L1000" s="6">
        <v>224</v>
      </c>
      <c r="M1000" s="2" t="s">
        <v>752</v>
      </c>
      <c r="N1000" s="7">
        <v>36.82</v>
      </c>
      <c r="O1000" s="4">
        <v>8247.68</v>
      </c>
      <c r="P1000" s="4">
        <v>8247.68</v>
      </c>
      <c r="Q1000" s="6">
        <v>0</v>
      </c>
    </row>
    <row r="1001" spans="1:17" x14ac:dyDescent="0.25">
      <c r="A1001" s="2" t="s">
        <v>401</v>
      </c>
      <c r="B1001" s="2" t="s">
        <v>99</v>
      </c>
      <c r="C1001" s="2" t="s">
        <v>100</v>
      </c>
      <c r="D1001" s="2" t="s">
        <v>758</v>
      </c>
      <c r="E1001" s="2" t="s">
        <v>861</v>
      </c>
      <c r="F1001" s="2" t="s">
        <v>860</v>
      </c>
      <c r="G1001" s="3">
        <v>46119</v>
      </c>
      <c r="H1001" s="2" t="s">
        <v>770</v>
      </c>
      <c r="I1001" s="2" t="s">
        <v>755</v>
      </c>
      <c r="J1001" s="2" t="s">
        <v>754</v>
      </c>
      <c r="K1001" s="2" t="s">
        <v>753</v>
      </c>
      <c r="L1001" s="6">
        <v>80</v>
      </c>
      <c r="M1001" s="2" t="s">
        <v>752</v>
      </c>
      <c r="N1001" s="7">
        <v>39.700000000000003</v>
      </c>
      <c r="O1001" s="4">
        <v>3176</v>
      </c>
      <c r="P1001" s="4">
        <v>3176</v>
      </c>
      <c r="Q1001" s="6">
        <v>0</v>
      </c>
    </row>
    <row r="1002" spans="1:17" x14ac:dyDescent="0.25">
      <c r="A1002" s="2" t="s">
        <v>401</v>
      </c>
      <c r="B1002" s="2" t="s">
        <v>99</v>
      </c>
      <c r="C1002" s="2" t="s">
        <v>100</v>
      </c>
      <c r="D1002" s="2" t="s">
        <v>758</v>
      </c>
      <c r="E1002" s="2" t="s">
        <v>757</v>
      </c>
      <c r="F1002" s="2" t="s">
        <v>756</v>
      </c>
      <c r="G1002" s="3">
        <v>46119</v>
      </c>
      <c r="H1002" s="2" t="s">
        <v>770</v>
      </c>
      <c r="I1002" s="2" t="s">
        <v>755</v>
      </c>
      <c r="J1002" s="2" t="s">
        <v>754</v>
      </c>
      <c r="K1002" s="2" t="s">
        <v>753</v>
      </c>
      <c r="L1002" s="6">
        <v>544</v>
      </c>
      <c r="M1002" s="2" t="s">
        <v>752</v>
      </c>
      <c r="N1002" s="7">
        <v>39.700000000000003</v>
      </c>
      <c r="O1002" s="4">
        <v>21596.799999999999</v>
      </c>
      <c r="P1002" s="4">
        <v>21596.799999999999</v>
      </c>
      <c r="Q1002" s="6">
        <v>0</v>
      </c>
    </row>
    <row r="1003" spans="1:17" x14ac:dyDescent="0.25">
      <c r="A1003" s="2" t="s">
        <v>399</v>
      </c>
      <c r="B1003" s="2" t="s">
        <v>33</v>
      </c>
      <c r="C1003" s="2" t="s">
        <v>34</v>
      </c>
      <c r="D1003" s="2" t="s">
        <v>758</v>
      </c>
      <c r="E1003" s="2" t="s">
        <v>784</v>
      </c>
      <c r="F1003" s="2" t="s">
        <v>783</v>
      </c>
      <c r="G1003" s="3">
        <v>46119</v>
      </c>
      <c r="H1003" s="2" t="s">
        <v>753</v>
      </c>
      <c r="I1003" s="2" t="s">
        <v>755</v>
      </c>
      <c r="J1003" s="2" t="s">
        <v>754</v>
      </c>
      <c r="K1003" s="2" t="s">
        <v>753</v>
      </c>
      <c r="L1003" s="6">
        <v>64</v>
      </c>
      <c r="M1003" s="2" t="s">
        <v>752</v>
      </c>
      <c r="N1003" s="7">
        <v>37.049999999999997</v>
      </c>
      <c r="O1003" s="4">
        <v>2371.1999999999998</v>
      </c>
      <c r="P1003" s="4">
        <v>2371.1999999999998</v>
      </c>
      <c r="Q1003" s="6">
        <v>0</v>
      </c>
    </row>
    <row r="1004" spans="1:17" x14ac:dyDescent="0.25">
      <c r="A1004" s="2" t="s">
        <v>399</v>
      </c>
      <c r="B1004" s="2" t="s">
        <v>33</v>
      </c>
      <c r="C1004" s="2" t="s">
        <v>34</v>
      </c>
      <c r="D1004" s="2" t="s">
        <v>758</v>
      </c>
      <c r="E1004" s="2" t="s">
        <v>837</v>
      </c>
      <c r="F1004" s="2" t="s">
        <v>836</v>
      </c>
      <c r="G1004" s="3">
        <v>46119</v>
      </c>
      <c r="H1004" s="2" t="s">
        <v>753</v>
      </c>
      <c r="I1004" s="2" t="s">
        <v>755</v>
      </c>
      <c r="J1004" s="2" t="s">
        <v>754</v>
      </c>
      <c r="K1004" s="2" t="s">
        <v>753</v>
      </c>
      <c r="L1004" s="6">
        <v>48</v>
      </c>
      <c r="M1004" s="2" t="s">
        <v>752</v>
      </c>
      <c r="N1004" s="7">
        <v>60.07</v>
      </c>
      <c r="O1004" s="4">
        <v>2883.36</v>
      </c>
      <c r="P1004" s="4">
        <v>2883.36</v>
      </c>
      <c r="Q1004" s="6">
        <v>0</v>
      </c>
    </row>
    <row r="1005" spans="1:17" x14ac:dyDescent="0.25">
      <c r="A1005" s="2" t="s">
        <v>399</v>
      </c>
      <c r="B1005" s="2" t="s">
        <v>33</v>
      </c>
      <c r="C1005" s="2" t="s">
        <v>34</v>
      </c>
      <c r="D1005" s="2" t="s">
        <v>758</v>
      </c>
      <c r="E1005" s="2" t="s">
        <v>835</v>
      </c>
      <c r="F1005" s="2" t="s">
        <v>834</v>
      </c>
      <c r="G1005" s="3">
        <v>46119</v>
      </c>
      <c r="H1005" s="2" t="s">
        <v>753</v>
      </c>
      <c r="I1005" s="2" t="s">
        <v>755</v>
      </c>
      <c r="J1005" s="2" t="s">
        <v>754</v>
      </c>
      <c r="K1005" s="2" t="s">
        <v>753</v>
      </c>
      <c r="L1005" s="6">
        <v>56</v>
      </c>
      <c r="M1005" s="2" t="s">
        <v>752</v>
      </c>
      <c r="N1005" s="7">
        <v>64</v>
      </c>
      <c r="O1005" s="4">
        <v>3584</v>
      </c>
      <c r="P1005" s="4">
        <v>3584</v>
      </c>
      <c r="Q1005" s="6">
        <v>0</v>
      </c>
    </row>
    <row r="1006" spans="1:17" x14ac:dyDescent="0.25">
      <c r="A1006" s="2" t="s">
        <v>399</v>
      </c>
      <c r="B1006" s="2" t="s">
        <v>33</v>
      </c>
      <c r="C1006" s="2" t="s">
        <v>34</v>
      </c>
      <c r="D1006" s="2" t="s">
        <v>758</v>
      </c>
      <c r="E1006" s="2" t="s">
        <v>763</v>
      </c>
      <c r="F1006" s="2" t="s">
        <v>762</v>
      </c>
      <c r="G1006" s="3">
        <v>46119</v>
      </c>
      <c r="H1006" s="2" t="s">
        <v>753</v>
      </c>
      <c r="I1006" s="2" t="s">
        <v>755</v>
      </c>
      <c r="J1006" s="2" t="s">
        <v>754</v>
      </c>
      <c r="K1006" s="2" t="s">
        <v>753</v>
      </c>
      <c r="L1006" s="6">
        <v>216</v>
      </c>
      <c r="M1006" s="2" t="s">
        <v>752</v>
      </c>
      <c r="N1006" s="7">
        <v>46.1</v>
      </c>
      <c r="O1006" s="4">
        <v>9957.6</v>
      </c>
      <c r="P1006" s="4">
        <v>9957.6</v>
      </c>
      <c r="Q1006" s="6">
        <v>0</v>
      </c>
    </row>
    <row r="1007" spans="1:17" x14ac:dyDescent="0.25">
      <c r="A1007" s="2" t="s">
        <v>399</v>
      </c>
      <c r="B1007" s="2" t="s">
        <v>33</v>
      </c>
      <c r="C1007" s="2" t="s">
        <v>34</v>
      </c>
      <c r="D1007" s="2" t="s">
        <v>758</v>
      </c>
      <c r="E1007" s="2" t="s">
        <v>766</v>
      </c>
      <c r="F1007" s="2" t="s">
        <v>765</v>
      </c>
      <c r="G1007" s="3">
        <v>46119</v>
      </c>
      <c r="H1007" s="2" t="s">
        <v>753</v>
      </c>
      <c r="I1007" s="2" t="s">
        <v>755</v>
      </c>
      <c r="J1007" s="2" t="s">
        <v>754</v>
      </c>
      <c r="K1007" s="2" t="s">
        <v>753</v>
      </c>
      <c r="L1007" s="6">
        <v>28</v>
      </c>
      <c r="M1007" s="2" t="s">
        <v>752</v>
      </c>
      <c r="N1007" s="7">
        <v>36.35</v>
      </c>
      <c r="O1007" s="4">
        <v>1017.8</v>
      </c>
      <c r="P1007" s="4">
        <v>1017.8</v>
      </c>
      <c r="Q1007" s="6">
        <v>0</v>
      </c>
    </row>
    <row r="1008" spans="1:17" x14ac:dyDescent="0.25">
      <c r="A1008" s="2" t="s">
        <v>399</v>
      </c>
      <c r="B1008" s="2" t="s">
        <v>33</v>
      </c>
      <c r="C1008" s="2" t="s">
        <v>34</v>
      </c>
      <c r="D1008" s="2" t="s">
        <v>758</v>
      </c>
      <c r="E1008" s="2" t="s">
        <v>817</v>
      </c>
      <c r="F1008" s="2" t="s">
        <v>937</v>
      </c>
      <c r="G1008" s="3">
        <v>46119</v>
      </c>
      <c r="H1008" s="2" t="s">
        <v>753</v>
      </c>
      <c r="I1008" s="2" t="s">
        <v>755</v>
      </c>
      <c r="J1008" s="2" t="s">
        <v>754</v>
      </c>
      <c r="K1008" s="2" t="s">
        <v>753</v>
      </c>
      <c r="L1008" s="6">
        <v>64</v>
      </c>
      <c r="M1008" s="2" t="s">
        <v>752</v>
      </c>
      <c r="N1008" s="7">
        <v>38</v>
      </c>
      <c r="O1008" s="4">
        <v>2432</v>
      </c>
      <c r="P1008" s="4">
        <v>2432</v>
      </c>
      <c r="Q1008" s="6">
        <v>0</v>
      </c>
    </row>
    <row r="1009" spans="1:17" x14ac:dyDescent="0.25">
      <c r="A1009" s="2" t="s">
        <v>399</v>
      </c>
      <c r="B1009" s="2" t="s">
        <v>33</v>
      </c>
      <c r="C1009" s="2" t="s">
        <v>34</v>
      </c>
      <c r="D1009" s="2" t="s">
        <v>758</v>
      </c>
      <c r="E1009" s="2" t="s">
        <v>833</v>
      </c>
      <c r="F1009" s="2" t="s">
        <v>832</v>
      </c>
      <c r="G1009" s="3">
        <v>46119</v>
      </c>
      <c r="H1009" s="2" t="s">
        <v>753</v>
      </c>
      <c r="I1009" s="2" t="s">
        <v>755</v>
      </c>
      <c r="J1009" s="2" t="s">
        <v>754</v>
      </c>
      <c r="K1009" s="2" t="s">
        <v>753</v>
      </c>
      <c r="L1009" s="6">
        <v>140</v>
      </c>
      <c r="M1009" s="2" t="s">
        <v>752</v>
      </c>
      <c r="N1009" s="7">
        <v>45</v>
      </c>
      <c r="O1009" s="4">
        <v>6300</v>
      </c>
      <c r="P1009" s="4">
        <v>6300</v>
      </c>
      <c r="Q1009" s="6">
        <v>0</v>
      </c>
    </row>
    <row r="1010" spans="1:17" x14ac:dyDescent="0.25">
      <c r="A1010" s="2" t="s">
        <v>405</v>
      </c>
      <c r="B1010" s="2" t="s">
        <v>227</v>
      </c>
      <c r="C1010" s="2" t="s">
        <v>228</v>
      </c>
      <c r="D1010" s="2" t="s">
        <v>758</v>
      </c>
      <c r="E1010" s="2" t="s">
        <v>813</v>
      </c>
      <c r="F1010" s="2" t="s">
        <v>812</v>
      </c>
      <c r="G1010" s="3">
        <v>46118</v>
      </c>
      <c r="H1010" s="2" t="s">
        <v>753</v>
      </c>
      <c r="I1010" s="2" t="s">
        <v>755</v>
      </c>
      <c r="J1010" s="2" t="s">
        <v>754</v>
      </c>
      <c r="K1010" s="2" t="s">
        <v>753</v>
      </c>
      <c r="L1010" s="6">
        <v>12</v>
      </c>
      <c r="M1010" s="2" t="s">
        <v>752</v>
      </c>
      <c r="N1010" s="7">
        <v>45</v>
      </c>
      <c r="O1010" s="4">
        <v>540</v>
      </c>
      <c r="P1010" s="4">
        <v>540</v>
      </c>
      <c r="Q1010" s="6">
        <v>0</v>
      </c>
    </row>
    <row r="1011" spans="1:17" x14ac:dyDescent="0.25">
      <c r="A1011" s="2" t="s">
        <v>405</v>
      </c>
      <c r="B1011" s="2" t="s">
        <v>227</v>
      </c>
      <c r="C1011" s="2" t="s">
        <v>228</v>
      </c>
      <c r="D1011" s="2" t="s">
        <v>758</v>
      </c>
      <c r="E1011" s="2" t="s">
        <v>763</v>
      </c>
      <c r="F1011" s="2" t="s">
        <v>762</v>
      </c>
      <c r="G1011" s="3">
        <v>46118</v>
      </c>
      <c r="H1011" s="2" t="s">
        <v>753</v>
      </c>
      <c r="I1011" s="2" t="s">
        <v>755</v>
      </c>
      <c r="J1011" s="2" t="s">
        <v>754</v>
      </c>
      <c r="K1011" s="2" t="s">
        <v>753</v>
      </c>
      <c r="L1011" s="6">
        <v>48</v>
      </c>
      <c r="M1011" s="2" t="s">
        <v>752</v>
      </c>
      <c r="N1011" s="7">
        <v>42.6</v>
      </c>
      <c r="O1011" s="4">
        <v>2044.8</v>
      </c>
      <c r="P1011" s="4">
        <v>2044.8</v>
      </c>
      <c r="Q1011" s="6">
        <v>0</v>
      </c>
    </row>
    <row r="1012" spans="1:17" x14ac:dyDescent="0.25">
      <c r="A1012" s="2" t="s">
        <v>405</v>
      </c>
      <c r="B1012" s="2" t="s">
        <v>227</v>
      </c>
      <c r="C1012" s="2" t="s">
        <v>228</v>
      </c>
      <c r="D1012" s="2" t="s">
        <v>758</v>
      </c>
      <c r="E1012" s="2" t="s">
        <v>847</v>
      </c>
      <c r="F1012" s="2" t="s">
        <v>846</v>
      </c>
      <c r="G1012" s="3">
        <v>46118</v>
      </c>
      <c r="H1012" s="2" t="s">
        <v>753</v>
      </c>
      <c r="I1012" s="2" t="s">
        <v>755</v>
      </c>
      <c r="J1012" s="2" t="s">
        <v>754</v>
      </c>
      <c r="K1012" s="2" t="s">
        <v>753</v>
      </c>
      <c r="L1012" s="6">
        <v>160</v>
      </c>
      <c r="M1012" s="2" t="s">
        <v>752</v>
      </c>
      <c r="N1012" s="7">
        <v>40</v>
      </c>
      <c r="O1012" s="4">
        <v>6400</v>
      </c>
      <c r="P1012" s="4">
        <v>6400</v>
      </c>
      <c r="Q1012" s="6">
        <v>0</v>
      </c>
    </row>
    <row r="1013" spans="1:17" x14ac:dyDescent="0.25">
      <c r="A1013" s="2" t="s">
        <v>379</v>
      </c>
      <c r="B1013" s="2" t="s">
        <v>87</v>
      </c>
      <c r="C1013" s="2" t="s">
        <v>88</v>
      </c>
      <c r="D1013" s="2" t="s">
        <v>758</v>
      </c>
      <c r="E1013" s="2" t="s">
        <v>766</v>
      </c>
      <c r="F1013" s="2" t="s">
        <v>765</v>
      </c>
      <c r="G1013" s="3">
        <v>46126</v>
      </c>
      <c r="H1013" s="2" t="s">
        <v>753</v>
      </c>
      <c r="I1013" s="2" t="s">
        <v>755</v>
      </c>
      <c r="J1013" s="2" t="s">
        <v>754</v>
      </c>
      <c r="K1013" s="2" t="s">
        <v>753</v>
      </c>
      <c r="L1013" s="6">
        <v>16</v>
      </c>
      <c r="M1013" s="2" t="s">
        <v>752</v>
      </c>
      <c r="N1013" s="7">
        <v>40</v>
      </c>
      <c r="O1013" s="4">
        <v>640</v>
      </c>
      <c r="P1013" s="4">
        <v>640</v>
      </c>
      <c r="Q1013" s="6">
        <v>0</v>
      </c>
    </row>
    <row r="1014" spans="1:17" x14ac:dyDescent="0.25">
      <c r="A1014" s="2" t="s">
        <v>379</v>
      </c>
      <c r="B1014" s="2" t="s">
        <v>87</v>
      </c>
      <c r="C1014" s="2" t="s">
        <v>88</v>
      </c>
      <c r="D1014" s="2" t="s">
        <v>758</v>
      </c>
      <c r="E1014" s="2" t="s">
        <v>940</v>
      </c>
      <c r="F1014" s="2" t="s">
        <v>939</v>
      </c>
      <c r="G1014" s="3">
        <v>46126</v>
      </c>
      <c r="H1014" s="2" t="s">
        <v>753</v>
      </c>
      <c r="I1014" s="2" t="s">
        <v>755</v>
      </c>
      <c r="J1014" s="2" t="s">
        <v>754</v>
      </c>
      <c r="K1014" s="2" t="s">
        <v>753</v>
      </c>
      <c r="L1014" s="6">
        <v>8</v>
      </c>
      <c r="M1014" s="2" t="s">
        <v>752</v>
      </c>
      <c r="N1014" s="7">
        <v>56</v>
      </c>
      <c r="O1014" s="4">
        <v>448</v>
      </c>
      <c r="P1014" s="4">
        <v>448</v>
      </c>
      <c r="Q1014" s="6">
        <v>0</v>
      </c>
    </row>
    <row r="1015" spans="1:17" x14ac:dyDescent="0.25">
      <c r="A1015" s="2" t="s">
        <v>379</v>
      </c>
      <c r="B1015" s="2" t="s">
        <v>87</v>
      </c>
      <c r="C1015" s="2" t="s">
        <v>88</v>
      </c>
      <c r="D1015" s="2" t="s">
        <v>758</v>
      </c>
      <c r="E1015" s="2" t="s">
        <v>845</v>
      </c>
      <c r="F1015" s="2" t="s">
        <v>844</v>
      </c>
      <c r="G1015" s="3">
        <v>46126</v>
      </c>
      <c r="H1015" s="2" t="s">
        <v>753</v>
      </c>
      <c r="I1015" s="2" t="s">
        <v>755</v>
      </c>
      <c r="J1015" s="2" t="s">
        <v>754</v>
      </c>
      <c r="K1015" s="2" t="s">
        <v>753</v>
      </c>
      <c r="L1015" s="6">
        <v>32</v>
      </c>
      <c r="M1015" s="2" t="s">
        <v>752</v>
      </c>
      <c r="N1015" s="7">
        <v>40.119999999999997</v>
      </c>
      <c r="O1015" s="4">
        <v>1283.8399999999999</v>
      </c>
      <c r="P1015" s="4">
        <v>1283.8399999999999</v>
      </c>
      <c r="Q1015" s="6">
        <v>0</v>
      </c>
    </row>
    <row r="1016" spans="1:17" x14ac:dyDescent="0.25">
      <c r="A1016" s="2" t="s">
        <v>379</v>
      </c>
      <c r="B1016" s="2" t="s">
        <v>87</v>
      </c>
      <c r="C1016" s="2" t="s">
        <v>88</v>
      </c>
      <c r="D1016" s="2" t="s">
        <v>758</v>
      </c>
      <c r="E1016" s="2" t="s">
        <v>910</v>
      </c>
      <c r="F1016" s="2" t="s">
        <v>909</v>
      </c>
      <c r="G1016" s="3">
        <v>46126</v>
      </c>
      <c r="H1016" s="2" t="s">
        <v>753</v>
      </c>
      <c r="I1016" s="2" t="s">
        <v>755</v>
      </c>
      <c r="J1016" s="2" t="s">
        <v>754</v>
      </c>
      <c r="K1016" s="2" t="s">
        <v>753</v>
      </c>
      <c r="L1016" s="6">
        <v>12</v>
      </c>
      <c r="M1016" s="2" t="s">
        <v>752</v>
      </c>
      <c r="N1016" s="7">
        <v>42.03</v>
      </c>
      <c r="O1016" s="4">
        <v>504.36</v>
      </c>
      <c r="P1016" s="4">
        <v>504.36</v>
      </c>
      <c r="Q1016" s="6">
        <v>0</v>
      </c>
    </row>
    <row r="1017" spans="1:17" x14ac:dyDescent="0.25">
      <c r="A1017" s="2" t="s">
        <v>379</v>
      </c>
      <c r="B1017" s="2" t="s">
        <v>87</v>
      </c>
      <c r="C1017" s="2" t="s">
        <v>88</v>
      </c>
      <c r="D1017" s="2" t="s">
        <v>758</v>
      </c>
      <c r="E1017" s="2" t="s">
        <v>908</v>
      </c>
      <c r="F1017" s="2" t="s">
        <v>907</v>
      </c>
      <c r="G1017" s="3">
        <v>46126</v>
      </c>
      <c r="H1017" s="2" t="s">
        <v>753</v>
      </c>
      <c r="I1017" s="2" t="s">
        <v>755</v>
      </c>
      <c r="J1017" s="2" t="s">
        <v>754</v>
      </c>
      <c r="K1017" s="2" t="s">
        <v>753</v>
      </c>
      <c r="L1017" s="6">
        <v>212</v>
      </c>
      <c r="M1017" s="2" t="s">
        <v>752</v>
      </c>
      <c r="N1017" s="7">
        <v>39</v>
      </c>
      <c r="O1017" s="4">
        <v>8268</v>
      </c>
      <c r="P1017" s="4">
        <v>8268</v>
      </c>
      <c r="Q1017" s="6">
        <v>0</v>
      </c>
    </row>
    <row r="1018" spans="1:17" x14ac:dyDescent="0.25">
      <c r="A1018" s="2" t="s">
        <v>379</v>
      </c>
      <c r="B1018" s="2" t="s">
        <v>87</v>
      </c>
      <c r="C1018" s="2" t="s">
        <v>88</v>
      </c>
      <c r="D1018" s="2" t="s">
        <v>758</v>
      </c>
      <c r="E1018" s="2" t="s">
        <v>815</v>
      </c>
      <c r="F1018" s="2" t="s">
        <v>814</v>
      </c>
      <c r="G1018" s="3">
        <v>46126</v>
      </c>
      <c r="H1018" s="2" t="s">
        <v>753</v>
      </c>
      <c r="I1018" s="2" t="s">
        <v>755</v>
      </c>
      <c r="J1018" s="2" t="s">
        <v>754</v>
      </c>
      <c r="K1018" s="2" t="s">
        <v>753</v>
      </c>
      <c r="L1018" s="6">
        <v>28</v>
      </c>
      <c r="M1018" s="2" t="s">
        <v>752</v>
      </c>
      <c r="N1018" s="7">
        <v>36.24</v>
      </c>
      <c r="O1018" s="4">
        <v>1014.72</v>
      </c>
      <c r="P1018" s="4">
        <v>1014.72</v>
      </c>
      <c r="Q1018" s="6">
        <v>0</v>
      </c>
    </row>
    <row r="1019" spans="1:17" x14ac:dyDescent="0.25">
      <c r="A1019" s="2" t="s">
        <v>379</v>
      </c>
      <c r="B1019" s="2" t="s">
        <v>87</v>
      </c>
      <c r="C1019" s="2" t="s">
        <v>88</v>
      </c>
      <c r="D1019" s="2" t="s">
        <v>758</v>
      </c>
      <c r="E1019" s="2" t="s">
        <v>757</v>
      </c>
      <c r="F1019" s="2" t="s">
        <v>756</v>
      </c>
      <c r="G1019" s="3">
        <v>46126</v>
      </c>
      <c r="H1019" s="2" t="s">
        <v>753</v>
      </c>
      <c r="I1019" s="2" t="s">
        <v>755</v>
      </c>
      <c r="J1019" s="2" t="s">
        <v>754</v>
      </c>
      <c r="K1019" s="2" t="s">
        <v>753</v>
      </c>
      <c r="L1019" s="6">
        <v>28</v>
      </c>
      <c r="M1019" s="2" t="s">
        <v>752</v>
      </c>
      <c r="N1019" s="7">
        <v>41.5</v>
      </c>
      <c r="O1019" s="4">
        <v>1162</v>
      </c>
      <c r="P1019" s="4">
        <v>1162</v>
      </c>
      <c r="Q1019" s="6">
        <v>0</v>
      </c>
    </row>
    <row r="1020" spans="1:17" x14ac:dyDescent="0.25">
      <c r="A1020" s="2" t="s">
        <v>379</v>
      </c>
      <c r="B1020" s="2" t="s">
        <v>87</v>
      </c>
      <c r="C1020" s="2" t="s">
        <v>88</v>
      </c>
      <c r="D1020" s="2" t="s">
        <v>758</v>
      </c>
      <c r="E1020" s="2" t="s">
        <v>906</v>
      </c>
      <c r="F1020" s="2" t="s">
        <v>905</v>
      </c>
      <c r="G1020" s="3">
        <v>46126</v>
      </c>
      <c r="H1020" s="2" t="s">
        <v>753</v>
      </c>
      <c r="I1020" s="2" t="s">
        <v>755</v>
      </c>
      <c r="J1020" s="2" t="s">
        <v>754</v>
      </c>
      <c r="K1020" s="2" t="s">
        <v>753</v>
      </c>
      <c r="L1020" s="6">
        <v>20</v>
      </c>
      <c r="M1020" s="2" t="s">
        <v>752</v>
      </c>
      <c r="N1020" s="7">
        <v>35.21</v>
      </c>
      <c r="O1020" s="4">
        <v>704.2</v>
      </c>
      <c r="P1020" s="4">
        <v>704.2</v>
      </c>
      <c r="Q1020" s="6">
        <v>0</v>
      </c>
    </row>
    <row r="1021" spans="1:17" x14ac:dyDescent="0.25">
      <c r="A1021" s="2" t="s">
        <v>379</v>
      </c>
      <c r="B1021" s="2" t="s">
        <v>87</v>
      </c>
      <c r="C1021" s="2" t="s">
        <v>88</v>
      </c>
      <c r="D1021" s="2" t="s">
        <v>758</v>
      </c>
      <c r="E1021" s="2" t="s">
        <v>763</v>
      </c>
      <c r="F1021" s="2" t="s">
        <v>762</v>
      </c>
      <c r="G1021" s="3">
        <v>46126</v>
      </c>
      <c r="H1021" s="2" t="s">
        <v>753</v>
      </c>
      <c r="I1021" s="2" t="s">
        <v>755</v>
      </c>
      <c r="J1021" s="2" t="s">
        <v>754</v>
      </c>
      <c r="K1021" s="2" t="s">
        <v>753</v>
      </c>
      <c r="L1021" s="6">
        <v>196</v>
      </c>
      <c r="M1021" s="2" t="s">
        <v>752</v>
      </c>
      <c r="N1021" s="7">
        <v>45.49</v>
      </c>
      <c r="O1021" s="4">
        <v>8916.0400000000009</v>
      </c>
      <c r="P1021" s="4">
        <v>8916.0400000000009</v>
      </c>
      <c r="Q1021" s="6">
        <v>0</v>
      </c>
    </row>
    <row r="1022" spans="1:17" x14ac:dyDescent="0.25">
      <c r="A1022" s="2" t="s">
        <v>379</v>
      </c>
      <c r="B1022" s="2" t="s">
        <v>87</v>
      </c>
      <c r="C1022" s="2" t="s">
        <v>88</v>
      </c>
      <c r="D1022" s="2" t="s">
        <v>758</v>
      </c>
      <c r="E1022" s="2" t="s">
        <v>774</v>
      </c>
      <c r="F1022" s="2" t="s">
        <v>773</v>
      </c>
      <c r="G1022" s="3">
        <v>46126</v>
      </c>
      <c r="H1022" s="2" t="s">
        <v>753</v>
      </c>
      <c r="I1022" s="2" t="s">
        <v>755</v>
      </c>
      <c r="J1022" s="2" t="s">
        <v>754</v>
      </c>
      <c r="K1022" s="2" t="s">
        <v>753</v>
      </c>
      <c r="L1022" s="6">
        <v>12</v>
      </c>
      <c r="M1022" s="2" t="s">
        <v>752</v>
      </c>
      <c r="N1022" s="7">
        <v>37.020000000000003</v>
      </c>
      <c r="O1022" s="4">
        <v>444.24</v>
      </c>
      <c r="P1022" s="4">
        <v>444.24</v>
      </c>
      <c r="Q1022" s="6">
        <v>0</v>
      </c>
    </row>
    <row r="1023" spans="1:17" x14ac:dyDescent="0.25">
      <c r="A1023" s="2" t="s">
        <v>379</v>
      </c>
      <c r="B1023" s="2" t="s">
        <v>87</v>
      </c>
      <c r="C1023" s="2" t="s">
        <v>88</v>
      </c>
      <c r="D1023" s="2" t="s">
        <v>758</v>
      </c>
      <c r="E1023" s="2" t="s">
        <v>863</v>
      </c>
      <c r="F1023" s="2" t="s">
        <v>862</v>
      </c>
      <c r="G1023" s="3">
        <v>46126</v>
      </c>
      <c r="H1023" s="2" t="s">
        <v>753</v>
      </c>
      <c r="I1023" s="2" t="s">
        <v>755</v>
      </c>
      <c r="J1023" s="2" t="s">
        <v>754</v>
      </c>
      <c r="K1023" s="2" t="s">
        <v>753</v>
      </c>
      <c r="L1023" s="6">
        <v>4</v>
      </c>
      <c r="M1023" s="2" t="s">
        <v>752</v>
      </c>
      <c r="N1023" s="7">
        <v>52.47</v>
      </c>
      <c r="O1023" s="4">
        <v>209.88</v>
      </c>
      <c r="P1023" s="4">
        <v>209.88</v>
      </c>
      <c r="Q1023" s="6">
        <v>0</v>
      </c>
    </row>
    <row r="1024" spans="1:17" x14ac:dyDescent="0.25">
      <c r="A1024" s="2" t="s">
        <v>379</v>
      </c>
      <c r="B1024" s="2" t="s">
        <v>87</v>
      </c>
      <c r="C1024" s="2" t="s">
        <v>88</v>
      </c>
      <c r="D1024" s="2" t="s">
        <v>758</v>
      </c>
      <c r="E1024" s="2" t="s">
        <v>813</v>
      </c>
      <c r="F1024" s="2" t="s">
        <v>812</v>
      </c>
      <c r="G1024" s="3">
        <v>46126</v>
      </c>
      <c r="H1024" s="2" t="s">
        <v>753</v>
      </c>
      <c r="I1024" s="2" t="s">
        <v>755</v>
      </c>
      <c r="J1024" s="2" t="s">
        <v>754</v>
      </c>
      <c r="K1024" s="2" t="s">
        <v>753</v>
      </c>
      <c r="L1024" s="6">
        <v>12</v>
      </c>
      <c r="M1024" s="2" t="s">
        <v>752</v>
      </c>
      <c r="N1024" s="7">
        <v>54</v>
      </c>
      <c r="O1024" s="4">
        <v>648</v>
      </c>
      <c r="P1024" s="4">
        <v>648</v>
      </c>
      <c r="Q1024" s="6">
        <v>0</v>
      </c>
    </row>
    <row r="1025" spans="1:17" x14ac:dyDescent="0.25">
      <c r="A1025" s="2" t="s">
        <v>379</v>
      </c>
      <c r="B1025" s="2" t="s">
        <v>87</v>
      </c>
      <c r="C1025" s="2" t="s">
        <v>88</v>
      </c>
      <c r="D1025" s="2" t="s">
        <v>758</v>
      </c>
      <c r="E1025" s="2" t="s">
        <v>776</v>
      </c>
      <c r="F1025" s="2" t="s">
        <v>775</v>
      </c>
      <c r="G1025" s="3">
        <v>46126</v>
      </c>
      <c r="H1025" s="2" t="s">
        <v>753</v>
      </c>
      <c r="I1025" s="2" t="s">
        <v>755</v>
      </c>
      <c r="J1025" s="2" t="s">
        <v>754</v>
      </c>
      <c r="K1025" s="2" t="s">
        <v>753</v>
      </c>
      <c r="L1025" s="6">
        <v>16</v>
      </c>
      <c r="M1025" s="2" t="s">
        <v>752</v>
      </c>
      <c r="N1025" s="7">
        <v>43.2</v>
      </c>
      <c r="O1025" s="4">
        <v>691.2</v>
      </c>
      <c r="P1025" s="4">
        <v>691.2</v>
      </c>
      <c r="Q1025" s="6">
        <v>0</v>
      </c>
    </row>
    <row r="1026" spans="1:17" x14ac:dyDescent="0.25">
      <c r="A1026" s="2" t="s">
        <v>379</v>
      </c>
      <c r="B1026" s="2" t="s">
        <v>87</v>
      </c>
      <c r="C1026" s="2" t="s">
        <v>88</v>
      </c>
      <c r="D1026" s="2" t="s">
        <v>758</v>
      </c>
      <c r="E1026" s="2" t="s">
        <v>807</v>
      </c>
      <c r="F1026" s="2" t="s">
        <v>806</v>
      </c>
      <c r="G1026" s="3">
        <v>46126</v>
      </c>
      <c r="H1026" s="2" t="s">
        <v>753</v>
      </c>
      <c r="I1026" s="2" t="s">
        <v>755</v>
      </c>
      <c r="J1026" s="2" t="s">
        <v>754</v>
      </c>
      <c r="K1026" s="2" t="s">
        <v>753</v>
      </c>
      <c r="L1026" s="6">
        <v>28</v>
      </c>
      <c r="M1026" s="2" t="s">
        <v>752</v>
      </c>
      <c r="N1026" s="7">
        <v>44.15</v>
      </c>
      <c r="O1026" s="4">
        <v>1236.2</v>
      </c>
      <c r="P1026" s="4">
        <v>1236.2</v>
      </c>
      <c r="Q1026" s="6">
        <v>0</v>
      </c>
    </row>
    <row r="1027" spans="1:17" x14ac:dyDescent="0.25">
      <c r="A1027" s="2" t="s">
        <v>379</v>
      </c>
      <c r="B1027" s="2" t="s">
        <v>87</v>
      </c>
      <c r="C1027" s="2" t="s">
        <v>88</v>
      </c>
      <c r="D1027" s="2" t="s">
        <v>758</v>
      </c>
      <c r="E1027" s="2" t="s">
        <v>956</v>
      </c>
      <c r="F1027" s="2" t="s">
        <v>955</v>
      </c>
      <c r="G1027" s="3">
        <v>46126</v>
      </c>
      <c r="H1027" s="2" t="s">
        <v>753</v>
      </c>
      <c r="I1027" s="2" t="s">
        <v>755</v>
      </c>
      <c r="J1027" s="2" t="s">
        <v>754</v>
      </c>
      <c r="K1027" s="2" t="s">
        <v>753</v>
      </c>
      <c r="L1027" s="6">
        <v>4</v>
      </c>
      <c r="M1027" s="2" t="s">
        <v>752</v>
      </c>
      <c r="N1027" s="7">
        <v>47.4</v>
      </c>
      <c r="O1027" s="4">
        <v>189.6</v>
      </c>
      <c r="P1027" s="4">
        <v>189.6</v>
      </c>
      <c r="Q1027" s="6">
        <v>0</v>
      </c>
    </row>
    <row r="1028" spans="1:17" x14ac:dyDescent="0.25">
      <c r="A1028" s="2" t="s">
        <v>379</v>
      </c>
      <c r="B1028" s="2" t="s">
        <v>87</v>
      </c>
      <c r="C1028" s="2" t="s">
        <v>88</v>
      </c>
      <c r="D1028" s="2" t="s">
        <v>758</v>
      </c>
      <c r="E1028" s="2" t="s">
        <v>904</v>
      </c>
      <c r="F1028" s="2" t="s">
        <v>903</v>
      </c>
      <c r="G1028" s="3">
        <v>46126</v>
      </c>
      <c r="H1028" s="2" t="s">
        <v>753</v>
      </c>
      <c r="I1028" s="2" t="s">
        <v>755</v>
      </c>
      <c r="J1028" s="2" t="s">
        <v>754</v>
      </c>
      <c r="K1028" s="2" t="s">
        <v>753</v>
      </c>
      <c r="L1028" s="6">
        <v>12</v>
      </c>
      <c r="M1028" s="2" t="s">
        <v>752</v>
      </c>
      <c r="N1028" s="7">
        <v>40.22</v>
      </c>
      <c r="O1028" s="4">
        <v>482.64</v>
      </c>
      <c r="P1028" s="4">
        <v>482.64</v>
      </c>
      <c r="Q1028" s="6">
        <v>0</v>
      </c>
    </row>
    <row r="1029" spans="1:17" x14ac:dyDescent="0.25">
      <c r="A1029" s="2" t="s">
        <v>379</v>
      </c>
      <c r="B1029" s="2" t="s">
        <v>87</v>
      </c>
      <c r="C1029" s="2" t="s">
        <v>88</v>
      </c>
      <c r="D1029" s="2" t="s">
        <v>758</v>
      </c>
      <c r="E1029" s="2" t="s">
        <v>855</v>
      </c>
      <c r="F1029" s="2" t="s">
        <v>854</v>
      </c>
      <c r="G1029" s="3">
        <v>46126</v>
      </c>
      <c r="H1029" s="2" t="s">
        <v>753</v>
      </c>
      <c r="I1029" s="2" t="s">
        <v>755</v>
      </c>
      <c r="J1029" s="2" t="s">
        <v>754</v>
      </c>
      <c r="K1029" s="2" t="s">
        <v>753</v>
      </c>
      <c r="L1029" s="6">
        <v>84</v>
      </c>
      <c r="M1029" s="2" t="s">
        <v>752</v>
      </c>
      <c r="N1029" s="7">
        <v>42.37</v>
      </c>
      <c r="O1029" s="4">
        <v>3559.08</v>
      </c>
      <c r="P1029" s="4">
        <v>3559.08</v>
      </c>
      <c r="Q1029" s="6">
        <v>0</v>
      </c>
    </row>
    <row r="1030" spans="1:17" x14ac:dyDescent="0.25">
      <c r="A1030" s="2" t="s">
        <v>379</v>
      </c>
      <c r="B1030" s="2" t="s">
        <v>87</v>
      </c>
      <c r="C1030" s="2" t="s">
        <v>88</v>
      </c>
      <c r="D1030" s="2" t="s">
        <v>758</v>
      </c>
      <c r="E1030" s="2" t="s">
        <v>902</v>
      </c>
      <c r="F1030" s="2" t="s">
        <v>901</v>
      </c>
      <c r="G1030" s="3">
        <v>46126</v>
      </c>
      <c r="H1030" s="2" t="s">
        <v>753</v>
      </c>
      <c r="I1030" s="2" t="s">
        <v>755</v>
      </c>
      <c r="J1030" s="2" t="s">
        <v>754</v>
      </c>
      <c r="K1030" s="2" t="s">
        <v>753</v>
      </c>
      <c r="L1030" s="6">
        <v>20</v>
      </c>
      <c r="M1030" s="2" t="s">
        <v>752</v>
      </c>
      <c r="N1030" s="7">
        <v>42.22</v>
      </c>
      <c r="O1030" s="4">
        <v>844.4</v>
      </c>
      <c r="P1030" s="4">
        <v>844.4</v>
      </c>
      <c r="Q1030" s="6">
        <v>0</v>
      </c>
    </row>
    <row r="1031" spans="1:17" x14ac:dyDescent="0.25">
      <c r="A1031" s="2" t="s">
        <v>379</v>
      </c>
      <c r="B1031" s="2" t="s">
        <v>87</v>
      </c>
      <c r="C1031" s="2" t="s">
        <v>88</v>
      </c>
      <c r="D1031" s="2" t="s">
        <v>758</v>
      </c>
      <c r="E1031" s="2" t="s">
        <v>954</v>
      </c>
      <c r="F1031" s="2" t="s">
        <v>953</v>
      </c>
      <c r="G1031" s="3">
        <v>46126</v>
      </c>
      <c r="H1031" s="2" t="s">
        <v>753</v>
      </c>
      <c r="I1031" s="2" t="s">
        <v>755</v>
      </c>
      <c r="J1031" s="2" t="s">
        <v>754</v>
      </c>
      <c r="K1031" s="2" t="s">
        <v>753</v>
      </c>
      <c r="L1031" s="6">
        <v>4</v>
      </c>
      <c r="M1031" s="2" t="s">
        <v>752</v>
      </c>
      <c r="N1031" s="7">
        <v>36.24</v>
      </c>
      <c r="O1031" s="4">
        <v>144.96</v>
      </c>
      <c r="P1031" s="4">
        <v>144.96</v>
      </c>
      <c r="Q1031" s="6">
        <v>0</v>
      </c>
    </row>
    <row r="1032" spans="1:17" x14ac:dyDescent="0.25">
      <c r="A1032" s="2" t="s">
        <v>379</v>
      </c>
      <c r="B1032" s="2" t="s">
        <v>87</v>
      </c>
      <c r="C1032" s="2" t="s">
        <v>88</v>
      </c>
      <c r="D1032" s="2" t="s">
        <v>758</v>
      </c>
      <c r="E1032" s="2" t="s">
        <v>900</v>
      </c>
      <c r="F1032" s="2" t="s">
        <v>899</v>
      </c>
      <c r="G1032" s="3">
        <v>46126</v>
      </c>
      <c r="H1032" s="2" t="s">
        <v>753</v>
      </c>
      <c r="I1032" s="2" t="s">
        <v>755</v>
      </c>
      <c r="J1032" s="2" t="s">
        <v>754</v>
      </c>
      <c r="K1032" s="2" t="s">
        <v>753</v>
      </c>
      <c r="L1032" s="6">
        <v>28</v>
      </c>
      <c r="M1032" s="2" t="s">
        <v>752</v>
      </c>
      <c r="N1032" s="7">
        <v>32.549999999999997</v>
      </c>
      <c r="O1032" s="4">
        <v>911.4</v>
      </c>
      <c r="P1032" s="4">
        <v>911.4</v>
      </c>
      <c r="Q1032" s="6">
        <v>0</v>
      </c>
    </row>
    <row r="1033" spans="1:17" x14ac:dyDescent="0.25">
      <c r="A1033" s="2" t="s">
        <v>379</v>
      </c>
      <c r="B1033" s="2" t="s">
        <v>87</v>
      </c>
      <c r="C1033" s="2" t="s">
        <v>88</v>
      </c>
      <c r="D1033" s="2" t="s">
        <v>758</v>
      </c>
      <c r="E1033" s="2" t="s">
        <v>780</v>
      </c>
      <c r="F1033" s="2" t="s">
        <v>779</v>
      </c>
      <c r="G1033" s="3">
        <v>46126</v>
      </c>
      <c r="H1033" s="2" t="s">
        <v>753</v>
      </c>
      <c r="I1033" s="2" t="s">
        <v>755</v>
      </c>
      <c r="J1033" s="2" t="s">
        <v>754</v>
      </c>
      <c r="K1033" s="2" t="s">
        <v>753</v>
      </c>
      <c r="L1033" s="6">
        <v>8</v>
      </c>
      <c r="M1033" s="2" t="s">
        <v>752</v>
      </c>
      <c r="N1033" s="7">
        <v>35.57</v>
      </c>
      <c r="O1033" s="4">
        <v>284.56</v>
      </c>
      <c r="P1033" s="4">
        <v>284.56</v>
      </c>
      <c r="Q1033" s="6">
        <v>0</v>
      </c>
    </row>
    <row r="1034" spans="1:17" x14ac:dyDescent="0.25">
      <c r="A1034" s="2" t="s">
        <v>379</v>
      </c>
      <c r="B1034" s="2" t="s">
        <v>87</v>
      </c>
      <c r="C1034" s="2" t="s">
        <v>88</v>
      </c>
      <c r="D1034" s="2" t="s">
        <v>758</v>
      </c>
      <c r="E1034" s="2" t="s">
        <v>898</v>
      </c>
      <c r="F1034" s="2" t="s">
        <v>897</v>
      </c>
      <c r="G1034" s="3">
        <v>46126</v>
      </c>
      <c r="H1034" s="2" t="s">
        <v>753</v>
      </c>
      <c r="I1034" s="2" t="s">
        <v>755</v>
      </c>
      <c r="J1034" s="2" t="s">
        <v>754</v>
      </c>
      <c r="K1034" s="2" t="s">
        <v>753</v>
      </c>
      <c r="L1034" s="6">
        <v>28</v>
      </c>
      <c r="M1034" s="2" t="s">
        <v>752</v>
      </c>
      <c r="N1034" s="7">
        <v>41.25</v>
      </c>
      <c r="O1034" s="4">
        <v>1155</v>
      </c>
      <c r="P1034" s="4">
        <v>1155</v>
      </c>
      <c r="Q1034" s="6">
        <v>0</v>
      </c>
    </row>
    <row r="1035" spans="1:17" x14ac:dyDescent="0.25">
      <c r="A1035" s="2" t="s">
        <v>379</v>
      </c>
      <c r="B1035" s="2" t="s">
        <v>87</v>
      </c>
      <c r="C1035" s="2" t="s">
        <v>88</v>
      </c>
      <c r="D1035" s="2" t="s">
        <v>758</v>
      </c>
      <c r="E1035" s="2" t="s">
        <v>819</v>
      </c>
      <c r="F1035" s="2" t="s">
        <v>818</v>
      </c>
      <c r="G1035" s="3">
        <v>46126</v>
      </c>
      <c r="H1035" s="2" t="s">
        <v>753</v>
      </c>
      <c r="I1035" s="2" t="s">
        <v>755</v>
      </c>
      <c r="J1035" s="2" t="s">
        <v>754</v>
      </c>
      <c r="K1035" s="2" t="s">
        <v>753</v>
      </c>
      <c r="L1035" s="6">
        <v>28</v>
      </c>
      <c r="M1035" s="2" t="s">
        <v>752</v>
      </c>
      <c r="N1035" s="7">
        <v>40.22</v>
      </c>
      <c r="O1035" s="4">
        <v>1126.1600000000001</v>
      </c>
      <c r="P1035" s="4">
        <v>1126.1600000000001</v>
      </c>
      <c r="Q1035" s="6">
        <v>0</v>
      </c>
    </row>
    <row r="1036" spans="1:17" x14ac:dyDescent="0.25">
      <c r="A1036" s="2" t="s">
        <v>381</v>
      </c>
      <c r="B1036" s="2" t="s">
        <v>95</v>
      </c>
      <c r="C1036" s="2" t="s">
        <v>96</v>
      </c>
      <c r="D1036" s="2" t="s">
        <v>758</v>
      </c>
      <c r="E1036" s="2" t="s">
        <v>871</v>
      </c>
      <c r="F1036" s="2" t="s">
        <v>870</v>
      </c>
      <c r="G1036" s="3">
        <v>46125</v>
      </c>
      <c r="H1036" s="2" t="s">
        <v>753</v>
      </c>
      <c r="I1036" s="2" t="s">
        <v>755</v>
      </c>
      <c r="J1036" s="2" t="s">
        <v>754</v>
      </c>
      <c r="K1036" s="2" t="s">
        <v>753</v>
      </c>
      <c r="L1036" s="6">
        <v>520</v>
      </c>
      <c r="M1036" s="2" t="s">
        <v>752</v>
      </c>
      <c r="N1036" s="7">
        <v>41.66</v>
      </c>
      <c r="O1036" s="4">
        <v>21663.200000000001</v>
      </c>
      <c r="P1036" s="4">
        <v>21663.200000000001</v>
      </c>
      <c r="Q1036" s="6">
        <v>0</v>
      </c>
    </row>
    <row r="1037" spans="1:17" x14ac:dyDescent="0.25">
      <c r="A1037" s="2" t="s">
        <v>381</v>
      </c>
      <c r="B1037" s="2" t="s">
        <v>95</v>
      </c>
      <c r="C1037" s="2" t="s">
        <v>96</v>
      </c>
      <c r="D1037" s="2" t="s">
        <v>758</v>
      </c>
      <c r="E1037" s="2" t="s">
        <v>778</v>
      </c>
      <c r="F1037" s="2" t="s">
        <v>777</v>
      </c>
      <c r="G1037" s="3">
        <v>46125</v>
      </c>
      <c r="H1037" s="2" t="s">
        <v>753</v>
      </c>
      <c r="I1037" s="2" t="s">
        <v>755</v>
      </c>
      <c r="J1037" s="2" t="s">
        <v>754</v>
      </c>
      <c r="K1037" s="2" t="s">
        <v>753</v>
      </c>
      <c r="L1037" s="6">
        <v>96</v>
      </c>
      <c r="M1037" s="2" t="s">
        <v>752</v>
      </c>
      <c r="N1037" s="7">
        <v>39.96</v>
      </c>
      <c r="O1037" s="4">
        <v>3836.16</v>
      </c>
      <c r="P1037" s="4">
        <v>3836.16</v>
      </c>
      <c r="Q1037" s="6">
        <v>0</v>
      </c>
    </row>
    <row r="1038" spans="1:17" x14ac:dyDescent="0.25">
      <c r="A1038" s="2" t="s">
        <v>381</v>
      </c>
      <c r="B1038" s="2" t="s">
        <v>95</v>
      </c>
      <c r="C1038" s="2" t="s">
        <v>96</v>
      </c>
      <c r="D1038" s="2" t="s">
        <v>758</v>
      </c>
      <c r="E1038" s="2" t="s">
        <v>894</v>
      </c>
      <c r="F1038" s="2" t="s">
        <v>893</v>
      </c>
      <c r="G1038" s="3">
        <v>46125</v>
      </c>
      <c r="H1038" s="2" t="s">
        <v>753</v>
      </c>
      <c r="I1038" s="2" t="s">
        <v>755</v>
      </c>
      <c r="J1038" s="2" t="s">
        <v>754</v>
      </c>
      <c r="K1038" s="2" t="s">
        <v>753</v>
      </c>
      <c r="L1038" s="6">
        <v>64</v>
      </c>
      <c r="M1038" s="2" t="s">
        <v>752</v>
      </c>
      <c r="N1038" s="7">
        <v>33.5</v>
      </c>
      <c r="O1038" s="4">
        <v>2144</v>
      </c>
      <c r="P1038" s="4">
        <v>2144</v>
      </c>
      <c r="Q1038" s="6">
        <v>0</v>
      </c>
    </row>
    <row r="1039" spans="1:17" x14ac:dyDescent="0.25">
      <c r="A1039" s="2" t="s">
        <v>321</v>
      </c>
      <c r="B1039" s="2" t="s">
        <v>29</v>
      </c>
      <c r="C1039" s="2" t="s">
        <v>30</v>
      </c>
      <c r="D1039" s="2" t="s">
        <v>758</v>
      </c>
      <c r="E1039" s="2" t="s">
        <v>780</v>
      </c>
      <c r="F1039" s="2" t="s">
        <v>779</v>
      </c>
      <c r="G1039" s="3">
        <v>46136</v>
      </c>
      <c r="H1039" s="2" t="s">
        <v>753</v>
      </c>
      <c r="I1039" s="2" t="s">
        <v>755</v>
      </c>
      <c r="J1039" s="2" t="s">
        <v>754</v>
      </c>
      <c r="K1039" s="2" t="s">
        <v>753</v>
      </c>
      <c r="L1039" s="6">
        <v>12</v>
      </c>
      <c r="M1039" s="2" t="s">
        <v>752</v>
      </c>
      <c r="N1039" s="7">
        <v>36.5</v>
      </c>
      <c r="O1039" s="4">
        <v>438</v>
      </c>
      <c r="P1039" s="4">
        <v>438</v>
      </c>
      <c r="Q1039" s="6">
        <v>0</v>
      </c>
    </row>
    <row r="1040" spans="1:17" x14ac:dyDescent="0.25">
      <c r="A1040" s="2" t="s">
        <v>321</v>
      </c>
      <c r="B1040" s="2" t="s">
        <v>29</v>
      </c>
      <c r="C1040" s="2" t="s">
        <v>30</v>
      </c>
      <c r="D1040" s="2" t="s">
        <v>758</v>
      </c>
      <c r="E1040" s="2" t="s">
        <v>817</v>
      </c>
      <c r="F1040" s="2" t="s">
        <v>937</v>
      </c>
      <c r="G1040" s="3">
        <v>46136</v>
      </c>
      <c r="H1040" s="2" t="s">
        <v>753</v>
      </c>
      <c r="I1040" s="2" t="s">
        <v>755</v>
      </c>
      <c r="J1040" s="2" t="s">
        <v>754</v>
      </c>
      <c r="K1040" s="2" t="s">
        <v>753</v>
      </c>
      <c r="L1040" s="6">
        <v>56</v>
      </c>
      <c r="M1040" s="2" t="s">
        <v>752</v>
      </c>
      <c r="N1040" s="7">
        <v>31.42</v>
      </c>
      <c r="O1040" s="4">
        <v>1759.52</v>
      </c>
      <c r="P1040" s="4">
        <v>1759.52</v>
      </c>
      <c r="Q1040" s="6">
        <v>0</v>
      </c>
    </row>
    <row r="1041" spans="1:17" x14ac:dyDescent="0.25">
      <c r="A1041" s="2" t="s">
        <v>321</v>
      </c>
      <c r="B1041" s="2" t="s">
        <v>29</v>
      </c>
      <c r="C1041" s="2" t="s">
        <v>30</v>
      </c>
      <c r="D1041" s="2" t="s">
        <v>758</v>
      </c>
      <c r="E1041" s="2" t="s">
        <v>813</v>
      </c>
      <c r="F1041" s="2" t="s">
        <v>812</v>
      </c>
      <c r="G1041" s="3">
        <v>46136</v>
      </c>
      <c r="H1041" s="2" t="s">
        <v>753</v>
      </c>
      <c r="I1041" s="2" t="s">
        <v>755</v>
      </c>
      <c r="J1041" s="2" t="s">
        <v>754</v>
      </c>
      <c r="K1041" s="2" t="s">
        <v>753</v>
      </c>
      <c r="L1041" s="6">
        <v>12</v>
      </c>
      <c r="M1041" s="2" t="s">
        <v>752</v>
      </c>
      <c r="N1041" s="7">
        <v>43.26</v>
      </c>
      <c r="O1041" s="4">
        <v>519.12</v>
      </c>
      <c r="P1041" s="4">
        <v>519.12</v>
      </c>
      <c r="Q1041" s="6">
        <v>0</v>
      </c>
    </row>
    <row r="1042" spans="1:17" x14ac:dyDescent="0.25">
      <c r="A1042" s="2" t="s">
        <v>321</v>
      </c>
      <c r="B1042" s="2" t="s">
        <v>29</v>
      </c>
      <c r="C1042" s="2" t="s">
        <v>30</v>
      </c>
      <c r="D1042" s="2" t="s">
        <v>758</v>
      </c>
      <c r="E1042" s="2" t="s">
        <v>811</v>
      </c>
      <c r="F1042" s="2" t="s">
        <v>810</v>
      </c>
      <c r="G1042" s="3">
        <v>46136</v>
      </c>
      <c r="H1042" s="2" t="s">
        <v>753</v>
      </c>
      <c r="I1042" s="2" t="s">
        <v>755</v>
      </c>
      <c r="J1042" s="2" t="s">
        <v>754</v>
      </c>
      <c r="K1042" s="2" t="s">
        <v>753</v>
      </c>
      <c r="L1042" s="6">
        <v>20</v>
      </c>
      <c r="M1042" s="2" t="s">
        <v>752</v>
      </c>
      <c r="N1042" s="7">
        <v>43.26</v>
      </c>
      <c r="O1042" s="4">
        <v>865.2</v>
      </c>
      <c r="P1042" s="4">
        <v>865.2</v>
      </c>
      <c r="Q1042" s="6">
        <v>0</v>
      </c>
    </row>
    <row r="1043" spans="1:17" x14ac:dyDescent="0.25">
      <c r="A1043" s="2" t="s">
        <v>321</v>
      </c>
      <c r="B1043" s="2" t="s">
        <v>29</v>
      </c>
      <c r="C1043" s="2" t="s">
        <v>30</v>
      </c>
      <c r="D1043" s="2" t="s">
        <v>758</v>
      </c>
      <c r="E1043" s="2" t="s">
        <v>763</v>
      </c>
      <c r="F1043" s="2" t="s">
        <v>762</v>
      </c>
      <c r="G1043" s="3">
        <v>46136</v>
      </c>
      <c r="H1043" s="2" t="s">
        <v>753</v>
      </c>
      <c r="I1043" s="2" t="s">
        <v>755</v>
      </c>
      <c r="J1043" s="2" t="s">
        <v>754</v>
      </c>
      <c r="K1043" s="2" t="s">
        <v>753</v>
      </c>
      <c r="L1043" s="6">
        <v>140</v>
      </c>
      <c r="M1043" s="2" t="s">
        <v>752</v>
      </c>
      <c r="N1043" s="7">
        <v>43.36</v>
      </c>
      <c r="O1043" s="4">
        <v>6070.4</v>
      </c>
      <c r="P1043" s="4">
        <v>6070.4</v>
      </c>
      <c r="Q1043" s="6">
        <v>0</v>
      </c>
    </row>
    <row r="1044" spans="1:17" x14ac:dyDescent="0.25">
      <c r="A1044" s="2" t="s">
        <v>321</v>
      </c>
      <c r="B1044" s="2" t="s">
        <v>29</v>
      </c>
      <c r="C1044" s="2" t="s">
        <v>30</v>
      </c>
      <c r="D1044" s="2" t="s">
        <v>758</v>
      </c>
      <c r="E1044" s="2" t="s">
        <v>809</v>
      </c>
      <c r="F1044" s="2" t="s">
        <v>808</v>
      </c>
      <c r="G1044" s="3">
        <v>46136</v>
      </c>
      <c r="H1044" s="2" t="s">
        <v>753</v>
      </c>
      <c r="I1044" s="2" t="s">
        <v>755</v>
      </c>
      <c r="J1044" s="2" t="s">
        <v>754</v>
      </c>
      <c r="K1044" s="2" t="s">
        <v>753</v>
      </c>
      <c r="L1044" s="6">
        <v>56</v>
      </c>
      <c r="M1044" s="2" t="s">
        <v>752</v>
      </c>
      <c r="N1044" s="7">
        <v>39.53</v>
      </c>
      <c r="O1044" s="4">
        <v>2213.6799999999998</v>
      </c>
      <c r="P1044" s="4">
        <v>2213.6799999999998</v>
      </c>
      <c r="Q1044" s="6">
        <v>0</v>
      </c>
    </row>
    <row r="1045" spans="1:17" x14ac:dyDescent="0.25">
      <c r="A1045" s="2" t="s">
        <v>321</v>
      </c>
      <c r="B1045" s="2" t="s">
        <v>29</v>
      </c>
      <c r="C1045" s="2" t="s">
        <v>30</v>
      </c>
      <c r="D1045" s="2" t="s">
        <v>758</v>
      </c>
      <c r="E1045" s="2" t="s">
        <v>776</v>
      </c>
      <c r="F1045" s="2" t="s">
        <v>775</v>
      </c>
      <c r="G1045" s="3">
        <v>46136</v>
      </c>
      <c r="H1045" s="2" t="s">
        <v>753</v>
      </c>
      <c r="I1045" s="2" t="s">
        <v>755</v>
      </c>
      <c r="J1045" s="2" t="s">
        <v>754</v>
      </c>
      <c r="K1045" s="2" t="s">
        <v>753</v>
      </c>
      <c r="L1045" s="6">
        <v>40</v>
      </c>
      <c r="M1045" s="2" t="s">
        <v>752</v>
      </c>
      <c r="N1045" s="7">
        <v>41.2</v>
      </c>
      <c r="O1045" s="4">
        <v>1648</v>
      </c>
      <c r="P1045" s="4">
        <v>1648</v>
      </c>
      <c r="Q1045" s="6">
        <v>0</v>
      </c>
    </row>
    <row r="1046" spans="1:17" x14ac:dyDescent="0.25">
      <c r="A1046" s="2" t="s">
        <v>321</v>
      </c>
      <c r="B1046" s="2" t="s">
        <v>29</v>
      </c>
      <c r="C1046" s="2" t="s">
        <v>30</v>
      </c>
      <c r="D1046" s="2" t="s">
        <v>758</v>
      </c>
      <c r="E1046" s="2" t="s">
        <v>847</v>
      </c>
      <c r="F1046" s="2" t="s">
        <v>846</v>
      </c>
      <c r="G1046" s="3">
        <v>46136</v>
      </c>
      <c r="H1046" s="2" t="s">
        <v>753</v>
      </c>
      <c r="I1046" s="2" t="s">
        <v>755</v>
      </c>
      <c r="J1046" s="2" t="s">
        <v>754</v>
      </c>
      <c r="K1046" s="2" t="s">
        <v>753</v>
      </c>
      <c r="L1046" s="6">
        <v>28</v>
      </c>
      <c r="M1046" s="2" t="s">
        <v>752</v>
      </c>
      <c r="N1046" s="7">
        <v>38.19</v>
      </c>
      <c r="O1046" s="4">
        <v>1069.32</v>
      </c>
      <c r="P1046" s="4">
        <v>1069.32</v>
      </c>
      <c r="Q1046" s="6">
        <v>0</v>
      </c>
    </row>
    <row r="1047" spans="1:17" x14ac:dyDescent="0.25">
      <c r="A1047" s="2" t="s">
        <v>321</v>
      </c>
      <c r="B1047" s="2" t="s">
        <v>29</v>
      </c>
      <c r="C1047" s="2" t="s">
        <v>30</v>
      </c>
      <c r="D1047" s="2" t="s">
        <v>758</v>
      </c>
      <c r="E1047" s="2" t="s">
        <v>805</v>
      </c>
      <c r="F1047" s="2" t="s">
        <v>804</v>
      </c>
      <c r="G1047" s="3">
        <v>46136</v>
      </c>
      <c r="H1047" s="2" t="s">
        <v>753</v>
      </c>
      <c r="I1047" s="2" t="s">
        <v>755</v>
      </c>
      <c r="J1047" s="2" t="s">
        <v>754</v>
      </c>
      <c r="K1047" s="2" t="s">
        <v>753</v>
      </c>
      <c r="L1047" s="6">
        <v>20</v>
      </c>
      <c r="M1047" s="2" t="s">
        <v>752</v>
      </c>
      <c r="N1047" s="7">
        <v>41</v>
      </c>
      <c r="O1047" s="4">
        <v>820</v>
      </c>
      <c r="P1047" s="4">
        <v>820</v>
      </c>
      <c r="Q1047" s="6">
        <v>0</v>
      </c>
    </row>
    <row r="1048" spans="1:17" x14ac:dyDescent="0.25">
      <c r="A1048" s="2" t="s">
        <v>371</v>
      </c>
      <c r="B1048" s="2" t="s">
        <v>37</v>
      </c>
      <c r="C1048" s="2" t="s">
        <v>38</v>
      </c>
      <c r="D1048" s="2" t="s">
        <v>758</v>
      </c>
      <c r="E1048" s="2" t="s">
        <v>865</v>
      </c>
      <c r="F1048" s="2" t="s">
        <v>864</v>
      </c>
      <c r="G1048" s="3">
        <v>46128</v>
      </c>
      <c r="H1048" s="2" t="s">
        <v>753</v>
      </c>
      <c r="I1048" s="2" t="s">
        <v>755</v>
      </c>
      <c r="J1048" s="2" t="s">
        <v>754</v>
      </c>
      <c r="K1048" s="2" t="s">
        <v>753</v>
      </c>
      <c r="L1048" s="6">
        <v>84</v>
      </c>
      <c r="M1048" s="2" t="s">
        <v>752</v>
      </c>
      <c r="N1048" s="7">
        <v>37</v>
      </c>
      <c r="O1048" s="4">
        <v>3108</v>
      </c>
      <c r="P1048" s="4">
        <v>3108</v>
      </c>
      <c r="Q1048" s="6">
        <v>0</v>
      </c>
    </row>
    <row r="1049" spans="1:17" x14ac:dyDescent="0.25">
      <c r="A1049" s="2" t="s">
        <v>371</v>
      </c>
      <c r="B1049" s="2" t="s">
        <v>37</v>
      </c>
      <c r="C1049" s="2" t="s">
        <v>38</v>
      </c>
      <c r="D1049" s="2" t="s">
        <v>758</v>
      </c>
      <c r="E1049" s="2" t="s">
        <v>827</v>
      </c>
      <c r="F1049" s="2" t="s">
        <v>826</v>
      </c>
      <c r="G1049" s="3">
        <v>46128</v>
      </c>
      <c r="H1049" s="2" t="s">
        <v>753</v>
      </c>
      <c r="I1049" s="2" t="s">
        <v>755</v>
      </c>
      <c r="J1049" s="2" t="s">
        <v>754</v>
      </c>
      <c r="K1049" s="2" t="s">
        <v>753</v>
      </c>
      <c r="L1049" s="6">
        <v>56</v>
      </c>
      <c r="M1049" s="2" t="s">
        <v>752</v>
      </c>
      <c r="N1049" s="7">
        <v>42</v>
      </c>
      <c r="O1049" s="4">
        <v>2352</v>
      </c>
      <c r="P1049" s="4">
        <v>2352</v>
      </c>
      <c r="Q1049" s="6">
        <v>0</v>
      </c>
    </row>
    <row r="1050" spans="1:17" x14ac:dyDescent="0.25">
      <c r="A1050" s="2" t="s">
        <v>371</v>
      </c>
      <c r="B1050" s="2" t="s">
        <v>37</v>
      </c>
      <c r="C1050" s="2" t="s">
        <v>38</v>
      </c>
      <c r="D1050" s="2" t="s">
        <v>758</v>
      </c>
      <c r="E1050" s="2" t="s">
        <v>763</v>
      </c>
      <c r="F1050" s="2" t="s">
        <v>762</v>
      </c>
      <c r="G1050" s="3">
        <v>46128</v>
      </c>
      <c r="H1050" s="2" t="s">
        <v>753</v>
      </c>
      <c r="I1050" s="2" t="s">
        <v>755</v>
      </c>
      <c r="J1050" s="2" t="s">
        <v>754</v>
      </c>
      <c r="K1050" s="2" t="s">
        <v>753</v>
      </c>
      <c r="L1050" s="6">
        <v>168</v>
      </c>
      <c r="M1050" s="2" t="s">
        <v>752</v>
      </c>
      <c r="N1050" s="7">
        <v>42</v>
      </c>
      <c r="O1050" s="4">
        <v>7056</v>
      </c>
      <c r="P1050" s="4">
        <v>7056</v>
      </c>
      <c r="Q1050" s="6">
        <v>0</v>
      </c>
    </row>
    <row r="1051" spans="1:17" x14ac:dyDescent="0.25">
      <c r="A1051" s="2" t="s">
        <v>371</v>
      </c>
      <c r="B1051" s="2" t="s">
        <v>37</v>
      </c>
      <c r="C1051" s="2" t="s">
        <v>38</v>
      </c>
      <c r="D1051" s="2" t="s">
        <v>758</v>
      </c>
      <c r="E1051" s="2" t="s">
        <v>847</v>
      </c>
      <c r="F1051" s="2" t="s">
        <v>846</v>
      </c>
      <c r="G1051" s="3">
        <v>46128</v>
      </c>
      <c r="H1051" s="2" t="s">
        <v>753</v>
      </c>
      <c r="I1051" s="2" t="s">
        <v>755</v>
      </c>
      <c r="J1051" s="2" t="s">
        <v>754</v>
      </c>
      <c r="K1051" s="2" t="s">
        <v>753</v>
      </c>
      <c r="L1051" s="6">
        <v>252</v>
      </c>
      <c r="M1051" s="2" t="s">
        <v>752</v>
      </c>
      <c r="N1051" s="7">
        <v>38.08</v>
      </c>
      <c r="O1051" s="4">
        <v>9596.16</v>
      </c>
      <c r="P1051" s="4">
        <v>9596.16</v>
      </c>
      <c r="Q1051" s="6">
        <v>0</v>
      </c>
    </row>
    <row r="1052" spans="1:17" x14ac:dyDescent="0.25">
      <c r="A1052" s="2" t="s">
        <v>415</v>
      </c>
      <c r="B1052" s="2" t="s">
        <v>21</v>
      </c>
      <c r="C1052" s="2" t="s">
        <v>22</v>
      </c>
      <c r="D1052" s="2" t="s">
        <v>758</v>
      </c>
      <c r="E1052" s="2" t="s">
        <v>763</v>
      </c>
      <c r="F1052" s="2" t="s">
        <v>762</v>
      </c>
      <c r="G1052" s="3">
        <v>46115</v>
      </c>
      <c r="H1052" s="2" t="s">
        <v>753</v>
      </c>
      <c r="I1052" s="2" t="s">
        <v>755</v>
      </c>
      <c r="J1052" s="2" t="s">
        <v>754</v>
      </c>
      <c r="K1052" s="2" t="s">
        <v>753</v>
      </c>
      <c r="L1052" s="6">
        <v>336</v>
      </c>
      <c r="M1052" s="2" t="s">
        <v>752</v>
      </c>
      <c r="N1052" s="7">
        <v>42.6</v>
      </c>
      <c r="O1052" s="4">
        <v>14313.6</v>
      </c>
      <c r="P1052" s="4">
        <v>14313.6</v>
      </c>
      <c r="Q1052" s="6">
        <v>0</v>
      </c>
    </row>
    <row r="1053" spans="1:17" x14ac:dyDescent="0.25">
      <c r="A1053" s="2" t="s">
        <v>415</v>
      </c>
      <c r="B1053" s="2" t="s">
        <v>21</v>
      </c>
      <c r="C1053" s="2" t="s">
        <v>22</v>
      </c>
      <c r="D1053" s="2" t="s">
        <v>758</v>
      </c>
      <c r="E1053" s="2" t="s">
        <v>853</v>
      </c>
      <c r="F1053" s="2" t="s">
        <v>852</v>
      </c>
      <c r="G1053" s="3">
        <v>46115</v>
      </c>
      <c r="H1053" s="2" t="s">
        <v>753</v>
      </c>
      <c r="I1053" s="2" t="s">
        <v>755</v>
      </c>
      <c r="J1053" s="2" t="s">
        <v>754</v>
      </c>
      <c r="K1053" s="2" t="s">
        <v>753</v>
      </c>
      <c r="L1053" s="6">
        <v>4</v>
      </c>
      <c r="M1053" s="2" t="s">
        <v>752</v>
      </c>
      <c r="N1053" s="7">
        <v>64</v>
      </c>
      <c r="O1053" s="4">
        <v>256</v>
      </c>
      <c r="P1053" s="4">
        <v>256</v>
      </c>
      <c r="Q1053" s="6">
        <v>0</v>
      </c>
    </row>
    <row r="1054" spans="1:17" x14ac:dyDescent="0.25">
      <c r="A1054" s="2" t="s">
        <v>415</v>
      </c>
      <c r="B1054" s="2" t="s">
        <v>21</v>
      </c>
      <c r="C1054" s="2" t="s">
        <v>22</v>
      </c>
      <c r="D1054" s="2" t="s">
        <v>758</v>
      </c>
      <c r="E1054" s="2" t="s">
        <v>927</v>
      </c>
      <c r="F1054" s="2" t="s">
        <v>926</v>
      </c>
      <c r="G1054" s="3">
        <v>46115</v>
      </c>
      <c r="H1054" s="2" t="s">
        <v>753</v>
      </c>
      <c r="I1054" s="2" t="s">
        <v>755</v>
      </c>
      <c r="J1054" s="2" t="s">
        <v>754</v>
      </c>
      <c r="K1054" s="2" t="s">
        <v>753</v>
      </c>
      <c r="L1054" s="6">
        <v>15</v>
      </c>
      <c r="M1054" s="2" t="s">
        <v>752</v>
      </c>
      <c r="N1054" s="7">
        <v>46</v>
      </c>
      <c r="O1054" s="4">
        <v>690</v>
      </c>
      <c r="P1054" s="4">
        <v>690</v>
      </c>
      <c r="Q1054" s="6">
        <v>0</v>
      </c>
    </row>
    <row r="1055" spans="1:17" x14ac:dyDescent="0.25">
      <c r="A1055" s="2" t="s">
        <v>415</v>
      </c>
      <c r="B1055" s="2" t="s">
        <v>21</v>
      </c>
      <c r="C1055" s="2" t="s">
        <v>22</v>
      </c>
      <c r="D1055" s="2" t="s">
        <v>758</v>
      </c>
      <c r="E1055" s="2" t="s">
        <v>772</v>
      </c>
      <c r="F1055" s="2" t="s">
        <v>771</v>
      </c>
      <c r="G1055" s="3">
        <v>46115</v>
      </c>
      <c r="H1055" s="2" t="s">
        <v>753</v>
      </c>
      <c r="I1055" s="2" t="s">
        <v>755</v>
      </c>
      <c r="J1055" s="2" t="s">
        <v>754</v>
      </c>
      <c r="K1055" s="2" t="s">
        <v>753</v>
      </c>
      <c r="L1055" s="6">
        <v>54</v>
      </c>
      <c r="M1055" s="2" t="s">
        <v>752</v>
      </c>
      <c r="N1055" s="7">
        <v>34.5</v>
      </c>
      <c r="O1055" s="4">
        <v>1863</v>
      </c>
      <c r="P1055" s="4">
        <v>1863</v>
      </c>
      <c r="Q1055" s="6">
        <v>0</v>
      </c>
    </row>
    <row r="1056" spans="1:17" x14ac:dyDescent="0.25">
      <c r="A1056" s="2" t="s">
        <v>393</v>
      </c>
      <c r="B1056" s="2" t="s">
        <v>25</v>
      </c>
      <c r="C1056" s="2" t="s">
        <v>26</v>
      </c>
      <c r="D1056" s="2" t="s">
        <v>758</v>
      </c>
      <c r="E1056" s="2" t="s">
        <v>786</v>
      </c>
      <c r="F1056" s="2" t="s">
        <v>785</v>
      </c>
      <c r="G1056" s="3">
        <v>46120</v>
      </c>
      <c r="H1056" s="2" t="s">
        <v>753</v>
      </c>
      <c r="I1056" s="2" t="s">
        <v>755</v>
      </c>
      <c r="J1056" s="2" t="s">
        <v>754</v>
      </c>
      <c r="K1056" s="2" t="s">
        <v>753</v>
      </c>
      <c r="L1056" s="6">
        <v>32</v>
      </c>
      <c r="M1056" s="2" t="s">
        <v>752</v>
      </c>
      <c r="N1056" s="7">
        <v>39</v>
      </c>
      <c r="O1056" s="4">
        <v>1248</v>
      </c>
      <c r="P1056" s="4">
        <v>1248</v>
      </c>
      <c r="Q1056" s="6">
        <v>0</v>
      </c>
    </row>
    <row r="1057" spans="1:17" x14ac:dyDescent="0.25">
      <c r="A1057" s="2" t="s">
        <v>393</v>
      </c>
      <c r="B1057" s="2" t="s">
        <v>25</v>
      </c>
      <c r="C1057" s="2" t="s">
        <v>26</v>
      </c>
      <c r="D1057" s="2" t="s">
        <v>758</v>
      </c>
      <c r="E1057" s="2" t="s">
        <v>890</v>
      </c>
      <c r="F1057" s="2" t="s">
        <v>889</v>
      </c>
      <c r="G1057" s="3">
        <v>46120</v>
      </c>
      <c r="H1057" s="2" t="s">
        <v>753</v>
      </c>
      <c r="I1057" s="2" t="s">
        <v>755</v>
      </c>
      <c r="J1057" s="2" t="s">
        <v>754</v>
      </c>
      <c r="K1057" s="2" t="s">
        <v>753</v>
      </c>
      <c r="L1057" s="6">
        <v>16</v>
      </c>
      <c r="M1057" s="2" t="s">
        <v>752</v>
      </c>
      <c r="N1057" s="7">
        <v>46</v>
      </c>
      <c r="O1057" s="4">
        <v>736</v>
      </c>
      <c r="P1057" s="4">
        <v>736</v>
      </c>
      <c r="Q1057" s="6">
        <v>0</v>
      </c>
    </row>
    <row r="1058" spans="1:17" x14ac:dyDescent="0.25">
      <c r="A1058" s="2" t="s">
        <v>393</v>
      </c>
      <c r="B1058" s="2" t="s">
        <v>25</v>
      </c>
      <c r="C1058" s="2" t="s">
        <v>26</v>
      </c>
      <c r="D1058" s="2" t="s">
        <v>758</v>
      </c>
      <c r="E1058" s="2" t="s">
        <v>829</v>
      </c>
      <c r="F1058" s="2" t="s">
        <v>828</v>
      </c>
      <c r="G1058" s="3">
        <v>46120</v>
      </c>
      <c r="H1058" s="2" t="s">
        <v>753</v>
      </c>
      <c r="I1058" s="2" t="s">
        <v>755</v>
      </c>
      <c r="J1058" s="2" t="s">
        <v>754</v>
      </c>
      <c r="K1058" s="2" t="s">
        <v>753</v>
      </c>
      <c r="L1058" s="6">
        <v>16</v>
      </c>
      <c r="M1058" s="2" t="s">
        <v>752</v>
      </c>
      <c r="N1058" s="7">
        <v>40</v>
      </c>
      <c r="O1058" s="4">
        <v>640</v>
      </c>
      <c r="P1058" s="4">
        <v>640</v>
      </c>
      <c r="Q1058" s="6">
        <v>0</v>
      </c>
    </row>
    <row r="1059" spans="1:17" x14ac:dyDescent="0.25">
      <c r="A1059" s="2" t="s">
        <v>393</v>
      </c>
      <c r="B1059" s="2" t="s">
        <v>25</v>
      </c>
      <c r="C1059" s="2" t="s">
        <v>26</v>
      </c>
      <c r="D1059" s="2" t="s">
        <v>758</v>
      </c>
      <c r="E1059" s="2" t="s">
        <v>825</v>
      </c>
      <c r="F1059" s="2" t="s">
        <v>824</v>
      </c>
      <c r="G1059" s="3">
        <v>46120</v>
      </c>
      <c r="H1059" s="2" t="s">
        <v>753</v>
      </c>
      <c r="I1059" s="2" t="s">
        <v>755</v>
      </c>
      <c r="J1059" s="2" t="s">
        <v>754</v>
      </c>
      <c r="K1059" s="2" t="s">
        <v>753</v>
      </c>
      <c r="L1059" s="6">
        <v>8</v>
      </c>
      <c r="M1059" s="2" t="s">
        <v>752</v>
      </c>
      <c r="N1059" s="7">
        <v>47.2</v>
      </c>
      <c r="O1059" s="4">
        <v>377.6</v>
      </c>
      <c r="P1059" s="4">
        <v>377.6</v>
      </c>
      <c r="Q1059" s="6">
        <v>0</v>
      </c>
    </row>
    <row r="1060" spans="1:17" x14ac:dyDescent="0.25">
      <c r="A1060" s="2" t="s">
        <v>393</v>
      </c>
      <c r="B1060" s="2" t="s">
        <v>25</v>
      </c>
      <c r="C1060" s="2" t="s">
        <v>26</v>
      </c>
      <c r="D1060" s="2" t="s">
        <v>758</v>
      </c>
      <c r="E1060" s="2" t="s">
        <v>823</v>
      </c>
      <c r="F1060" s="2" t="s">
        <v>822</v>
      </c>
      <c r="G1060" s="3">
        <v>46120</v>
      </c>
      <c r="H1060" s="2" t="s">
        <v>753</v>
      </c>
      <c r="I1060" s="2" t="s">
        <v>755</v>
      </c>
      <c r="J1060" s="2" t="s">
        <v>754</v>
      </c>
      <c r="K1060" s="2" t="s">
        <v>753</v>
      </c>
      <c r="L1060" s="6">
        <v>24</v>
      </c>
      <c r="M1060" s="2" t="s">
        <v>752</v>
      </c>
      <c r="N1060" s="7">
        <v>52</v>
      </c>
      <c r="O1060" s="4">
        <v>1248</v>
      </c>
      <c r="P1060" s="4">
        <v>1248</v>
      </c>
      <c r="Q1060" s="6">
        <v>0</v>
      </c>
    </row>
    <row r="1061" spans="1:17" x14ac:dyDescent="0.25">
      <c r="A1061" s="2" t="s">
        <v>393</v>
      </c>
      <c r="B1061" s="2" t="s">
        <v>25</v>
      </c>
      <c r="C1061" s="2" t="s">
        <v>26</v>
      </c>
      <c r="D1061" s="2" t="s">
        <v>758</v>
      </c>
      <c r="E1061" s="2" t="s">
        <v>763</v>
      </c>
      <c r="F1061" s="2" t="s">
        <v>762</v>
      </c>
      <c r="G1061" s="3">
        <v>46120</v>
      </c>
      <c r="H1061" s="2" t="s">
        <v>753</v>
      </c>
      <c r="I1061" s="2" t="s">
        <v>755</v>
      </c>
      <c r="J1061" s="2" t="s">
        <v>754</v>
      </c>
      <c r="K1061" s="2" t="s">
        <v>753</v>
      </c>
      <c r="L1061" s="6">
        <v>24</v>
      </c>
      <c r="M1061" s="2" t="s">
        <v>752</v>
      </c>
      <c r="N1061" s="7">
        <v>43.5</v>
      </c>
      <c r="O1061" s="4">
        <v>1044</v>
      </c>
      <c r="P1061" s="4">
        <v>1044</v>
      </c>
      <c r="Q1061" s="6">
        <v>0</v>
      </c>
    </row>
    <row r="1062" spans="1:17" x14ac:dyDescent="0.25">
      <c r="A1062" s="2" t="s">
        <v>393</v>
      </c>
      <c r="B1062" s="2" t="s">
        <v>25</v>
      </c>
      <c r="C1062" s="2" t="s">
        <v>26</v>
      </c>
      <c r="D1062" s="2" t="s">
        <v>758</v>
      </c>
      <c r="E1062" s="2" t="s">
        <v>821</v>
      </c>
      <c r="F1062" s="2" t="s">
        <v>820</v>
      </c>
      <c r="G1062" s="3">
        <v>46120</v>
      </c>
      <c r="H1062" s="2" t="s">
        <v>753</v>
      </c>
      <c r="I1062" s="2" t="s">
        <v>755</v>
      </c>
      <c r="J1062" s="2" t="s">
        <v>754</v>
      </c>
      <c r="K1062" s="2" t="s">
        <v>753</v>
      </c>
      <c r="L1062" s="6">
        <v>16</v>
      </c>
      <c r="M1062" s="2" t="s">
        <v>752</v>
      </c>
      <c r="N1062" s="7">
        <v>52</v>
      </c>
      <c r="O1062" s="4">
        <v>832</v>
      </c>
      <c r="P1062" s="4">
        <v>832</v>
      </c>
      <c r="Q1062" s="6">
        <v>0</v>
      </c>
    </row>
    <row r="1063" spans="1:17" x14ac:dyDescent="0.25">
      <c r="A1063" s="2" t="s">
        <v>393</v>
      </c>
      <c r="B1063" s="2" t="s">
        <v>25</v>
      </c>
      <c r="C1063" s="2" t="s">
        <v>26</v>
      </c>
      <c r="D1063" s="2" t="s">
        <v>758</v>
      </c>
      <c r="E1063" s="2" t="s">
        <v>819</v>
      </c>
      <c r="F1063" s="2" t="s">
        <v>818</v>
      </c>
      <c r="G1063" s="3">
        <v>46120</v>
      </c>
      <c r="H1063" s="2" t="s">
        <v>753</v>
      </c>
      <c r="I1063" s="2" t="s">
        <v>755</v>
      </c>
      <c r="J1063" s="2" t="s">
        <v>754</v>
      </c>
      <c r="K1063" s="2" t="s">
        <v>753</v>
      </c>
      <c r="L1063" s="6">
        <v>16</v>
      </c>
      <c r="M1063" s="2" t="s">
        <v>752</v>
      </c>
      <c r="N1063" s="7">
        <v>38.25</v>
      </c>
      <c r="O1063" s="4">
        <v>612</v>
      </c>
      <c r="P1063" s="4">
        <v>612</v>
      </c>
      <c r="Q1063" s="6">
        <v>0</v>
      </c>
    </row>
    <row r="1064" spans="1:17" x14ac:dyDescent="0.25">
      <c r="A1064" s="2" t="s">
        <v>351</v>
      </c>
      <c r="B1064" s="2" t="s">
        <v>65</v>
      </c>
      <c r="C1064" s="2" t="s">
        <v>66</v>
      </c>
      <c r="D1064" s="2" t="s">
        <v>758</v>
      </c>
      <c r="E1064" s="2" t="s">
        <v>763</v>
      </c>
      <c r="F1064" s="2" t="s">
        <v>762</v>
      </c>
      <c r="G1064" s="3">
        <v>46133</v>
      </c>
      <c r="H1064" s="2" t="s">
        <v>770</v>
      </c>
      <c r="I1064" s="2" t="s">
        <v>755</v>
      </c>
      <c r="J1064" s="2" t="s">
        <v>754</v>
      </c>
      <c r="K1064" s="2" t="s">
        <v>753</v>
      </c>
      <c r="L1064" s="6">
        <v>560</v>
      </c>
      <c r="M1064" s="2" t="s">
        <v>752</v>
      </c>
      <c r="N1064" s="7">
        <v>42.6</v>
      </c>
      <c r="O1064" s="4">
        <v>23856</v>
      </c>
      <c r="P1064" s="4">
        <v>23856</v>
      </c>
      <c r="Q1064" s="6">
        <v>0</v>
      </c>
    </row>
    <row r="1065" spans="1:17" x14ac:dyDescent="0.25">
      <c r="A1065" s="2" t="s">
        <v>351</v>
      </c>
      <c r="B1065" s="2" t="s">
        <v>65</v>
      </c>
      <c r="C1065" s="2" t="s">
        <v>66</v>
      </c>
      <c r="D1065" s="2" t="s">
        <v>758</v>
      </c>
      <c r="E1065" s="2" t="s">
        <v>772</v>
      </c>
      <c r="F1065" s="2" t="s">
        <v>771</v>
      </c>
      <c r="G1065" s="3">
        <v>46133</v>
      </c>
      <c r="H1065" s="2" t="s">
        <v>770</v>
      </c>
      <c r="I1065" s="2" t="s">
        <v>755</v>
      </c>
      <c r="J1065" s="2" t="s">
        <v>754</v>
      </c>
      <c r="K1065" s="2" t="s">
        <v>753</v>
      </c>
      <c r="L1065" s="6">
        <v>224</v>
      </c>
      <c r="M1065" s="2" t="s">
        <v>752</v>
      </c>
      <c r="N1065" s="7">
        <v>34.5</v>
      </c>
      <c r="O1065" s="4">
        <v>7728</v>
      </c>
      <c r="P1065" s="4">
        <v>7728</v>
      </c>
      <c r="Q1065" s="6">
        <v>0</v>
      </c>
    </row>
    <row r="1066" spans="1:17" x14ac:dyDescent="0.25">
      <c r="A1066" s="2" t="s">
        <v>314</v>
      </c>
      <c r="B1066" s="2" t="s">
        <v>65</v>
      </c>
      <c r="C1066" s="2" t="s">
        <v>66</v>
      </c>
      <c r="D1066" s="2" t="s">
        <v>758</v>
      </c>
      <c r="E1066" s="2" t="s">
        <v>763</v>
      </c>
      <c r="F1066" s="2" t="s">
        <v>762</v>
      </c>
      <c r="G1066" s="3">
        <v>46140</v>
      </c>
      <c r="H1066" s="2" t="s">
        <v>770</v>
      </c>
      <c r="I1066" s="2" t="s">
        <v>755</v>
      </c>
      <c r="J1066" s="2" t="s">
        <v>754</v>
      </c>
      <c r="K1066" s="2" t="s">
        <v>753</v>
      </c>
      <c r="L1066" s="6">
        <v>756</v>
      </c>
      <c r="M1066" s="2" t="s">
        <v>752</v>
      </c>
      <c r="N1066" s="7">
        <v>42.6</v>
      </c>
      <c r="O1066" s="4">
        <v>32205.599999999999</v>
      </c>
      <c r="P1066" s="4">
        <v>32205.599999999999</v>
      </c>
      <c r="Q1066" s="6">
        <v>0</v>
      </c>
    </row>
    <row r="1067" spans="1:17" x14ac:dyDescent="0.25">
      <c r="A1067" s="2" t="s">
        <v>314</v>
      </c>
      <c r="B1067" s="2" t="s">
        <v>65</v>
      </c>
      <c r="C1067" s="2" t="s">
        <v>66</v>
      </c>
      <c r="D1067" s="2" t="s">
        <v>758</v>
      </c>
      <c r="E1067" s="2" t="s">
        <v>772</v>
      </c>
      <c r="F1067" s="2" t="s">
        <v>771</v>
      </c>
      <c r="G1067" s="3">
        <v>46140</v>
      </c>
      <c r="H1067" s="2" t="s">
        <v>770</v>
      </c>
      <c r="I1067" s="2" t="s">
        <v>755</v>
      </c>
      <c r="J1067" s="2" t="s">
        <v>754</v>
      </c>
      <c r="K1067" s="2" t="s">
        <v>753</v>
      </c>
      <c r="L1067" s="6">
        <v>84</v>
      </c>
      <c r="M1067" s="2" t="s">
        <v>752</v>
      </c>
      <c r="N1067" s="7">
        <v>34.5</v>
      </c>
      <c r="O1067" s="4">
        <v>2898</v>
      </c>
      <c r="P1067" s="4">
        <v>2898</v>
      </c>
      <c r="Q1067" s="6">
        <v>0</v>
      </c>
    </row>
    <row r="1068" spans="1:17" x14ac:dyDescent="0.25">
      <c r="A1068" s="2" t="s">
        <v>377</v>
      </c>
      <c r="B1068" s="2" t="s">
        <v>65</v>
      </c>
      <c r="C1068" s="2" t="s">
        <v>66</v>
      </c>
      <c r="D1068" s="2" t="s">
        <v>758</v>
      </c>
      <c r="E1068" s="2" t="s">
        <v>763</v>
      </c>
      <c r="F1068" s="2" t="s">
        <v>762</v>
      </c>
      <c r="G1068" s="3">
        <v>46126</v>
      </c>
      <c r="H1068" s="2" t="s">
        <v>770</v>
      </c>
      <c r="I1068" s="2" t="s">
        <v>755</v>
      </c>
      <c r="J1068" s="2" t="s">
        <v>754</v>
      </c>
      <c r="K1068" s="2" t="s">
        <v>753</v>
      </c>
      <c r="L1068" s="6">
        <v>476</v>
      </c>
      <c r="M1068" s="2" t="s">
        <v>752</v>
      </c>
      <c r="N1068" s="7">
        <v>42.6</v>
      </c>
      <c r="O1068" s="4">
        <v>20277.599999999999</v>
      </c>
      <c r="P1068" s="4">
        <v>20277.599999999999</v>
      </c>
      <c r="Q1068" s="6">
        <v>0</v>
      </c>
    </row>
    <row r="1069" spans="1:17" x14ac:dyDescent="0.25">
      <c r="A1069" s="2" t="s">
        <v>377</v>
      </c>
      <c r="B1069" s="2" t="s">
        <v>65</v>
      </c>
      <c r="C1069" s="2" t="s">
        <v>66</v>
      </c>
      <c r="D1069" s="2" t="s">
        <v>758</v>
      </c>
      <c r="E1069" s="2" t="s">
        <v>790</v>
      </c>
      <c r="F1069" s="2" t="s">
        <v>789</v>
      </c>
      <c r="G1069" s="3">
        <v>46126</v>
      </c>
      <c r="H1069" s="2" t="s">
        <v>770</v>
      </c>
      <c r="I1069" s="2" t="s">
        <v>755</v>
      </c>
      <c r="J1069" s="2" t="s">
        <v>754</v>
      </c>
      <c r="K1069" s="2" t="s">
        <v>753</v>
      </c>
      <c r="L1069" s="6">
        <v>84</v>
      </c>
      <c r="M1069" s="2" t="s">
        <v>752</v>
      </c>
      <c r="N1069" s="7">
        <v>39.25</v>
      </c>
      <c r="O1069" s="4">
        <v>3297</v>
      </c>
      <c r="P1069" s="4">
        <v>3297</v>
      </c>
      <c r="Q1069" s="6">
        <v>0</v>
      </c>
    </row>
    <row r="1070" spans="1:17" x14ac:dyDescent="0.25">
      <c r="A1070" s="2" t="s">
        <v>377</v>
      </c>
      <c r="B1070" s="2" t="s">
        <v>65</v>
      </c>
      <c r="C1070" s="2" t="s">
        <v>66</v>
      </c>
      <c r="D1070" s="2" t="s">
        <v>758</v>
      </c>
      <c r="E1070" s="2" t="s">
        <v>772</v>
      </c>
      <c r="F1070" s="2" t="s">
        <v>771</v>
      </c>
      <c r="G1070" s="3">
        <v>46126</v>
      </c>
      <c r="H1070" s="2" t="s">
        <v>770</v>
      </c>
      <c r="I1070" s="2" t="s">
        <v>755</v>
      </c>
      <c r="J1070" s="2" t="s">
        <v>754</v>
      </c>
      <c r="K1070" s="2" t="s">
        <v>753</v>
      </c>
      <c r="L1070" s="6">
        <v>260</v>
      </c>
      <c r="M1070" s="2" t="s">
        <v>752</v>
      </c>
      <c r="N1070" s="7">
        <v>34.5</v>
      </c>
      <c r="O1070" s="4">
        <v>8970</v>
      </c>
      <c r="P1070" s="4">
        <v>8970</v>
      </c>
      <c r="Q1070" s="6">
        <v>0</v>
      </c>
    </row>
    <row r="1071" spans="1:17" x14ac:dyDescent="0.25">
      <c r="A1071" s="2" t="s">
        <v>377</v>
      </c>
      <c r="B1071" s="2" t="s">
        <v>65</v>
      </c>
      <c r="C1071" s="2" t="s">
        <v>66</v>
      </c>
      <c r="D1071" s="2" t="s">
        <v>758</v>
      </c>
      <c r="E1071" s="2" t="s">
        <v>786</v>
      </c>
      <c r="F1071" s="2" t="s">
        <v>785</v>
      </c>
      <c r="G1071" s="3">
        <v>46126</v>
      </c>
      <c r="H1071" s="2" t="s">
        <v>770</v>
      </c>
      <c r="I1071" s="2" t="s">
        <v>755</v>
      </c>
      <c r="J1071" s="2" t="s">
        <v>754</v>
      </c>
      <c r="K1071" s="2" t="s">
        <v>753</v>
      </c>
      <c r="L1071" s="6">
        <v>17</v>
      </c>
      <c r="M1071" s="2" t="s">
        <v>752</v>
      </c>
      <c r="N1071" s="7">
        <v>35</v>
      </c>
      <c r="O1071" s="4">
        <v>595</v>
      </c>
      <c r="P1071" s="4">
        <v>595</v>
      </c>
      <c r="Q1071" s="6">
        <v>0</v>
      </c>
    </row>
    <row r="1072" spans="1:17" x14ac:dyDescent="0.25">
      <c r="A1072" s="2" t="s">
        <v>375</v>
      </c>
      <c r="B1072" s="2" t="s">
        <v>81</v>
      </c>
      <c r="C1072" s="2" t="s">
        <v>82</v>
      </c>
      <c r="D1072" s="2" t="s">
        <v>758</v>
      </c>
      <c r="E1072" s="2" t="s">
        <v>763</v>
      </c>
      <c r="F1072" s="2" t="s">
        <v>762</v>
      </c>
      <c r="G1072" s="3">
        <v>46126</v>
      </c>
      <c r="H1072" s="2" t="s">
        <v>753</v>
      </c>
      <c r="I1072" s="2" t="s">
        <v>755</v>
      </c>
      <c r="J1072" s="2" t="s">
        <v>754</v>
      </c>
      <c r="K1072" s="2" t="s">
        <v>753</v>
      </c>
      <c r="L1072" s="6">
        <v>840</v>
      </c>
      <c r="M1072" s="2" t="s">
        <v>752</v>
      </c>
      <c r="N1072" s="7">
        <v>46</v>
      </c>
      <c r="O1072" s="4">
        <v>38640</v>
      </c>
      <c r="P1072" s="4">
        <v>38640</v>
      </c>
      <c r="Q1072" s="6">
        <v>0</v>
      </c>
    </row>
    <row r="1073" spans="1:17" x14ac:dyDescent="0.25">
      <c r="A1073" s="2" t="s">
        <v>339</v>
      </c>
      <c r="B1073" s="2" t="s">
        <v>135</v>
      </c>
      <c r="C1073" s="2" t="s">
        <v>136</v>
      </c>
      <c r="D1073" s="2" t="s">
        <v>758</v>
      </c>
      <c r="E1073" s="2" t="s">
        <v>813</v>
      </c>
      <c r="F1073" s="2" t="s">
        <v>812</v>
      </c>
      <c r="G1073" s="3">
        <v>46134</v>
      </c>
      <c r="H1073" s="2" t="s">
        <v>753</v>
      </c>
      <c r="I1073" s="2" t="s">
        <v>755</v>
      </c>
      <c r="J1073" s="2" t="s">
        <v>754</v>
      </c>
      <c r="K1073" s="2" t="s">
        <v>753</v>
      </c>
      <c r="L1073" s="6">
        <v>28</v>
      </c>
      <c r="M1073" s="2" t="s">
        <v>752</v>
      </c>
      <c r="N1073" s="7">
        <v>46.25</v>
      </c>
      <c r="O1073" s="4">
        <v>1295</v>
      </c>
      <c r="P1073" s="4">
        <v>1295</v>
      </c>
      <c r="Q1073" s="6">
        <v>0</v>
      </c>
    </row>
    <row r="1074" spans="1:17" x14ac:dyDescent="0.25">
      <c r="A1074" s="2" t="s">
        <v>339</v>
      </c>
      <c r="B1074" s="2" t="s">
        <v>135</v>
      </c>
      <c r="C1074" s="2" t="s">
        <v>136</v>
      </c>
      <c r="D1074" s="2" t="s">
        <v>758</v>
      </c>
      <c r="E1074" s="2" t="s">
        <v>763</v>
      </c>
      <c r="F1074" s="2" t="s">
        <v>762</v>
      </c>
      <c r="G1074" s="3">
        <v>46134</v>
      </c>
      <c r="H1074" s="2" t="s">
        <v>753</v>
      </c>
      <c r="I1074" s="2" t="s">
        <v>755</v>
      </c>
      <c r="J1074" s="2" t="s">
        <v>754</v>
      </c>
      <c r="K1074" s="2" t="s">
        <v>753</v>
      </c>
      <c r="L1074" s="6">
        <v>168</v>
      </c>
      <c r="M1074" s="2" t="s">
        <v>752</v>
      </c>
      <c r="N1074" s="7">
        <v>42</v>
      </c>
      <c r="O1074" s="4">
        <v>7056</v>
      </c>
      <c r="P1074" s="4">
        <v>7056</v>
      </c>
      <c r="Q1074" s="6">
        <v>0</v>
      </c>
    </row>
    <row r="1075" spans="1:17" x14ac:dyDescent="0.25">
      <c r="A1075" s="2" t="s">
        <v>339</v>
      </c>
      <c r="B1075" s="2" t="s">
        <v>135</v>
      </c>
      <c r="C1075" s="2" t="s">
        <v>136</v>
      </c>
      <c r="D1075" s="2" t="s">
        <v>758</v>
      </c>
      <c r="E1075" s="2" t="s">
        <v>788</v>
      </c>
      <c r="F1075" s="2" t="s">
        <v>787</v>
      </c>
      <c r="G1075" s="3">
        <v>46134</v>
      </c>
      <c r="H1075" s="2" t="s">
        <v>753</v>
      </c>
      <c r="I1075" s="2" t="s">
        <v>755</v>
      </c>
      <c r="J1075" s="2" t="s">
        <v>754</v>
      </c>
      <c r="K1075" s="2" t="s">
        <v>753</v>
      </c>
      <c r="L1075" s="6">
        <v>252</v>
      </c>
      <c r="M1075" s="2" t="s">
        <v>752</v>
      </c>
      <c r="N1075" s="7">
        <v>38.299999999999997</v>
      </c>
      <c r="O1075" s="4">
        <v>9651.6</v>
      </c>
      <c r="P1075" s="4">
        <v>9651.6</v>
      </c>
      <c r="Q1075" s="6">
        <v>0</v>
      </c>
    </row>
    <row r="1076" spans="1:17" x14ac:dyDescent="0.25">
      <c r="A1076" s="2" t="s">
        <v>339</v>
      </c>
      <c r="B1076" s="2" t="s">
        <v>135</v>
      </c>
      <c r="C1076" s="2" t="s">
        <v>136</v>
      </c>
      <c r="D1076" s="2" t="s">
        <v>758</v>
      </c>
      <c r="E1076" s="2" t="s">
        <v>894</v>
      </c>
      <c r="F1076" s="2" t="s">
        <v>893</v>
      </c>
      <c r="G1076" s="3">
        <v>46134</v>
      </c>
      <c r="H1076" s="2" t="s">
        <v>753</v>
      </c>
      <c r="I1076" s="2" t="s">
        <v>755</v>
      </c>
      <c r="J1076" s="2" t="s">
        <v>754</v>
      </c>
      <c r="K1076" s="2" t="s">
        <v>753</v>
      </c>
      <c r="L1076" s="6">
        <v>12</v>
      </c>
      <c r="M1076" s="2" t="s">
        <v>752</v>
      </c>
      <c r="N1076" s="7">
        <v>33.25</v>
      </c>
      <c r="O1076" s="4">
        <v>399</v>
      </c>
      <c r="P1076" s="4">
        <v>399</v>
      </c>
      <c r="Q1076" s="6">
        <v>0</v>
      </c>
    </row>
    <row r="1077" spans="1:17" x14ac:dyDescent="0.25">
      <c r="A1077" s="2" t="s">
        <v>339</v>
      </c>
      <c r="B1077" s="2" t="s">
        <v>135</v>
      </c>
      <c r="C1077" s="2" t="s">
        <v>136</v>
      </c>
      <c r="D1077" s="2" t="s">
        <v>758</v>
      </c>
      <c r="E1077" s="2" t="s">
        <v>925</v>
      </c>
      <c r="F1077" s="2" t="s">
        <v>924</v>
      </c>
      <c r="G1077" s="3">
        <v>46134</v>
      </c>
      <c r="H1077" s="2" t="s">
        <v>753</v>
      </c>
      <c r="I1077" s="2" t="s">
        <v>755</v>
      </c>
      <c r="J1077" s="2" t="s">
        <v>754</v>
      </c>
      <c r="K1077" s="2" t="s">
        <v>753</v>
      </c>
      <c r="L1077" s="6">
        <v>108</v>
      </c>
      <c r="M1077" s="2" t="s">
        <v>752</v>
      </c>
      <c r="N1077" s="7">
        <v>35.75</v>
      </c>
      <c r="O1077" s="4">
        <v>3861</v>
      </c>
      <c r="P1077" s="4">
        <v>3861</v>
      </c>
      <c r="Q1077" s="6">
        <v>0</v>
      </c>
    </row>
    <row r="1078" spans="1:17" x14ac:dyDescent="0.25">
      <c r="A1078" s="2" t="s">
        <v>339</v>
      </c>
      <c r="B1078" s="2" t="s">
        <v>135</v>
      </c>
      <c r="C1078" s="2" t="s">
        <v>136</v>
      </c>
      <c r="D1078" s="2" t="s">
        <v>758</v>
      </c>
      <c r="E1078" s="2" t="s">
        <v>766</v>
      </c>
      <c r="F1078" s="2" t="s">
        <v>765</v>
      </c>
      <c r="G1078" s="3">
        <v>46134</v>
      </c>
      <c r="H1078" s="2" t="s">
        <v>753</v>
      </c>
      <c r="I1078" s="2" t="s">
        <v>755</v>
      </c>
      <c r="J1078" s="2" t="s">
        <v>754</v>
      </c>
      <c r="K1078" s="2" t="s">
        <v>753</v>
      </c>
      <c r="L1078" s="6">
        <v>56</v>
      </c>
      <c r="M1078" s="2" t="s">
        <v>752</v>
      </c>
      <c r="N1078" s="7">
        <v>40</v>
      </c>
      <c r="O1078" s="4">
        <v>2240</v>
      </c>
      <c r="P1078" s="4">
        <v>2240</v>
      </c>
      <c r="Q1078" s="6">
        <v>0</v>
      </c>
    </row>
    <row r="1079" spans="1:17" x14ac:dyDescent="0.25">
      <c r="A1079" s="2" t="s">
        <v>373</v>
      </c>
      <c r="B1079" s="2" t="s">
        <v>103</v>
      </c>
      <c r="C1079" s="2" t="s">
        <v>104</v>
      </c>
      <c r="D1079" s="2" t="s">
        <v>758</v>
      </c>
      <c r="E1079" s="2" t="s">
        <v>958</v>
      </c>
      <c r="F1079" s="2" t="s">
        <v>957</v>
      </c>
      <c r="G1079" s="3">
        <v>46126</v>
      </c>
      <c r="H1079" s="2" t="s">
        <v>753</v>
      </c>
      <c r="I1079" s="2" t="s">
        <v>755</v>
      </c>
      <c r="J1079" s="2" t="s">
        <v>754</v>
      </c>
      <c r="K1079" s="2" t="s">
        <v>753</v>
      </c>
      <c r="L1079" s="6">
        <v>28</v>
      </c>
      <c r="M1079" s="2" t="s">
        <v>752</v>
      </c>
      <c r="N1079" s="7">
        <v>40.6</v>
      </c>
      <c r="O1079" s="4">
        <v>1136.8</v>
      </c>
      <c r="P1079" s="4">
        <v>1136.8</v>
      </c>
      <c r="Q1079" s="6">
        <v>0</v>
      </c>
    </row>
    <row r="1080" spans="1:17" x14ac:dyDescent="0.25">
      <c r="A1080" s="2" t="s">
        <v>373</v>
      </c>
      <c r="B1080" s="2" t="s">
        <v>103</v>
      </c>
      <c r="C1080" s="2" t="s">
        <v>104</v>
      </c>
      <c r="D1080" s="2" t="s">
        <v>758</v>
      </c>
      <c r="E1080" s="2" t="s">
        <v>859</v>
      </c>
      <c r="F1080" s="2" t="s">
        <v>858</v>
      </c>
      <c r="G1080" s="3">
        <v>46126</v>
      </c>
      <c r="H1080" s="2" t="s">
        <v>753</v>
      </c>
      <c r="I1080" s="2" t="s">
        <v>755</v>
      </c>
      <c r="J1080" s="2" t="s">
        <v>754</v>
      </c>
      <c r="K1080" s="2" t="s">
        <v>753</v>
      </c>
      <c r="L1080" s="6">
        <v>308</v>
      </c>
      <c r="M1080" s="2" t="s">
        <v>752</v>
      </c>
      <c r="N1080" s="7">
        <v>33.42</v>
      </c>
      <c r="O1080" s="4">
        <v>10293.36</v>
      </c>
      <c r="P1080" s="4">
        <v>10293.36</v>
      </c>
      <c r="Q1080" s="6">
        <v>0</v>
      </c>
    </row>
    <row r="1081" spans="1:17" x14ac:dyDescent="0.25">
      <c r="A1081" s="2" t="s">
        <v>348</v>
      </c>
      <c r="B1081" s="2" t="s">
        <v>49</v>
      </c>
      <c r="C1081" s="2" t="s">
        <v>50</v>
      </c>
      <c r="D1081" s="2" t="s">
        <v>758</v>
      </c>
      <c r="E1081" s="2" t="s">
        <v>871</v>
      </c>
      <c r="F1081" s="2" t="s">
        <v>870</v>
      </c>
      <c r="G1081" s="3">
        <v>46133</v>
      </c>
      <c r="H1081" s="2" t="s">
        <v>753</v>
      </c>
      <c r="I1081" s="2" t="s">
        <v>755</v>
      </c>
      <c r="J1081" s="2" t="s">
        <v>754</v>
      </c>
      <c r="K1081" s="2" t="s">
        <v>753</v>
      </c>
      <c r="L1081" s="6">
        <v>20</v>
      </c>
      <c r="M1081" s="2" t="s">
        <v>752</v>
      </c>
      <c r="N1081" s="7">
        <v>37.5</v>
      </c>
      <c r="O1081" s="4">
        <v>750</v>
      </c>
      <c r="P1081" s="4">
        <v>750</v>
      </c>
      <c r="Q1081" s="6">
        <v>0</v>
      </c>
    </row>
    <row r="1082" spans="1:17" x14ac:dyDescent="0.25">
      <c r="A1082" s="2" t="s">
        <v>348</v>
      </c>
      <c r="B1082" s="2" t="s">
        <v>49</v>
      </c>
      <c r="C1082" s="2" t="s">
        <v>50</v>
      </c>
      <c r="D1082" s="2" t="s">
        <v>758</v>
      </c>
      <c r="E1082" s="2" t="s">
        <v>875</v>
      </c>
      <c r="F1082" s="2" t="s">
        <v>874</v>
      </c>
      <c r="G1082" s="3">
        <v>46133</v>
      </c>
      <c r="H1082" s="2" t="s">
        <v>753</v>
      </c>
      <c r="I1082" s="2" t="s">
        <v>755</v>
      </c>
      <c r="J1082" s="2" t="s">
        <v>754</v>
      </c>
      <c r="K1082" s="2" t="s">
        <v>753</v>
      </c>
      <c r="L1082" s="6">
        <v>32</v>
      </c>
      <c r="M1082" s="2" t="s">
        <v>752</v>
      </c>
      <c r="N1082" s="7">
        <v>34.5</v>
      </c>
      <c r="O1082" s="4">
        <v>1104</v>
      </c>
      <c r="P1082" s="4">
        <v>1104</v>
      </c>
      <c r="Q1082" s="6">
        <v>0</v>
      </c>
    </row>
    <row r="1083" spans="1:17" x14ac:dyDescent="0.25">
      <c r="A1083" s="2" t="s">
        <v>971</v>
      </c>
      <c r="B1083" s="2" t="s">
        <v>760</v>
      </c>
      <c r="C1083" s="2" t="s">
        <v>759</v>
      </c>
      <c r="D1083" s="2" t="s">
        <v>758</v>
      </c>
      <c r="E1083" s="2" t="s">
        <v>778</v>
      </c>
      <c r="F1083" s="2" t="s">
        <v>777</v>
      </c>
      <c r="G1083" s="3">
        <v>46125</v>
      </c>
      <c r="H1083" s="2" t="s">
        <v>753</v>
      </c>
      <c r="I1083" s="2" t="s">
        <v>755</v>
      </c>
      <c r="J1083" s="2" t="s">
        <v>754</v>
      </c>
      <c r="K1083" s="2" t="s">
        <v>753</v>
      </c>
      <c r="L1083" s="6">
        <v>15</v>
      </c>
      <c r="M1083" s="2" t="s">
        <v>752</v>
      </c>
      <c r="N1083" s="7">
        <v>0</v>
      </c>
      <c r="O1083" s="4">
        <v>0</v>
      </c>
      <c r="P1083" s="4">
        <v>0</v>
      </c>
      <c r="Q1083" s="6">
        <v>0</v>
      </c>
    </row>
    <row r="1084" spans="1:17" x14ac:dyDescent="0.25">
      <c r="A1084" s="2" t="s">
        <v>971</v>
      </c>
      <c r="B1084" s="2" t="s">
        <v>760</v>
      </c>
      <c r="C1084" s="2" t="s">
        <v>759</v>
      </c>
      <c r="D1084" s="2" t="s">
        <v>758</v>
      </c>
      <c r="E1084" s="2" t="s">
        <v>796</v>
      </c>
      <c r="F1084" s="2" t="s">
        <v>795</v>
      </c>
      <c r="G1084" s="3">
        <v>46125</v>
      </c>
      <c r="H1084" s="2" t="s">
        <v>753</v>
      </c>
      <c r="I1084" s="2" t="s">
        <v>755</v>
      </c>
      <c r="J1084" s="2" t="s">
        <v>754</v>
      </c>
      <c r="K1084" s="2" t="s">
        <v>753</v>
      </c>
      <c r="L1084" s="6">
        <v>1</v>
      </c>
      <c r="M1084" s="2" t="s">
        <v>752</v>
      </c>
      <c r="N1084" s="7">
        <v>0</v>
      </c>
      <c r="O1084" s="4">
        <v>0</v>
      </c>
      <c r="P1084" s="4">
        <v>0</v>
      </c>
      <c r="Q1084" s="6">
        <v>0</v>
      </c>
    </row>
    <row r="1085" spans="1:17" x14ac:dyDescent="0.25">
      <c r="A1085" s="2" t="s">
        <v>971</v>
      </c>
      <c r="B1085" s="2" t="s">
        <v>760</v>
      </c>
      <c r="C1085" s="2" t="s">
        <v>759</v>
      </c>
      <c r="D1085" s="2" t="s">
        <v>758</v>
      </c>
      <c r="E1085" s="2" t="s">
        <v>798</v>
      </c>
      <c r="F1085" s="2" t="s">
        <v>797</v>
      </c>
      <c r="G1085" s="3">
        <v>46125</v>
      </c>
      <c r="H1085" s="2" t="s">
        <v>753</v>
      </c>
      <c r="I1085" s="2" t="s">
        <v>755</v>
      </c>
      <c r="J1085" s="2" t="s">
        <v>754</v>
      </c>
      <c r="K1085" s="2" t="s">
        <v>753</v>
      </c>
      <c r="L1085" s="6">
        <v>1</v>
      </c>
      <c r="M1085" s="2" t="s">
        <v>752</v>
      </c>
      <c r="N1085" s="7">
        <v>0</v>
      </c>
      <c r="O1085" s="4">
        <v>0</v>
      </c>
      <c r="P1085" s="4">
        <v>0</v>
      </c>
      <c r="Q1085" s="6">
        <v>0</v>
      </c>
    </row>
    <row r="1086" spans="1:17" x14ac:dyDescent="0.25">
      <c r="A1086" s="2" t="s">
        <v>369</v>
      </c>
      <c r="B1086" s="2" t="s">
        <v>29</v>
      </c>
      <c r="C1086" s="2" t="s">
        <v>30</v>
      </c>
      <c r="D1086" s="2" t="s">
        <v>758</v>
      </c>
      <c r="E1086" s="2" t="s">
        <v>817</v>
      </c>
      <c r="F1086" s="2" t="s">
        <v>937</v>
      </c>
      <c r="G1086" s="3">
        <v>46128</v>
      </c>
      <c r="H1086" s="2" t="s">
        <v>753</v>
      </c>
      <c r="I1086" s="2" t="s">
        <v>755</v>
      </c>
      <c r="J1086" s="2" t="s">
        <v>754</v>
      </c>
      <c r="K1086" s="2" t="s">
        <v>753</v>
      </c>
      <c r="L1086" s="6">
        <v>28</v>
      </c>
      <c r="M1086" s="2" t="s">
        <v>752</v>
      </c>
      <c r="N1086" s="7">
        <v>31.42</v>
      </c>
      <c r="O1086" s="4">
        <v>879.76</v>
      </c>
      <c r="P1086" s="4">
        <v>879.76</v>
      </c>
      <c r="Q1086" s="6">
        <v>0</v>
      </c>
    </row>
    <row r="1087" spans="1:17" x14ac:dyDescent="0.25">
      <c r="A1087" s="2" t="s">
        <v>369</v>
      </c>
      <c r="B1087" s="2" t="s">
        <v>29</v>
      </c>
      <c r="C1087" s="2" t="s">
        <v>30</v>
      </c>
      <c r="D1087" s="2" t="s">
        <v>758</v>
      </c>
      <c r="E1087" s="2" t="s">
        <v>813</v>
      </c>
      <c r="F1087" s="2" t="s">
        <v>812</v>
      </c>
      <c r="G1087" s="3">
        <v>46128</v>
      </c>
      <c r="H1087" s="2" t="s">
        <v>753</v>
      </c>
      <c r="I1087" s="2" t="s">
        <v>755</v>
      </c>
      <c r="J1087" s="2" t="s">
        <v>754</v>
      </c>
      <c r="K1087" s="2" t="s">
        <v>753</v>
      </c>
      <c r="L1087" s="6">
        <v>12</v>
      </c>
      <c r="M1087" s="2" t="s">
        <v>752</v>
      </c>
      <c r="N1087" s="7">
        <v>43.26</v>
      </c>
      <c r="O1087" s="4">
        <v>519.12</v>
      </c>
      <c r="P1087" s="4">
        <v>519.12</v>
      </c>
      <c r="Q1087" s="6">
        <v>0</v>
      </c>
    </row>
    <row r="1088" spans="1:17" x14ac:dyDescent="0.25">
      <c r="A1088" s="2" t="s">
        <v>369</v>
      </c>
      <c r="B1088" s="2" t="s">
        <v>29</v>
      </c>
      <c r="C1088" s="2" t="s">
        <v>30</v>
      </c>
      <c r="D1088" s="2" t="s">
        <v>758</v>
      </c>
      <c r="E1088" s="2" t="s">
        <v>763</v>
      </c>
      <c r="F1088" s="2" t="s">
        <v>762</v>
      </c>
      <c r="G1088" s="3">
        <v>46128</v>
      </c>
      <c r="H1088" s="2" t="s">
        <v>753</v>
      </c>
      <c r="I1088" s="2" t="s">
        <v>755</v>
      </c>
      <c r="J1088" s="2" t="s">
        <v>754</v>
      </c>
      <c r="K1088" s="2" t="s">
        <v>753</v>
      </c>
      <c r="L1088" s="6">
        <v>168</v>
      </c>
      <c r="M1088" s="2" t="s">
        <v>752</v>
      </c>
      <c r="N1088" s="7">
        <v>43.36</v>
      </c>
      <c r="O1088" s="4">
        <v>7284.48</v>
      </c>
      <c r="P1088" s="4">
        <v>7284.48</v>
      </c>
      <c r="Q1088" s="6">
        <v>0</v>
      </c>
    </row>
    <row r="1089" spans="1:17" x14ac:dyDescent="0.25">
      <c r="A1089" s="2" t="s">
        <v>369</v>
      </c>
      <c r="B1089" s="2" t="s">
        <v>29</v>
      </c>
      <c r="C1089" s="2" t="s">
        <v>30</v>
      </c>
      <c r="D1089" s="2" t="s">
        <v>758</v>
      </c>
      <c r="E1089" s="2" t="s">
        <v>776</v>
      </c>
      <c r="F1089" s="2" t="s">
        <v>775</v>
      </c>
      <c r="G1089" s="3">
        <v>46128</v>
      </c>
      <c r="H1089" s="2" t="s">
        <v>753</v>
      </c>
      <c r="I1089" s="2" t="s">
        <v>755</v>
      </c>
      <c r="J1089" s="2" t="s">
        <v>754</v>
      </c>
      <c r="K1089" s="2" t="s">
        <v>753</v>
      </c>
      <c r="L1089" s="6">
        <v>20</v>
      </c>
      <c r="M1089" s="2" t="s">
        <v>752</v>
      </c>
      <c r="N1089" s="7">
        <v>41.2</v>
      </c>
      <c r="O1089" s="4">
        <v>824</v>
      </c>
      <c r="P1089" s="4">
        <v>824</v>
      </c>
      <c r="Q1089" s="6">
        <v>0</v>
      </c>
    </row>
    <row r="1090" spans="1:17" x14ac:dyDescent="0.25">
      <c r="A1090" s="2" t="s">
        <v>369</v>
      </c>
      <c r="B1090" s="2" t="s">
        <v>29</v>
      </c>
      <c r="C1090" s="2" t="s">
        <v>30</v>
      </c>
      <c r="D1090" s="2" t="s">
        <v>758</v>
      </c>
      <c r="E1090" s="2" t="s">
        <v>807</v>
      </c>
      <c r="F1090" s="2" t="s">
        <v>806</v>
      </c>
      <c r="G1090" s="3">
        <v>46128</v>
      </c>
      <c r="H1090" s="2" t="s">
        <v>753</v>
      </c>
      <c r="I1090" s="2" t="s">
        <v>755</v>
      </c>
      <c r="J1090" s="2" t="s">
        <v>754</v>
      </c>
      <c r="K1090" s="2" t="s">
        <v>753</v>
      </c>
      <c r="L1090" s="6">
        <v>12</v>
      </c>
      <c r="M1090" s="2" t="s">
        <v>752</v>
      </c>
      <c r="N1090" s="7">
        <v>42.02</v>
      </c>
      <c r="O1090" s="4">
        <v>504.24</v>
      </c>
      <c r="P1090" s="4">
        <v>504.24</v>
      </c>
      <c r="Q1090" s="6">
        <v>0</v>
      </c>
    </row>
    <row r="1091" spans="1:17" x14ac:dyDescent="0.25">
      <c r="A1091" s="2" t="s">
        <v>369</v>
      </c>
      <c r="B1091" s="2" t="s">
        <v>29</v>
      </c>
      <c r="C1091" s="2" t="s">
        <v>30</v>
      </c>
      <c r="D1091" s="2" t="s">
        <v>758</v>
      </c>
      <c r="E1091" s="2" t="s">
        <v>805</v>
      </c>
      <c r="F1091" s="2" t="s">
        <v>804</v>
      </c>
      <c r="G1091" s="3">
        <v>46128</v>
      </c>
      <c r="H1091" s="2" t="s">
        <v>753</v>
      </c>
      <c r="I1091" s="2" t="s">
        <v>755</v>
      </c>
      <c r="J1091" s="2" t="s">
        <v>754</v>
      </c>
      <c r="K1091" s="2" t="s">
        <v>753</v>
      </c>
      <c r="L1091" s="6">
        <v>60</v>
      </c>
      <c r="M1091" s="2" t="s">
        <v>752</v>
      </c>
      <c r="N1091" s="7">
        <v>41</v>
      </c>
      <c r="O1091" s="4">
        <v>2460</v>
      </c>
      <c r="P1091" s="4">
        <v>2460</v>
      </c>
      <c r="Q1091" s="6">
        <v>0</v>
      </c>
    </row>
    <row r="1092" spans="1:17" x14ac:dyDescent="0.25">
      <c r="A1092" s="2" t="s">
        <v>367</v>
      </c>
      <c r="B1092" s="2" t="s">
        <v>99</v>
      </c>
      <c r="C1092" s="2" t="s">
        <v>100</v>
      </c>
      <c r="D1092" s="2" t="s">
        <v>758</v>
      </c>
      <c r="E1092" s="2" t="s">
        <v>863</v>
      </c>
      <c r="F1092" s="2" t="s">
        <v>862</v>
      </c>
      <c r="G1092" s="3">
        <v>46128</v>
      </c>
      <c r="H1092" s="2" t="s">
        <v>770</v>
      </c>
      <c r="I1092" s="2" t="s">
        <v>755</v>
      </c>
      <c r="J1092" s="2" t="s">
        <v>754</v>
      </c>
      <c r="K1092" s="2" t="s">
        <v>753</v>
      </c>
      <c r="L1092" s="6">
        <v>48</v>
      </c>
      <c r="M1092" s="2" t="s">
        <v>752</v>
      </c>
      <c r="N1092" s="7">
        <v>33.299999999999997</v>
      </c>
      <c r="O1092" s="4">
        <v>1598.4</v>
      </c>
      <c r="P1092" s="4">
        <v>1598.4</v>
      </c>
      <c r="Q1092" s="6">
        <v>0</v>
      </c>
    </row>
    <row r="1093" spans="1:17" x14ac:dyDescent="0.25">
      <c r="A1093" s="2" t="s">
        <v>367</v>
      </c>
      <c r="B1093" s="2" t="s">
        <v>99</v>
      </c>
      <c r="C1093" s="2" t="s">
        <v>100</v>
      </c>
      <c r="D1093" s="2" t="s">
        <v>758</v>
      </c>
      <c r="E1093" s="2" t="s">
        <v>763</v>
      </c>
      <c r="F1093" s="2" t="s">
        <v>762</v>
      </c>
      <c r="G1093" s="3">
        <v>46128</v>
      </c>
      <c r="H1093" s="2" t="s">
        <v>770</v>
      </c>
      <c r="I1093" s="2" t="s">
        <v>755</v>
      </c>
      <c r="J1093" s="2" t="s">
        <v>754</v>
      </c>
      <c r="K1093" s="2" t="s">
        <v>753</v>
      </c>
      <c r="L1093" s="6">
        <v>96</v>
      </c>
      <c r="M1093" s="2" t="s">
        <v>752</v>
      </c>
      <c r="N1093" s="7">
        <v>36.82</v>
      </c>
      <c r="O1093" s="4">
        <v>3534.72</v>
      </c>
      <c r="P1093" s="4">
        <v>3534.72</v>
      </c>
      <c r="Q1093" s="6">
        <v>0</v>
      </c>
    </row>
    <row r="1094" spans="1:17" x14ac:dyDescent="0.25">
      <c r="A1094" s="2" t="s">
        <v>367</v>
      </c>
      <c r="B1094" s="2" t="s">
        <v>99</v>
      </c>
      <c r="C1094" s="2" t="s">
        <v>100</v>
      </c>
      <c r="D1094" s="2" t="s">
        <v>758</v>
      </c>
      <c r="E1094" s="2" t="s">
        <v>861</v>
      </c>
      <c r="F1094" s="2" t="s">
        <v>860</v>
      </c>
      <c r="G1094" s="3">
        <v>46128</v>
      </c>
      <c r="H1094" s="2" t="s">
        <v>770</v>
      </c>
      <c r="I1094" s="2" t="s">
        <v>755</v>
      </c>
      <c r="J1094" s="2" t="s">
        <v>754</v>
      </c>
      <c r="K1094" s="2" t="s">
        <v>753</v>
      </c>
      <c r="L1094" s="6">
        <v>128</v>
      </c>
      <c r="M1094" s="2" t="s">
        <v>752</v>
      </c>
      <c r="N1094" s="7">
        <v>39.700000000000003</v>
      </c>
      <c r="O1094" s="4">
        <v>5081.6000000000004</v>
      </c>
      <c r="P1094" s="4">
        <v>5081.6000000000004</v>
      </c>
      <c r="Q1094" s="6">
        <v>0</v>
      </c>
    </row>
    <row r="1095" spans="1:17" x14ac:dyDescent="0.25">
      <c r="A1095" s="2" t="s">
        <v>367</v>
      </c>
      <c r="B1095" s="2" t="s">
        <v>99</v>
      </c>
      <c r="C1095" s="2" t="s">
        <v>100</v>
      </c>
      <c r="D1095" s="2" t="s">
        <v>758</v>
      </c>
      <c r="E1095" s="2" t="s">
        <v>757</v>
      </c>
      <c r="F1095" s="2" t="s">
        <v>756</v>
      </c>
      <c r="G1095" s="3">
        <v>46128</v>
      </c>
      <c r="H1095" s="2" t="s">
        <v>770</v>
      </c>
      <c r="I1095" s="2" t="s">
        <v>755</v>
      </c>
      <c r="J1095" s="2" t="s">
        <v>754</v>
      </c>
      <c r="K1095" s="2" t="s">
        <v>753</v>
      </c>
      <c r="L1095" s="6">
        <v>576</v>
      </c>
      <c r="M1095" s="2" t="s">
        <v>752</v>
      </c>
      <c r="N1095" s="7">
        <v>39.700000000000003</v>
      </c>
      <c r="O1095" s="4">
        <v>22867.200000000001</v>
      </c>
      <c r="P1095" s="4">
        <v>22867.200000000001</v>
      </c>
      <c r="Q1095" s="6">
        <v>0</v>
      </c>
    </row>
    <row r="1096" spans="1:17" x14ac:dyDescent="0.25">
      <c r="A1096" s="2" t="s">
        <v>346</v>
      </c>
      <c r="B1096" s="2" t="s">
        <v>87</v>
      </c>
      <c r="C1096" s="2" t="s">
        <v>88</v>
      </c>
      <c r="D1096" s="2" t="s">
        <v>758</v>
      </c>
      <c r="E1096" s="2" t="s">
        <v>766</v>
      </c>
      <c r="F1096" s="2" t="s">
        <v>765</v>
      </c>
      <c r="G1096" s="3">
        <v>46133</v>
      </c>
      <c r="H1096" s="2" t="s">
        <v>753</v>
      </c>
      <c r="I1096" s="2" t="s">
        <v>755</v>
      </c>
      <c r="J1096" s="2" t="s">
        <v>754</v>
      </c>
      <c r="K1096" s="2" t="s">
        <v>753</v>
      </c>
      <c r="L1096" s="6">
        <v>28</v>
      </c>
      <c r="M1096" s="2" t="s">
        <v>752</v>
      </c>
      <c r="N1096" s="7">
        <v>40</v>
      </c>
      <c r="O1096" s="4">
        <v>1120</v>
      </c>
      <c r="P1096" s="4">
        <v>1120</v>
      </c>
      <c r="Q1096" s="6">
        <v>0</v>
      </c>
    </row>
    <row r="1097" spans="1:17" x14ac:dyDescent="0.25">
      <c r="A1097" s="2" t="s">
        <v>346</v>
      </c>
      <c r="B1097" s="2" t="s">
        <v>87</v>
      </c>
      <c r="C1097" s="2" t="s">
        <v>88</v>
      </c>
      <c r="D1097" s="2" t="s">
        <v>758</v>
      </c>
      <c r="E1097" s="2" t="s">
        <v>940</v>
      </c>
      <c r="F1097" s="2" t="s">
        <v>939</v>
      </c>
      <c r="G1097" s="3">
        <v>46133</v>
      </c>
      <c r="H1097" s="2" t="s">
        <v>753</v>
      </c>
      <c r="I1097" s="2" t="s">
        <v>755</v>
      </c>
      <c r="J1097" s="2" t="s">
        <v>754</v>
      </c>
      <c r="K1097" s="2" t="s">
        <v>753</v>
      </c>
      <c r="L1097" s="6">
        <v>4</v>
      </c>
      <c r="M1097" s="2" t="s">
        <v>752</v>
      </c>
      <c r="N1097" s="7">
        <v>56</v>
      </c>
      <c r="O1097" s="4">
        <v>224</v>
      </c>
      <c r="P1097" s="4">
        <v>224</v>
      </c>
      <c r="Q1097" s="6">
        <v>0</v>
      </c>
    </row>
    <row r="1098" spans="1:17" x14ac:dyDescent="0.25">
      <c r="A1098" s="2" t="s">
        <v>346</v>
      </c>
      <c r="B1098" s="2" t="s">
        <v>87</v>
      </c>
      <c r="C1098" s="2" t="s">
        <v>88</v>
      </c>
      <c r="D1098" s="2" t="s">
        <v>758</v>
      </c>
      <c r="E1098" s="2" t="s">
        <v>845</v>
      </c>
      <c r="F1098" s="2" t="s">
        <v>844</v>
      </c>
      <c r="G1098" s="3">
        <v>46133</v>
      </c>
      <c r="H1098" s="2" t="s">
        <v>753</v>
      </c>
      <c r="I1098" s="2" t="s">
        <v>755</v>
      </c>
      <c r="J1098" s="2" t="s">
        <v>754</v>
      </c>
      <c r="K1098" s="2" t="s">
        <v>753</v>
      </c>
      <c r="L1098" s="6">
        <v>44</v>
      </c>
      <c r="M1098" s="2" t="s">
        <v>752</v>
      </c>
      <c r="N1098" s="7">
        <v>40.119999999999997</v>
      </c>
      <c r="O1098" s="4">
        <v>1765.28</v>
      </c>
      <c r="P1098" s="4">
        <v>1765.28</v>
      </c>
      <c r="Q1098" s="6">
        <v>0</v>
      </c>
    </row>
    <row r="1099" spans="1:17" x14ac:dyDescent="0.25">
      <c r="A1099" s="2" t="s">
        <v>346</v>
      </c>
      <c r="B1099" s="2" t="s">
        <v>87</v>
      </c>
      <c r="C1099" s="2" t="s">
        <v>88</v>
      </c>
      <c r="D1099" s="2" t="s">
        <v>758</v>
      </c>
      <c r="E1099" s="2" t="s">
        <v>910</v>
      </c>
      <c r="F1099" s="2" t="s">
        <v>909</v>
      </c>
      <c r="G1099" s="3">
        <v>46133</v>
      </c>
      <c r="H1099" s="2" t="s">
        <v>753</v>
      </c>
      <c r="I1099" s="2" t="s">
        <v>755</v>
      </c>
      <c r="J1099" s="2" t="s">
        <v>754</v>
      </c>
      <c r="K1099" s="2" t="s">
        <v>753</v>
      </c>
      <c r="L1099" s="6">
        <v>4</v>
      </c>
      <c r="M1099" s="2" t="s">
        <v>752</v>
      </c>
      <c r="N1099" s="7">
        <v>42.03</v>
      </c>
      <c r="O1099" s="4">
        <v>168.12</v>
      </c>
      <c r="P1099" s="4">
        <v>168.12</v>
      </c>
      <c r="Q1099" s="6">
        <v>0</v>
      </c>
    </row>
    <row r="1100" spans="1:17" x14ac:dyDescent="0.25">
      <c r="A1100" s="2" t="s">
        <v>346</v>
      </c>
      <c r="B1100" s="2" t="s">
        <v>87</v>
      </c>
      <c r="C1100" s="2" t="s">
        <v>88</v>
      </c>
      <c r="D1100" s="2" t="s">
        <v>758</v>
      </c>
      <c r="E1100" s="2" t="s">
        <v>908</v>
      </c>
      <c r="F1100" s="2" t="s">
        <v>907</v>
      </c>
      <c r="G1100" s="3">
        <v>46133</v>
      </c>
      <c r="H1100" s="2" t="s">
        <v>753</v>
      </c>
      <c r="I1100" s="2" t="s">
        <v>755</v>
      </c>
      <c r="J1100" s="2" t="s">
        <v>754</v>
      </c>
      <c r="K1100" s="2" t="s">
        <v>753</v>
      </c>
      <c r="L1100" s="6">
        <v>252</v>
      </c>
      <c r="M1100" s="2" t="s">
        <v>752</v>
      </c>
      <c r="N1100" s="7">
        <v>39</v>
      </c>
      <c r="O1100" s="4">
        <v>9828</v>
      </c>
      <c r="P1100" s="4">
        <v>9828</v>
      </c>
      <c r="Q1100" s="6">
        <v>0</v>
      </c>
    </row>
    <row r="1101" spans="1:17" x14ac:dyDescent="0.25">
      <c r="A1101" s="2" t="s">
        <v>346</v>
      </c>
      <c r="B1101" s="2" t="s">
        <v>87</v>
      </c>
      <c r="C1101" s="2" t="s">
        <v>88</v>
      </c>
      <c r="D1101" s="2" t="s">
        <v>758</v>
      </c>
      <c r="E1101" s="2" t="s">
        <v>815</v>
      </c>
      <c r="F1101" s="2" t="s">
        <v>814</v>
      </c>
      <c r="G1101" s="3">
        <v>46133</v>
      </c>
      <c r="H1101" s="2" t="s">
        <v>753</v>
      </c>
      <c r="I1101" s="2" t="s">
        <v>755</v>
      </c>
      <c r="J1101" s="2" t="s">
        <v>754</v>
      </c>
      <c r="K1101" s="2" t="s">
        <v>753</v>
      </c>
      <c r="L1101" s="6">
        <v>100</v>
      </c>
      <c r="M1101" s="2" t="s">
        <v>752</v>
      </c>
      <c r="N1101" s="7">
        <v>36.24</v>
      </c>
      <c r="O1101" s="4">
        <v>3624</v>
      </c>
      <c r="P1101" s="4">
        <v>3624</v>
      </c>
      <c r="Q1101" s="6">
        <v>0</v>
      </c>
    </row>
    <row r="1102" spans="1:17" x14ac:dyDescent="0.25">
      <c r="A1102" s="2" t="s">
        <v>346</v>
      </c>
      <c r="B1102" s="2" t="s">
        <v>87</v>
      </c>
      <c r="C1102" s="2" t="s">
        <v>88</v>
      </c>
      <c r="D1102" s="2" t="s">
        <v>758</v>
      </c>
      <c r="E1102" s="2" t="s">
        <v>906</v>
      </c>
      <c r="F1102" s="2" t="s">
        <v>905</v>
      </c>
      <c r="G1102" s="3">
        <v>46133</v>
      </c>
      <c r="H1102" s="2" t="s">
        <v>753</v>
      </c>
      <c r="I1102" s="2" t="s">
        <v>755</v>
      </c>
      <c r="J1102" s="2" t="s">
        <v>754</v>
      </c>
      <c r="K1102" s="2" t="s">
        <v>753</v>
      </c>
      <c r="L1102" s="6">
        <v>28</v>
      </c>
      <c r="M1102" s="2" t="s">
        <v>752</v>
      </c>
      <c r="N1102" s="7">
        <v>35.21</v>
      </c>
      <c r="O1102" s="4">
        <v>985.88</v>
      </c>
      <c r="P1102" s="4">
        <v>985.88</v>
      </c>
      <c r="Q1102" s="6">
        <v>0</v>
      </c>
    </row>
    <row r="1103" spans="1:17" x14ac:dyDescent="0.25">
      <c r="A1103" s="2" t="s">
        <v>346</v>
      </c>
      <c r="B1103" s="2" t="s">
        <v>87</v>
      </c>
      <c r="C1103" s="2" t="s">
        <v>88</v>
      </c>
      <c r="D1103" s="2" t="s">
        <v>758</v>
      </c>
      <c r="E1103" s="2" t="s">
        <v>763</v>
      </c>
      <c r="F1103" s="2" t="s">
        <v>762</v>
      </c>
      <c r="G1103" s="3">
        <v>46133</v>
      </c>
      <c r="H1103" s="2" t="s">
        <v>753</v>
      </c>
      <c r="I1103" s="2" t="s">
        <v>755</v>
      </c>
      <c r="J1103" s="2" t="s">
        <v>754</v>
      </c>
      <c r="K1103" s="2" t="s">
        <v>753</v>
      </c>
      <c r="L1103" s="6">
        <v>28</v>
      </c>
      <c r="M1103" s="2" t="s">
        <v>752</v>
      </c>
      <c r="N1103" s="7">
        <v>45.49</v>
      </c>
      <c r="O1103" s="4">
        <v>1273.72</v>
      </c>
      <c r="P1103" s="4">
        <v>1273.72</v>
      </c>
      <c r="Q1103" s="6">
        <v>0</v>
      </c>
    </row>
    <row r="1104" spans="1:17" x14ac:dyDescent="0.25">
      <c r="A1104" s="2" t="s">
        <v>346</v>
      </c>
      <c r="B1104" s="2" t="s">
        <v>87</v>
      </c>
      <c r="C1104" s="2" t="s">
        <v>88</v>
      </c>
      <c r="D1104" s="2" t="s">
        <v>758</v>
      </c>
      <c r="E1104" s="2" t="s">
        <v>774</v>
      </c>
      <c r="F1104" s="2" t="s">
        <v>773</v>
      </c>
      <c r="G1104" s="3">
        <v>46133</v>
      </c>
      <c r="H1104" s="2" t="s">
        <v>753</v>
      </c>
      <c r="I1104" s="2" t="s">
        <v>755</v>
      </c>
      <c r="J1104" s="2" t="s">
        <v>754</v>
      </c>
      <c r="K1104" s="2" t="s">
        <v>753</v>
      </c>
      <c r="L1104" s="6">
        <v>16</v>
      </c>
      <c r="M1104" s="2" t="s">
        <v>752</v>
      </c>
      <c r="N1104" s="7">
        <v>37.020000000000003</v>
      </c>
      <c r="O1104" s="4">
        <v>592.32000000000005</v>
      </c>
      <c r="P1104" s="4">
        <v>592.32000000000005</v>
      </c>
      <c r="Q1104" s="6">
        <v>0</v>
      </c>
    </row>
    <row r="1105" spans="1:17" x14ac:dyDescent="0.25">
      <c r="A1105" s="2" t="s">
        <v>346</v>
      </c>
      <c r="B1105" s="2" t="s">
        <v>87</v>
      </c>
      <c r="C1105" s="2" t="s">
        <v>88</v>
      </c>
      <c r="D1105" s="2" t="s">
        <v>758</v>
      </c>
      <c r="E1105" s="2" t="s">
        <v>863</v>
      </c>
      <c r="F1105" s="2" t="s">
        <v>862</v>
      </c>
      <c r="G1105" s="3">
        <v>46133</v>
      </c>
      <c r="H1105" s="2" t="s">
        <v>753</v>
      </c>
      <c r="I1105" s="2" t="s">
        <v>755</v>
      </c>
      <c r="J1105" s="2" t="s">
        <v>754</v>
      </c>
      <c r="K1105" s="2" t="s">
        <v>753</v>
      </c>
      <c r="L1105" s="6">
        <v>8</v>
      </c>
      <c r="M1105" s="2" t="s">
        <v>752</v>
      </c>
      <c r="N1105" s="7">
        <v>52.47</v>
      </c>
      <c r="O1105" s="4">
        <v>419.76</v>
      </c>
      <c r="P1105" s="4">
        <v>419.76</v>
      </c>
      <c r="Q1105" s="6">
        <v>0</v>
      </c>
    </row>
    <row r="1106" spans="1:17" x14ac:dyDescent="0.25">
      <c r="A1106" s="2" t="s">
        <v>346</v>
      </c>
      <c r="B1106" s="2" t="s">
        <v>87</v>
      </c>
      <c r="C1106" s="2" t="s">
        <v>88</v>
      </c>
      <c r="D1106" s="2" t="s">
        <v>758</v>
      </c>
      <c r="E1106" s="2" t="s">
        <v>813</v>
      </c>
      <c r="F1106" s="2" t="s">
        <v>812</v>
      </c>
      <c r="G1106" s="3">
        <v>46133</v>
      </c>
      <c r="H1106" s="2" t="s">
        <v>753</v>
      </c>
      <c r="I1106" s="2" t="s">
        <v>755</v>
      </c>
      <c r="J1106" s="2" t="s">
        <v>754</v>
      </c>
      <c r="K1106" s="2" t="s">
        <v>753</v>
      </c>
      <c r="L1106" s="6">
        <v>8</v>
      </c>
      <c r="M1106" s="2" t="s">
        <v>752</v>
      </c>
      <c r="N1106" s="7">
        <v>54</v>
      </c>
      <c r="O1106" s="4">
        <v>432</v>
      </c>
      <c r="P1106" s="4">
        <v>432</v>
      </c>
      <c r="Q1106" s="6">
        <v>0</v>
      </c>
    </row>
    <row r="1107" spans="1:17" x14ac:dyDescent="0.25">
      <c r="A1107" s="2" t="s">
        <v>346</v>
      </c>
      <c r="B1107" s="2" t="s">
        <v>87</v>
      </c>
      <c r="C1107" s="2" t="s">
        <v>88</v>
      </c>
      <c r="D1107" s="2" t="s">
        <v>758</v>
      </c>
      <c r="E1107" s="2" t="s">
        <v>776</v>
      </c>
      <c r="F1107" s="2" t="s">
        <v>775</v>
      </c>
      <c r="G1107" s="3">
        <v>46133</v>
      </c>
      <c r="H1107" s="2" t="s">
        <v>753</v>
      </c>
      <c r="I1107" s="2" t="s">
        <v>755</v>
      </c>
      <c r="J1107" s="2" t="s">
        <v>754</v>
      </c>
      <c r="K1107" s="2" t="s">
        <v>753</v>
      </c>
      <c r="L1107" s="6">
        <v>4</v>
      </c>
      <c r="M1107" s="2" t="s">
        <v>752</v>
      </c>
      <c r="N1107" s="7">
        <v>43.2</v>
      </c>
      <c r="O1107" s="4">
        <v>172.8</v>
      </c>
      <c r="P1107" s="4">
        <v>172.8</v>
      </c>
      <c r="Q1107" s="6">
        <v>0</v>
      </c>
    </row>
    <row r="1108" spans="1:17" x14ac:dyDescent="0.25">
      <c r="A1108" s="2" t="s">
        <v>346</v>
      </c>
      <c r="B1108" s="2" t="s">
        <v>87</v>
      </c>
      <c r="C1108" s="2" t="s">
        <v>88</v>
      </c>
      <c r="D1108" s="2" t="s">
        <v>758</v>
      </c>
      <c r="E1108" s="2" t="s">
        <v>807</v>
      </c>
      <c r="F1108" s="2" t="s">
        <v>806</v>
      </c>
      <c r="G1108" s="3">
        <v>46133</v>
      </c>
      <c r="H1108" s="2" t="s">
        <v>753</v>
      </c>
      <c r="I1108" s="2" t="s">
        <v>755</v>
      </c>
      <c r="J1108" s="2" t="s">
        <v>754</v>
      </c>
      <c r="K1108" s="2" t="s">
        <v>753</v>
      </c>
      <c r="L1108" s="6">
        <v>72</v>
      </c>
      <c r="M1108" s="2" t="s">
        <v>752</v>
      </c>
      <c r="N1108" s="7">
        <v>44.15</v>
      </c>
      <c r="O1108" s="4">
        <v>3178.8</v>
      </c>
      <c r="P1108" s="4">
        <v>3178.8</v>
      </c>
      <c r="Q1108" s="6">
        <v>0</v>
      </c>
    </row>
    <row r="1109" spans="1:17" x14ac:dyDescent="0.25">
      <c r="A1109" s="2" t="s">
        <v>346</v>
      </c>
      <c r="B1109" s="2" t="s">
        <v>87</v>
      </c>
      <c r="C1109" s="2" t="s">
        <v>88</v>
      </c>
      <c r="D1109" s="2" t="s">
        <v>758</v>
      </c>
      <c r="E1109" s="2" t="s">
        <v>782</v>
      </c>
      <c r="F1109" s="2" t="s">
        <v>781</v>
      </c>
      <c r="G1109" s="3">
        <v>46133</v>
      </c>
      <c r="H1109" s="2" t="s">
        <v>753</v>
      </c>
      <c r="I1109" s="2" t="s">
        <v>755</v>
      </c>
      <c r="J1109" s="2" t="s">
        <v>754</v>
      </c>
      <c r="K1109" s="2" t="s">
        <v>753</v>
      </c>
      <c r="L1109" s="6">
        <v>20</v>
      </c>
      <c r="M1109" s="2" t="s">
        <v>752</v>
      </c>
      <c r="N1109" s="7">
        <v>36.6</v>
      </c>
      <c r="O1109" s="4">
        <v>732</v>
      </c>
      <c r="P1109" s="4">
        <v>732</v>
      </c>
      <c r="Q1109" s="6">
        <v>0</v>
      </c>
    </row>
    <row r="1110" spans="1:17" x14ac:dyDescent="0.25">
      <c r="A1110" s="2" t="s">
        <v>346</v>
      </c>
      <c r="B1110" s="2" t="s">
        <v>87</v>
      </c>
      <c r="C1110" s="2" t="s">
        <v>88</v>
      </c>
      <c r="D1110" s="2" t="s">
        <v>758</v>
      </c>
      <c r="E1110" s="2" t="s">
        <v>904</v>
      </c>
      <c r="F1110" s="2" t="s">
        <v>903</v>
      </c>
      <c r="G1110" s="3">
        <v>46133</v>
      </c>
      <c r="H1110" s="2" t="s">
        <v>753</v>
      </c>
      <c r="I1110" s="2" t="s">
        <v>755</v>
      </c>
      <c r="J1110" s="2" t="s">
        <v>754</v>
      </c>
      <c r="K1110" s="2" t="s">
        <v>753</v>
      </c>
      <c r="L1110" s="6">
        <v>4</v>
      </c>
      <c r="M1110" s="2" t="s">
        <v>752</v>
      </c>
      <c r="N1110" s="7">
        <v>40.22</v>
      </c>
      <c r="O1110" s="4">
        <v>160.88</v>
      </c>
      <c r="P1110" s="4">
        <v>160.88</v>
      </c>
      <c r="Q1110" s="6">
        <v>0</v>
      </c>
    </row>
    <row r="1111" spans="1:17" x14ac:dyDescent="0.25">
      <c r="A1111" s="2" t="s">
        <v>346</v>
      </c>
      <c r="B1111" s="2" t="s">
        <v>87</v>
      </c>
      <c r="C1111" s="2" t="s">
        <v>88</v>
      </c>
      <c r="D1111" s="2" t="s">
        <v>758</v>
      </c>
      <c r="E1111" s="2" t="s">
        <v>855</v>
      </c>
      <c r="F1111" s="2" t="s">
        <v>854</v>
      </c>
      <c r="G1111" s="3">
        <v>46133</v>
      </c>
      <c r="H1111" s="2" t="s">
        <v>753</v>
      </c>
      <c r="I1111" s="2" t="s">
        <v>755</v>
      </c>
      <c r="J1111" s="2" t="s">
        <v>754</v>
      </c>
      <c r="K1111" s="2" t="s">
        <v>753</v>
      </c>
      <c r="L1111" s="6">
        <v>98</v>
      </c>
      <c r="M1111" s="2" t="s">
        <v>752</v>
      </c>
      <c r="N1111" s="7">
        <v>42.37</v>
      </c>
      <c r="O1111" s="4">
        <v>4152.26</v>
      </c>
      <c r="P1111" s="4">
        <v>4152.26</v>
      </c>
      <c r="Q1111" s="6">
        <v>0</v>
      </c>
    </row>
    <row r="1112" spans="1:17" x14ac:dyDescent="0.25">
      <c r="A1112" s="2" t="s">
        <v>346</v>
      </c>
      <c r="B1112" s="2" t="s">
        <v>87</v>
      </c>
      <c r="C1112" s="2" t="s">
        <v>88</v>
      </c>
      <c r="D1112" s="2" t="s">
        <v>758</v>
      </c>
      <c r="E1112" s="2" t="s">
        <v>902</v>
      </c>
      <c r="F1112" s="2" t="s">
        <v>901</v>
      </c>
      <c r="G1112" s="3">
        <v>46133</v>
      </c>
      <c r="H1112" s="2" t="s">
        <v>753</v>
      </c>
      <c r="I1112" s="2" t="s">
        <v>755</v>
      </c>
      <c r="J1112" s="2" t="s">
        <v>754</v>
      </c>
      <c r="K1112" s="2" t="s">
        <v>753</v>
      </c>
      <c r="L1112" s="6">
        <v>14</v>
      </c>
      <c r="M1112" s="2" t="s">
        <v>752</v>
      </c>
      <c r="N1112" s="7">
        <v>42.22</v>
      </c>
      <c r="O1112" s="4">
        <v>591.08000000000004</v>
      </c>
      <c r="P1112" s="4">
        <v>591.08000000000004</v>
      </c>
      <c r="Q1112" s="6">
        <v>0</v>
      </c>
    </row>
    <row r="1113" spans="1:17" x14ac:dyDescent="0.25">
      <c r="A1113" s="2" t="s">
        <v>346</v>
      </c>
      <c r="B1113" s="2" t="s">
        <v>87</v>
      </c>
      <c r="C1113" s="2" t="s">
        <v>88</v>
      </c>
      <c r="D1113" s="2" t="s">
        <v>758</v>
      </c>
      <c r="E1113" s="2" t="s">
        <v>900</v>
      </c>
      <c r="F1113" s="2" t="s">
        <v>899</v>
      </c>
      <c r="G1113" s="3">
        <v>46133</v>
      </c>
      <c r="H1113" s="2" t="s">
        <v>753</v>
      </c>
      <c r="I1113" s="2" t="s">
        <v>755</v>
      </c>
      <c r="J1113" s="2" t="s">
        <v>754</v>
      </c>
      <c r="K1113" s="2" t="s">
        <v>753</v>
      </c>
      <c r="L1113" s="6">
        <v>32</v>
      </c>
      <c r="M1113" s="2" t="s">
        <v>752</v>
      </c>
      <c r="N1113" s="7">
        <v>32.549999999999997</v>
      </c>
      <c r="O1113" s="4">
        <v>1041.5999999999999</v>
      </c>
      <c r="P1113" s="4">
        <v>1041.5999999999999</v>
      </c>
      <c r="Q1113" s="6">
        <v>0</v>
      </c>
    </row>
    <row r="1114" spans="1:17" x14ac:dyDescent="0.25">
      <c r="A1114" s="2" t="s">
        <v>346</v>
      </c>
      <c r="B1114" s="2" t="s">
        <v>87</v>
      </c>
      <c r="C1114" s="2" t="s">
        <v>88</v>
      </c>
      <c r="D1114" s="2" t="s">
        <v>758</v>
      </c>
      <c r="E1114" s="2" t="s">
        <v>780</v>
      </c>
      <c r="F1114" s="2" t="s">
        <v>779</v>
      </c>
      <c r="G1114" s="3">
        <v>46133</v>
      </c>
      <c r="H1114" s="2" t="s">
        <v>753</v>
      </c>
      <c r="I1114" s="2" t="s">
        <v>755</v>
      </c>
      <c r="J1114" s="2" t="s">
        <v>754</v>
      </c>
      <c r="K1114" s="2" t="s">
        <v>753</v>
      </c>
      <c r="L1114" s="6">
        <v>12</v>
      </c>
      <c r="M1114" s="2" t="s">
        <v>752</v>
      </c>
      <c r="N1114" s="7">
        <v>35.57</v>
      </c>
      <c r="O1114" s="4">
        <v>426.84</v>
      </c>
      <c r="P1114" s="4">
        <v>426.84</v>
      </c>
      <c r="Q1114" s="6">
        <v>0</v>
      </c>
    </row>
    <row r="1115" spans="1:17" x14ac:dyDescent="0.25">
      <c r="A1115" s="2" t="s">
        <v>346</v>
      </c>
      <c r="B1115" s="2" t="s">
        <v>87</v>
      </c>
      <c r="C1115" s="2" t="s">
        <v>88</v>
      </c>
      <c r="D1115" s="2" t="s">
        <v>758</v>
      </c>
      <c r="E1115" s="2" t="s">
        <v>898</v>
      </c>
      <c r="F1115" s="2" t="s">
        <v>897</v>
      </c>
      <c r="G1115" s="3">
        <v>46133</v>
      </c>
      <c r="H1115" s="2" t="s">
        <v>753</v>
      </c>
      <c r="I1115" s="2" t="s">
        <v>755</v>
      </c>
      <c r="J1115" s="2" t="s">
        <v>754</v>
      </c>
      <c r="K1115" s="2" t="s">
        <v>753</v>
      </c>
      <c r="L1115" s="6">
        <v>28</v>
      </c>
      <c r="M1115" s="2" t="s">
        <v>752</v>
      </c>
      <c r="N1115" s="7">
        <v>41.25</v>
      </c>
      <c r="O1115" s="4">
        <v>1155</v>
      </c>
      <c r="P1115" s="4">
        <v>1155</v>
      </c>
      <c r="Q1115" s="6">
        <v>0</v>
      </c>
    </row>
    <row r="1116" spans="1:17" x14ac:dyDescent="0.25">
      <c r="A1116" s="2" t="s">
        <v>346</v>
      </c>
      <c r="B1116" s="2" t="s">
        <v>87</v>
      </c>
      <c r="C1116" s="2" t="s">
        <v>88</v>
      </c>
      <c r="D1116" s="2" t="s">
        <v>758</v>
      </c>
      <c r="E1116" s="2" t="s">
        <v>819</v>
      </c>
      <c r="F1116" s="2" t="s">
        <v>818</v>
      </c>
      <c r="G1116" s="3">
        <v>46133</v>
      </c>
      <c r="H1116" s="2" t="s">
        <v>753</v>
      </c>
      <c r="I1116" s="2" t="s">
        <v>755</v>
      </c>
      <c r="J1116" s="2" t="s">
        <v>754</v>
      </c>
      <c r="K1116" s="2" t="s">
        <v>753</v>
      </c>
      <c r="L1116" s="6">
        <v>28</v>
      </c>
      <c r="M1116" s="2" t="s">
        <v>752</v>
      </c>
      <c r="N1116" s="7">
        <v>40.22</v>
      </c>
      <c r="O1116" s="4">
        <v>1126.1600000000001</v>
      </c>
      <c r="P1116" s="4">
        <v>1126.1600000000001</v>
      </c>
      <c r="Q1116" s="6">
        <v>0</v>
      </c>
    </row>
    <row r="1117" spans="1:17" x14ac:dyDescent="0.25">
      <c r="A1117" s="2" t="s">
        <v>346</v>
      </c>
      <c r="B1117" s="2" t="s">
        <v>87</v>
      </c>
      <c r="C1117" s="2" t="s">
        <v>88</v>
      </c>
      <c r="D1117" s="2" t="s">
        <v>758</v>
      </c>
      <c r="E1117" s="2" t="s">
        <v>954</v>
      </c>
      <c r="F1117" s="2" t="s">
        <v>953</v>
      </c>
      <c r="G1117" s="3">
        <v>46133</v>
      </c>
      <c r="H1117" s="2" t="s">
        <v>753</v>
      </c>
      <c r="I1117" s="2" t="s">
        <v>755</v>
      </c>
      <c r="J1117" s="2" t="s">
        <v>754</v>
      </c>
      <c r="K1117" s="2" t="s">
        <v>753</v>
      </c>
      <c r="L1117" s="6">
        <v>8</v>
      </c>
      <c r="M1117" s="2" t="s">
        <v>752</v>
      </c>
      <c r="N1117" s="7">
        <v>36.24</v>
      </c>
      <c r="O1117" s="4">
        <v>289.92</v>
      </c>
      <c r="P1117" s="4">
        <v>289.92</v>
      </c>
      <c r="Q1117" s="6">
        <v>0</v>
      </c>
    </row>
    <row r="1118" spans="1:17" x14ac:dyDescent="0.25">
      <c r="A1118" s="2" t="s">
        <v>417</v>
      </c>
      <c r="B1118" s="2" t="s">
        <v>21</v>
      </c>
      <c r="C1118" s="2" t="s">
        <v>22</v>
      </c>
      <c r="D1118" s="2" t="s">
        <v>758</v>
      </c>
      <c r="E1118" s="2" t="s">
        <v>800</v>
      </c>
      <c r="F1118" s="2" t="s">
        <v>799</v>
      </c>
      <c r="G1118" s="3">
        <v>46114</v>
      </c>
      <c r="H1118" s="2" t="s">
        <v>753</v>
      </c>
      <c r="I1118" s="2" t="s">
        <v>755</v>
      </c>
      <c r="J1118" s="2" t="s">
        <v>754</v>
      </c>
      <c r="K1118" s="2" t="s">
        <v>753</v>
      </c>
      <c r="L1118" s="6">
        <v>56</v>
      </c>
      <c r="M1118" s="2" t="s">
        <v>752</v>
      </c>
      <c r="N1118" s="7">
        <v>34.200000000000003</v>
      </c>
      <c r="O1118" s="4">
        <v>1915.2</v>
      </c>
      <c r="P1118" s="4">
        <v>1915.2</v>
      </c>
      <c r="Q1118" s="6">
        <v>0</v>
      </c>
    </row>
    <row r="1119" spans="1:17" x14ac:dyDescent="0.25">
      <c r="A1119" s="2" t="s">
        <v>365</v>
      </c>
      <c r="B1119" s="2" t="s">
        <v>41</v>
      </c>
      <c r="C1119" s="2" t="s">
        <v>42</v>
      </c>
      <c r="D1119" s="2" t="s">
        <v>758</v>
      </c>
      <c r="E1119" s="2" t="s">
        <v>784</v>
      </c>
      <c r="F1119" s="2" t="s">
        <v>783</v>
      </c>
      <c r="G1119" s="3">
        <v>46128</v>
      </c>
      <c r="H1119" s="2" t="s">
        <v>753</v>
      </c>
      <c r="I1119" s="2" t="s">
        <v>755</v>
      </c>
      <c r="J1119" s="2" t="s">
        <v>754</v>
      </c>
      <c r="K1119" s="2" t="s">
        <v>753</v>
      </c>
      <c r="L1119" s="6">
        <v>32</v>
      </c>
      <c r="M1119" s="2" t="s">
        <v>752</v>
      </c>
      <c r="N1119" s="7">
        <v>34.93</v>
      </c>
      <c r="O1119" s="4">
        <v>1117.76</v>
      </c>
      <c r="P1119" s="4">
        <v>1117.76</v>
      </c>
      <c r="Q1119" s="6">
        <v>0</v>
      </c>
    </row>
    <row r="1120" spans="1:17" x14ac:dyDescent="0.25">
      <c r="A1120" s="2" t="s">
        <v>365</v>
      </c>
      <c r="B1120" s="2" t="s">
        <v>41</v>
      </c>
      <c r="C1120" s="2" t="s">
        <v>42</v>
      </c>
      <c r="D1120" s="2" t="s">
        <v>758</v>
      </c>
      <c r="E1120" s="2" t="s">
        <v>881</v>
      </c>
      <c r="F1120" s="2" t="s">
        <v>880</v>
      </c>
      <c r="G1120" s="3">
        <v>46128</v>
      </c>
      <c r="H1120" s="2" t="s">
        <v>753</v>
      </c>
      <c r="I1120" s="2" t="s">
        <v>755</v>
      </c>
      <c r="J1120" s="2" t="s">
        <v>754</v>
      </c>
      <c r="K1120" s="2" t="s">
        <v>753</v>
      </c>
      <c r="L1120" s="6">
        <v>36</v>
      </c>
      <c r="M1120" s="2" t="s">
        <v>752</v>
      </c>
      <c r="N1120" s="7">
        <v>40.1</v>
      </c>
      <c r="O1120" s="4">
        <v>1443.6</v>
      </c>
      <c r="P1120" s="4">
        <v>1443.6</v>
      </c>
      <c r="Q1120" s="6">
        <v>0</v>
      </c>
    </row>
    <row r="1121" spans="1:17" x14ac:dyDescent="0.25">
      <c r="A1121" s="2" t="s">
        <v>365</v>
      </c>
      <c r="B1121" s="2" t="s">
        <v>41</v>
      </c>
      <c r="C1121" s="2" t="s">
        <v>42</v>
      </c>
      <c r="D1121" s="2" t="s">
        <v>758</v>
      </c>
      <c r="E1121" s="2" t="s">
        <v>920</v>
      </c>
      <c r="F1121" s="2" t="s">
        <v>919</v>
      </c>
      <c r="G1121" s="3">
        <v>46128</v>
      </c>
      <c r="H1121" s="2" t="s">
        <v>753</v>
      </c>
      <c r="I1121" s="2" t="s">
        <v>755</v>
      </c>
      <c r="J1121" s="2" t="s">
        <v>754</v>
      </c>
      <c r="K1121" s="2" t="s">
        <v>753</v>
      </c>
      <c r="L1121" s="6">
        <v>48</v>
      </c>
      <c r="M1121" s="2" t="s">
        <v>752</v>
      </c>
      <c r="N1121" s="7">
        <v>28.88</v>
      </c>
      <c r="O1121" s="4">
        <v>1386.24</v>
      </c>
      <c r="P1121" s="4">
        <v>1386.24</v>
      </c>
      <c r="Q1121" s="6">
        <v>0</v>
      </c>
    </row>
    <row r="1122" spans="1:17" x14ac:dyDescent="0.25">
      <c r="A1122" s="2" t="s">
        <v>365</v>
      </c>
      <c r="B1122" s="2" t="s">
        <v>41</v>
      </c>
      <c r="C1122" s="2" t="s">
        <v>42</v>
      </c>
      <c r="D1122" s="2" t="s">
        <v>758</v>
      </c>
      <c r="E1122" s="2" t="s">
        <v>841</v>
      </c>
      <c r="F1122" s="2" t="s">
        <v>840</v>
      </c>
      <c r="G1122" s="3">
        <v>46128</v>
      </c>
      <c r="H1122" s="2" t="s">
        <v>753</v>
      </c>
      <c r="I1122" s="2" t="s">
        <v>755</v>
      </c>
      <c r="J1122" s="2" t="s">
        <v>754</v>
      </c>
      <c r="K1122" s="2" t="s">
        <v>753</v>
      </c>
      <c r="L1122" s="6">
        <v>48</v>
      </c>
      <c r="M1122" s="2" t="s">
        <v>752</v>
      </c>
      <c r="N1122" s="7">
        <v>28.49</v>
      </c>
      <c r="O1122" s="4">
        <v>1367.52</v>
      </c>
      <c r="P1122" s="4">
        <v>1367.52</v>
      </c>
      <c r="Q1122" s="6">
        <v>0</v>
      </c>
    </row>
    <row r="1123" spans="1:17" x14ac:dyDescent="0.25">
      <c r="A1123" s="2" t="s">
        <v>365</v>
      </c>
      <c r="B1123" s="2" t="s">
        <v>41</v>
      </c>
      <c r="C1123" s="2" t="s">
        <v>42</v>
      </c>
      <c r="D1123" s="2" t="s">
        <v>758</v>
      </c>
      <c r="E1123" s="2" t="s">
        <v>786</v>
      </c>
      <c r="F1123" s="2" t="s">
        <v>785</v>
      </c>
      <c r="G1123" s="3">
        <v>46128</v>
      </c>
      <c r="H1123" s="2" t="s">
        <v>753</v>
      </c>
      <c r="I1123" s="2" t="s">
        <v>755</v>
      </c>
      <c r="J1123" s="2" t="s">
        <v>754</v>
      </c>
      <c r="K1123" s="2" t="s">
        <v>753</v>
      </c>
      <c r="L1123" s="6">
        <v>224</v>
      </c>
      <c r="M1123" s="2" t="s">
        <v>752</v>
      </c>
      <c r="N1123" s="7">
        <v>25.25</v>
      </c>
      <c r="O1123" s="4">
        <v>5656</v>
      </c>
      <c r="P1123" s="4">
        <v>5656</v>
      </c>
      <c r="Q1123" s="6">
        <v>0</v>
      </c>
    </row>
    <row r="1124" spans="1:17" x14ac:dyDescent="0.25">
      <c r="A1124" s="2" t="s">
        <v>365</v>
      </c>
      <c r="B1124" s="2" t="s">
        <v>41</v>
      </c>
      <c r="C1124" s="2" t="s">
        <v>42</v>
      </c>
      <c r="D1124" s="2" t="s">
        <v>758</v>
      </c>
      <c r="E1124" s="2" t="s">
        <v>817</v>
      </c>
      <c r="F1124" s="2" t="s">
        <v>937</v>
      </c>
      <c r="G1124" s="3">
        <v>46128</v>
      </c>
      <c r="H1124" s="2" t="s">
        <v>753</v>
      </c>
      <c r="I1124" s="2" t="s">
        <v>755</v>
      </c>
      <c r="J1124" s="2" t="s">
        <v>754</v>
      </c>
      <c r="K1124" s="2" t="s">
        <v>753</v>
      </c>
      <c r="L1124" s="6">
        <v>96</v>
      </c>
      <c r="M1124" s="2" t="s">
        <v>752</v>
      </c>
      <c r="N1124" s="7">
        <v>28.88</v>
      </c>
      <c r="O1124" s="4">
        <v>2772.48</v>
      </c>
      <c r="P1124" s="4">
        <v>2772.48</v>
      </c>
      <c r="Q1124" s="6">
        <v>0</v>
      </c>
    </row>
    <row r="1125" spans="1:17" x14ac:dyDescent="0.25">
      <c r="A1125" s="2" t="s">
        <v>365</v>
      </c>
      <c r="B1125" s="2" t="s">
        <v>41</v>
      </c>
      <c r="C1125" s="2" t="s">
        <v>42</v>
      </c>
      <c r="D1125" s="2" t="s">
        <v>758</v>
      </c>
      <c r="E1125" s="2" t="s">
        <v>813</v>
      </c>
      <c r="F1125" s="2" t="s">
        <v>812</v>
      </c>
      <c r="G1125" s="3">
        <v>46128</v>
      </c>
      <c r="H1125" s="2" t="s">
        <v>753</v>
      </c>
      <c r="I1125" s="2" t="s">
        <v>755</v>
      </c>
      <c r="J1125" s="2" t="s">
        <v>754</v>
      </c>
      <c r="K1125" s="2" t="s">
        <v>753</v>
      </c>
      <c r="L1125" s="6">
        <v>48</v>
      </c>
      <c r="M1125" s="2" t="s">
        <v>752</v>
      </c>
      <c r="N1125" s="7">
        <v>36.630000000000003</v>
      </c>
      <c r="O1125" s="4">
        <v>1758.24</v>
      </c>
      <c r="P1125" s="4">
        <v>1758.24</v>
      </c>
      <c r="Q1125" s="6">
        <v>0</v>
      </c>
    </row>
    <row r="1126" spans="1:17" x14ac:dyDescent="0.25">
      <c r="A1126" s="2" t="s">
        <v>365</v>
      </c>
      <c r="B1126" s="2" t="s">
        <v>41</v>
      </c>
      <c r="C1126" s="2" t="s">
        <v>42</v>
      </c>
      <c r="D1126" s="2" t="s">
        <v>758</v>
      </c>
      <c r="E1126" s="2" t="s">
        <v>780</v>
      </c>
      <c r="F1126" s="2" t="s">
        <v>779</v>
      </c>
      <c r="G1126" s="3">
        <v>46128</v>
      </c>
      <c r="H1126" s="2" t="s">
        <v>753</v>
      </c>
      <c r="I1126" s="2" t="s">
        <v>755</v>
      </c>
      <c r="J1126" s="2" t="s">
        <v>754</v>
      </c>
      <c r="K1126" s="2" t="s">
        <v>753</v>
      </c>
      <c r="L1126" s="6">
        <v>28</v>
      </c>
      <c r="M1126" s="2" t="s">
        <v>752</v>
      </c>
      <c r="N1126" s="7">
        <v>35</v>
      </c>
      <c r="O1126" s="4">
        <v>980</v>
      </c>
      <c r="P1126" s="4">
        <v>980</v>
      </c>
      <c r="Q1126" s="6">
        <v>0</v>
      </c>
    </row>
    <row r="1127" spans="1:17" x14ac:dyDescent="0.25">
      <c r="A1127" s="2" t="s">
        <v>365</v>
      </c>
      <c r="B1127" s="2" t="s">
        <v>41</v>
      </c>
      <c r="C1127" s="2" t="s">
        <v>42</v>
      </c>
      <c r="D1127" s="2" t="s">
        <v>758</v>
      </c>
      <c r="E1127" s="2" t="s">
        <v>763</v>
      </c>
      <c r="F1127" s="2" t="s">
        <v>762</v>
      </c>
      <c r="G1127" s="3">
        <v>46128</v>
      </c>
      <c r="H1127" s="2" t="s">
        <v>753</v>
      </c>
      <c r="I1127" s="2" t="s">
        <v>755</v>
      </c>
      <c r="J1127" s="2" t="s">
        <v>754</v>
      </c>
      <c r="K1127" s="2" t="s">
        <v>753</v>
      </c>
      <c r="L1127" s="6">
        <v>280</v>
      </c>
      <c r="M1127" s="2" t="s">
        <v>752</v>
      </c>
      <c r="N1127" s="7">
        <v>40.43</v>
      </c>
      <c r="O1127" s="4">
        <v>11320.4</v>
      </c>
      <c r="P1127" s="4">
        <v>11320.4</v>
      </c>
      <c r="Q1127" s="6">
        <v>0</v>
      </c>
    </row>
    <row r="1128" spans="1:17" x14ac:dyDescent="0.25">
      <c r="A1128" s="2" t="s">
        <v>413</v>
      </c>
      <c r="B1128" s="2" t="s">
        <v>45</v>
      </c>
      <c r="C1128" s="2" t="s">
        <v>46</v>
      </c>
      <c r="D1128" s="2" t="s">
        <v>758</v>
      </c>
      <c r="E1128" s="2" t="s">
        <v>757</v>
      </c>
      <c r="F1128" s="2" t="s">
        <v>756</v>
      </c>
      <c r="G1128" s="3">
        <v>46115</v>
      </c>
      <c r="H1128" s="2" t="s">
        <v>753</v>
      </c>
      <c r="I1128" s="2" t="s">
        <v>755</v>
      </c>
      <c r="J1128" s="2" t="s">
        <v>754</v>
      </c>
      <c r="K1128" s="2" t="s">
        <v>753</v>
      </c>
      <c r="L1128" s="6">
        <v>112</v>
      </c>
      <c r="M1128" s="2" t="s">
        <v>752</v>
      </c>
      <c r="N1128" s="7">
        <v>10.7</v>
      </c>
      <c r="O1128" s="4">
        <v>1198.4000000000001</v>
      </c>
      <c r="P1128" s="4">
        <v>1198.4000000000001</v>
      </c>
      <c r="Q1128" s="6">
        <v>0</v>
      </c>
    </row>
    <row r="1129" spans="1:17" x14ac:dyDescent="0.25">
      <c r="A1129" s="2" t="s">
        <v>413</v>
      </c>
      <c r="B1129" s="2" t="s">
        <v>45</v>
      </c>
      <c r="C1129" s="2" t="s">
        <v>46</v>
      </c>
      <c r="D1129" s="2" t="s">
        <v>758</v>
      </c>
      <c r="E1129" s="2" t="s">
        <v>849</v>
      </c>
      <c r="F1129" s="2" t="s">
        <v>848</v>
      </c>
      <c r="G1129" s="3">
        <v>46115</v>
      </c>
      <c r="H1129" s="2" t="s">
        <v>753</v>
      </c>
      <c r="I1129" s="2" t="s">
        <v>755</v>
      </c>
      <c r="J1129" s="2" t="s">
        <v>754</v>
      </c>
      <c r="K1129" s="2" t="s">
        <v>753</v>
      </c>
      <c r="L1129" s="6">
        <v>84</v>
      </c>
      <c r="M1129" s="2" t="s">
        <v>752</v>
      </c>
      <c r="N1129" s="7">
        <v>9.6999999999999993</v>
      </c>
      <c r="O1129" s="4">
        <v>814.8</v>
      </c>
      <c r="P1129" s="4">
        <v>814.8</v>
      </c>
      <c r="Q1129" s="6">
        <v>0</v>
      </c>
    </row>
    <row r="1130" spans="1:17" x14ac:dyDescent="0.25">
      <c r="A1130" s="2" t="s">
        <v>413</v>
      </c>
      <c r="B1130" s="2" t="s">
        <v>45</v>
      </c>
      <c r="C1130" s="2" t="s">
        <v>46</v>
      </c>
      <c r="D1130" s="2" t="s">
        <v>758</v>
      </c>
      <c r="E1130" s="2" t="s">
        <v>817</v>
      </c>
      <c r="F1130" s="2" t="s">
        <v>937</v>
      </c>
      <c r="G1130" s="3">
        <v>46115</v>
      </c>
      <c r="H1130" s="2" t="s">
        <v>753</v>
      </c>
      <c r="I1130" s="2" t="s">
        <v>755</v>
      </c>
      <c r="J1130" s="2" t="s">
        <v>754</v>
      </c>
      <c r="K1130" s="2" t="s">
        <v>753</v>
      </c>
      <c r="L1130" s="6">
        <v>84</v>
      </c>
      <c r="M1130" s="2" t="s">
        <v>752</v>
      </c>
      <c r="N1130" s="7">
        <v>2.7</v>
      </c>
      <c r="O1130" s="4">
        <v>226.8</v>
      </c>
      <c r="P1130" s="4">
        <v>226.8</v>
      </c>
      <c r="Q1130" s="6">
        <v>0</v>
      </c>
    </row>
    <row r="1131" spans="1:17" x14ac:dyDescent="0.25">
      <c r="A1131" s="2" t="s">
        <v>413</v>
      </c>
      <c r="B1131" s="2" t="s">
        <v>45</v>
      </c>
      <c r="C1131" s="2" t="s">
        <v>46</v>
      </c>
      <c r="D1131" s="2" t="s">
        <v>758</v>
      </c>
      <c r="E1131" s="2" t="s">
        <v>786</v>
      </c>
      <c r="F1131" s="2" t="s">
        <v>785</v>
      </c>
      <c r="G1131" s="3">
        <v>46115</v>
      </c>
      <c r="H1131" s="2" t="s">
        <v>753</v>
      </c>
      <c r="I1131" s="2" t="s">
        <v>755</v>
      </c>
      <c r="J1131" s="2" t="s">
        <v>754</v>
      </c>
      <c r="K1131" s="2" t="s">
        <v>753</v>
      </c>
      <c r="L1131" s="6">
        <v>56</v>
      </c>
      <c r="M1131" s="2" t="s">
        <v>752</v>
      </c>
      <c r="N1131" s="7">
        <v>4.7</v>
      </c>
      <c r="O1131" s="4">
        <v>263.2</v>
      </c>
      <c r="P1131" s="4">
        <v>263.2</v>
      </c>
      <c r="Q1131" s="6">
        <v>0</v>
      </c>
    </row>
    <row r="1132" spans="1:17" x14ac:dyDescent="0.25">
      <c r="A1132" s="2" t="s">
        <v>413</v>
      </c>
      <c r="B1132" s="2" t="s">
        <v>45</v>
      </c>
      <c r="C1132" s="2" t="s">
        <v>46</v>
      </c>
      <c r="D1132" s="2" t="s">
        <v>758</v>
      </c>
      <c r="E1132" s="2" t="s">
        <v>776</v>
      </c>
      <c r="F1132" s="2" t="s">
        <v>775</v>
      </c>
      <c r="G1132" s="3">
        <v>46115</v>
      </c>
      <c r="H1132" s="2" t="s">
        <v>753</v>
      </c>
      <c r="I1132" s="2" t="s">
        <v>755</v>
      </c>
      <c r="J1132" s="2" t="s">
        <v>754</v>
      </c>
      <c r="K1132" s="2" t="s">
        <v>753</v>
      </c>
      <c r="L1132" s="6">
        <v>112</v>
      </c>
      <c r="M1132" s="2" t="s">
        <v>752</v>
      </c>
      <c r="N1132" s="7">
        <v>6.52</v>
      </c>
      <c r="O1132" s="4">
        <v>730.24</v>
      </c>
      <c r="P1132" s="4">
        <v>730.24</v>
      </c>
      <c r="Q1132" s="6">
        <v>0</v>
      </c>
    </row>
    <row r="1133" spans="1:17" x14ac:dyDescent="0.25">
      <c r="A1133" s="2" t="s">
        <v>413</v>
      </c>
      <c r="B1133" s="2" t="s">
        <v>45</v>
      </c>
      <c r="C1133" s="2" t="s">
        <v>46</v>
      </c>
      <c r="D1133" s="2" t="s">
        <v>758</v>
      </c>
      <c r="E1133" s="2" t="s">
        <v>950</v>
      </c>
      <c r="F1133" s="2" t="s">
        <v>949</v>
      </c>
      <c r="G1133" s="3">
        <v>46115</v>
      </c>
      <c r="H1133" s="2" t="s">
        <v>753</v>
      </c>
      <c r="I1133" s="2" t="s">
        <v>755</v>
      </c>
      <c r="J1133" s="2" t="s">
        <v>754</v>
      </c>
      <c r="K1133" s="2" t="s">
        <v>753</v>
      </c>
      <c r="L1133" s="6">
        <v>28</v>
      </c>
      <c r="M1133" s="2" t="s">
        <v>752</v>
      </c>
      <c r="N1133" s="7">
        <v>2</v>
      </c>
      <c r="O1133" s="4">
        <v>56</v>
      </c>
      <c r="P1133" s="4">
        <v>56</v>
      </c>
      <c r="Q1133" s="6">
        <v>0</v>
      </c>
    </row>
    <row r="1134" spans="1:17" x14ac:dyDescent="0.25">
      <c r="A1134" s="2" t="s">
        <v>413</v>
      </c>
      <c r="B1134" s="2" t="s">
        <v>45</v>
      </c>
      <c r="C1134" s="2" t="s">
        <v>46</v>
      </c>
      <c r="D1134" s="2" t="s">
        <v>758</v>
      </c>
      <c r="E1134" s="2" t="s">
        <v>776</v>
      </c>
      <c r="F1134" s="2" t="s">
        <v>775</v>
      </c>
      <c r="G1134" s="3">
        <v>46115</v>
      </c>
      <c r="H1134" s="2" t="s">
        <v>753</v>
      </c>
      <c r="I1134" s="2" t="s">
        <v>755</v>
      </c>
      <c r="J1134" s="2" t="s">
        <v>754</v>
      </c>
      <c r="K1134" s="2" t="s">
        <v>753</v>
      </c>
      <c r="L1134" s="6">
        <v>84</v>
      </c>
      <c r="M1134" s="2" t="s">
        <v>752</v>
      </c>
      <c r="N1134" s="7">
        <v>2.7</v>
      </c>
      <c r="O1134" s="4">
        <v>226.8</v>
      </c>
      <c r="P1134" s="4">
        <v>226.8</v>
      </c>
      <c r="Q1134" s="6">
        <v>0</v>
      </c>
    </row>
    <row r="1135" spans="1:17" x14ac:dyDescent="0.25">
      <c r="A1135" s="2" t="s">
        <v>413</v>
      </c>
      <c r="B1135" s="2" t="s">
        <v>45</v>
      </c>
      <c r="C1135" s="2" t="s">
        <v>46</v>
      </c>
      <c r="D1135" s="2" t="s">
        <v>758</v>
      </c>
      <c r="E1135" s="2" t="s">
        <v>950</v>
      </c>
      <c r="F1135" s="2" t="s">
        <v>949</v>
      </c>
      <c r="G1135" s="3">
        <v>46115</v>
      </c>
      <c r="H1135" s="2" t="s">
        <v>753</v>
      </c>
      <c r="I1135" s="2" t="s">
        <v>755</v>
      </c>
      <c r="J1135" s="2" t="s">
        <v>754</v>
      </c>
      <c r="K1135" s="2" t="s">
        <v>753</v>
      </c>
      <c r="L1135" s="6">
        <v>28</v>
      </c>
      <c r="M1135" s="2" t="s">
        <v>752</v>
      </c>
      <c r="N1135" s="7">
        <v>2</v>
      </c>
      <c r="O1135" s="4">
        <v>56</v>
      </c>
      <c r="P1135" s="4">
        <v>56</v>
      </c>
      <c r="Q1135" s="6">
        <v>0</v>
      </c>
    </row>
    <row r="1136" spans="1:17" x14ac:dyDescent="0.25">
      <c r="A1136" s="2" t="s">
        <v>344</v>
      </c>
      <c r="B1136" s="2" t="s">
        <v>15</v>
      </c>
      <c r="C1136" s="2" t="s">
        <v>16</v>
      </c>
      <c r="D1136" s="2" t="s">
        <v>758</v>
      </c>
      <c r="E1136" s="2" t="s">
        <v>763</v>
      </c>
      <c r="F1136" s="2" t="s">
        <v>762</v>
      </c>
      <c r="G1136" s="3">
        <v>46133</v>
      </c>
      <c r="H1136" s="2" t="s">
        <v>770</v>
      </c>
      <c r="I1136" s="2" t="s">
        <v>755</v>
      </c>
      <c r="J1136" s="2" t="s">
        <v>754</v>
      </c>
      <c r="K1136" s="2" t="s">
        <v>753</v>
      </c>
      <c r="L1136" s="6">
        <v>644</v>
      </c>
      <c r="M1136" s="2" t="s">
        <v>752</v>
      </c>
      <c r="N1136" s="7">
        <v>42.6</v>
      </c>
      <c r="O1136" s="4">
        <v>27434.400000000001</v>
      </c>
      <c r="P1136" s="4">
        <v>27434.400000000001</v>
      </c>
      <c r="Q1136" s="6">
        <v>0</v>
      </c>
    </row>
    <row r="1137" spans="1:17" x14ac:dyDescent="0.25">
      <c r="A1137" s="2" t="s">
        <v>344</v>
      </c>
      <c r="B1137" s="2" t="s">
        <v>15</v>
      </c>
      <c r="C1137" s="2" t="s">
        <v>16</v>
      </c>
      <c r="D1137" s="2" t="s">
        <v>758</v>
      </c>
      <c r="E1137" s="2" t="s">
        <v>772</v>
      </c>
      <c r="F1137" s="2" t="s">
        <v>771</v>
      </c>
      <c r="G1137" s="3">
        <v>46133</v>
      </c>
      <c r="H1137" s="2" t="s">
        <v>770</v>
      </c>
      <c r="I1137" s="2" t="s">
        <v>755</v>
      </c>
      <c r="J1137" s="2" t="s">
        <v>754</v>
      </c>
      <c r="K1137" s="2" t="s">
        <v>753</v>
      </c>
      <c r="L1137" s="6">
        <v>140</v>
      </c>
      <c r="M1137" s="2" t="s">
        <v>752</v>
      </c>
      <c r="N1137" s="7">
        <v>34.5</v>
      </c>
      <c r="O1137" s="4">
        <v>4830</v>
      </c>
      <c r="P1137" s="4">
        <v>4830</v>
      </c>
      <c r="Q1137" s="6">
        <v>0</v>
      </c>
    </row>
    <row r="1138" spans="1:17" x14ac:dyDescent="0.25">
      <c r="A1138" s="2" t="s">
        <v>363</v>
      </c>
      <c r="B1138" s="2" t="s">
        <v>21</v>
      </c>
      <c r="C1138" s="2" t="s">
        <v>22</v>
      </c>
      <c r="D1138" s="2" t="s">
        <v>758</v>
      </c>
      <c r="E1138" s="2" t="s">
        <v>763</v>
      </c>
      <c r="F1138" s="2" t="s">
        <v>762</v>
      </c>
      <c r="G1138" s="3">
        <v>46128</v>
      </c>
      <c r="H1138" s="2" t="s">
        <v>753</v>
      </c>
      <c r="I1138" s="2" t="s">
        <v>755</v>
      </c>
      <c r="J1138" s="2" t="s">
        <v>754</v>
      </c>
      <c r="K1138" s="2" t="s">
        <v>753</v>
      </c>
      <c r="L1138" s="6">
        <v>252</v>
      </c>
      <c r="M1138" s="2" t="s">
        <v>752</v>
      </c>
      <c r="N1138" s="7">
        <v>42.6</v>
      </c>
      <c r="O1138" s="4">
        <v>10735.2</v>
      </c>
      <c r="P1138" s="4">
        <v>10735.2</v>
      </c>
      <c r="Q1138" s="6">
        <v>0</v>
      </c>
    </row>
    <row r="1139" spans="1:17" x14ac:dyDescent="0.25">
      <c r="A1139" s="2" t="s">
        <v>363</v>
      </c>
      <c r="B1139" s="2" t="s">
        <v>21</v>
      </c>
      <c r="C1139" s="2" t="s">
        <v>22</v>
      </c>
      <c r="D1139" s="2" t="s">
        <v>758</v>
      </c>
      <c r="E1139" s="2" t="s">
        <v>823</v>
      </c>
      <c r="F1139" s="2" t="s">
        <v>822</v>
      </c>
      <c r="G1139" s="3">
        <v>46128</v>
      </c>
      <c r="H1139" s="2" t="s">
        <v>753</v>
      </c>
      <c r="I1139" s="2" t="s">
        <v>755</v>
      </c>
      <c r="J1139" s="2" t="s">
        <v>754</v>
      </c>
      <c r="K1139" s="2" t="s">
        <v>753</v>
      </c>
      <c r="L1139" s="6">
        <v>4</v>
      </c>
      <c r="M1139" s="2" t="s">
        <v>752</v>
      </c>
      <c r="N1139" s="7">
        <v>54</v>
      </c>
      <c r="O1139" s="4">
        <v>216</v>
      </c>
      <c r="P1139" s="4">
        <v>216</v>
      </c>
      <c r="Q1139" s="6">
        <v>0</v>
      </c>
    </row>
    <row r="1140" spans="1:17" x14ac:dyDescent="0.25">
      <c r="A1140" s="2" t="s">
        <v>363</v>
      </c>
      <c r="B1140" s="2" t="s">
        <v>21</v>
      </c>
      <c r="C1140" s="2" t="s">
        <v>22</v>
      </c>
      <c r="D1140" s="2" t="s">
        <v>758</v>
      </c>
      <c r="E1140" s="2" t="s">
        <v>792</v>
      </c>
      <c r="F1140" s="2" t="s">
        <v>943</v>
      </c>
      <c r="G1140" s="3">
        <v>46128</v>
      </c>
      <c r="H1140" s="2" t="s">
        <v>753</v>
      </c>
      <c r="I1140" s="2" t="s">
        <v>755</v>
      </c>
      <c r="J1140" s="2" t="s">
        <v>754</v>
      </c>
      <c r="K1140" s="2" t="s">
        <v>753</v>
      </c>
      <c r="L1140" s="6">
        <v>4</v>
      </c>
      <c r="M1140" s="2" t="s">
        <v>752</v>
      </c>
      <c r="N1140" s="7">
        <v>35</v>
      </c>
      <c r="O1140" s="4">
        <v>140</v>
      </c>
      <c r="P1140" s="4">
        <v>140</v>
      </c>
      <c r="Q1140" s="6">
        <v>0</v>
      </c>
    </row>
    <row r="1141" spans="1:17" x14ac:dyDescent="0.25">
      <c r="A1141" s="2" t="s">
        <v>363</v>
      </c>
      <c r="B1141" s="2" t="s">
        <v>21</v>
      </c>
      <c r="C1141" s="2" t="s">
        <v>22</v>
      </c>
      <c r="D1141" s="2" t="s">
        <v>758</v>
      </c>
      <c r="E1141" s="2" t="s">
        <v>788</v>
      </c>
      <c r="F1141" s="2" t="s">
        <v>787</v>
      </c>
      <c r="G1141" s="3">
        <v>46128</v>
      </c>
      <c r="H1141" s="2" t="s">
        <v>753</v>
      </c>
      <c r="I1141" s="2" t="s">
        <v>755</v>
      </c>
      <c r="J1141" s="2" t="s">
        <v>754</v>
      </c>
      <c r="K1141" s="2" t="s">
        <v>753</v>
      </c>
      <c r="L1141" s="6">
        <v>56</v>
      </c>
      <c r="M1141" s="2" t="s">
        <v>752</v>
      </c>
      <c r="N1141" s="7">
        <v>38.299999999999997</v>
      </c>
      <c r="O1141" s="4">
        <v>2144.8000000000002</v>
      </c>
      <c r="P1141" s="4">
        <v>2144.8000000000002</v>
      </c>
      <c r="Q1141" s="6">
        <v>0</v>
      </c>
    </row>
    <row r="1142" spans="1:17" x14ac:dyDescent="0.25">
      <c r="A1142" s="2" t="s">
        <v>363</v>
      </c>
      <c r="B1142" s="2" t="s">
        <v>21</v>
      </c>
      <c r="C1142" s="2" t="s">
        <v>22</v>
      </c>
      <c r="D1142" s="2" t="s">
        <v>758</v>
      </c>
      <c r="E1142" s="2" t="s">
        <v>772</v>
      </c>
      <c r="F1142" s="2" t="s">
        <v>771</v>
      </c>
      <c r="G1142" s="3">
        <v>46128</v>
      </c>
      <c r="H1142" s="2" t="s">
        <v>753</v>
      </c>
      <c r="I1142" s="2" t="s">
        <v>755</v>
      </c>
      <c r="J1142" s="2" t="s">
        <v>754</v>
      </c>
      <c r="K1142" s="2" t="s">
        <v>753</v>
      </c>
      <c r="L1142" s="6">
        <v>156</v>
      </c>
      <c r="M1142" s="2" t="s">
        <v>752</v>
      </c>
      <c r="N1142" s="7">
        <v>34.5</v>
      </c>
      <c r="O1142" s="4">
        <v>5382</v>
      </c>
      <c r="P1142" s="4">
        <v>5382</v>
      </c>
      <c r="Q1142" s="6">
        <v>0</v>
      </c>
    </row>
    <row r="1143" spans="1:17" x14ac:dyDescent="0.25">
      <c r="A1143" s="2" t="s">
        <v>363</v>
      </c>
      <c r="B1143" s="2" t="s">
        <v>21</v>
      </c>
      <c r="C1143" s="2" t="s">
        <v>22</v>
      </c>
      <c r="D1143" s="2" t="s">
        <v>758</v>
      </c>
      <c r="E1143" s="2" t="s">
        <v>786</v>
      </c>
      <c r="F1143" s="2" t="s">
        <v>785</v>
      </c>
      <c r="G1143" s="3">
        <v>46128</v>
      </c>
      <c r="H1143" s="2" t="s">
        <v>753</v>
      </c>
      <c r="I1143" s="2" t="s">
        <v>755</v>
      </c>
      <c r="J1143" s="2" t="s">
        <v>754</v>
      </c>
      <c r="K1143" s="2" t="s">
        <v>753</v>
      </c>
      <c r="L1143" s="6">
        <v>84</v>
      </c>
      <c r="M1143" s="2" t="s">
        <v>752</v>
      </c>
      <c r="N1143" s="7">
        <v>35</v>
      </c>
      <c r="O1143" s="4">
        <v>2940</v>
      </c>
      <c r="P1143" s="4">
        <v>2940</v>
      </c>
      <c r="Q1143" s="6">
        <v>0</v>
      </c>
    </row>
    <row r="1144" spans="1:17" x14ac:dyDescent="0.25">
      <c r="A1144" s="2" t="s">
        <v>363</v>
      </c>
      <c r="B1144" s="2" t="s">
        <v>21</v>
      </c>
      <c r="C1144" s="2" t="s">
        <v>22</v>
      </c>
      <c r="D1144" s="2" t="s">
        <v>758</v>
      </c>
      <c r="E1144" s="2" t="s">
        <v>851</v>
      </c>
      <c r="F1144" s="2" t="s">
        <v>850</v>
      </c>
      <c r="G1144" s="3">
        <v>46128</v>
      </c>
      <c r="H1144" s="2" t="s">
        <v>753</v>
      </c>
      <c r="I1144" s="2" t="s">
        <v>755</v>
      </c>
      <c r="J1144" s="2" t="s">
        <v>754</v>
      </c>
      <c r="K1144" s="2" t="s">
        <v>753</v>
      </c>
      <c r="L1144" s="6">
        <v>8</v>
      </c>
      <c r="M1144" s="2" t="s">
        <v>752</v>
      </c>
      <c r="N1144" s="7">
        <v>43.82</v>
      </c>
      <c r="O1144" s="4">
        <v>350.56</v>
      </c>
      <c r="P1144" s="4">
        <v>350.56</v>
      </c>
      <c r="Q1144" s="6">
        <v>0</v>
      </c>
    </row>
    <row r="1145" spans="1:17" x14ac:dyDescent="0.25">
      <c r="A1145" s="2" t="s">
        <v>363</v>
      </c>
      <c r="B1145" s="2" t="s">
        <v>21</v>
      </c>
      <c r="C1145" s="2" t="s">
        <v>22</v>
      </c>
      <c r="D1145" s="2" t="s">
        <v>758</v>
      </c>
      <c r="E1145" s="2" t="s">
        <v>784</v>
      </c>
      <c r="F1145" s="2" t="s">
        <v>783</v>
      </c>
      <c r="G1145" s="3">
        <v>46128</v>
      </c>
      <c r="H1145" s="2" t="s">
        <v>753</v>
      </c>
      <c r="I1145" s="2" t="s">
        <v>755</v>
      </c>
      <c r="J1145" s="2" t="s">
        <v>754</v>
      </c>
      <c r="K1145" s="2" t="s">
        <v>753</v>
      </c>
      <c r="L1145" s="6">
        <v>4</v>
      </c>
      <c r="M1145" s="2" t="s">
        <v>752</v>
      </c>
      <c r="N1145" s="7">
        <v>38.07</v>
      </c>
      <c r="O1145" s="4">
        <v>152.28</v>
      </c>
      <c r="P1145" s="4">
        <v>152.28</v>
      </c>
      <c r="Q1145" s="6">
        <v>0</v>
      </c>
    </row>
    <row r="1146" spans="1:17" x14ac:dyDescent="0.25">
      <c r="A1146" s="2" t="s">
        <v>363</v>
      </c>
      <c r="B1146" s="2" t="s">
        <v>21</v>
      </c>
      <c r="C1146" s="2" t="s">
        <v>22</v>
      </c>
      <c r="D1146" s="2" t="s">
        <v>758</v>
      </c>
      <c r="E1146" s="2" t="s">
        <v>782</v>
      </c>
      <c r="F1146" s="2" t="s">
        <v>781</v>
      </c>
      <c r="G1146" s="3">
        <v>46128</v>
      </c>
      <c r="H1146" s="2" t="s">
        <v>753</v>
      </c>
      <c r="I1146" s="2" t="s">
        <v>755</v>
      </c>
      <c r="J1146" s="2" t="s">
        <v>754</v>
      </c>
      <c r="K1146" s="2" t="s">
        <v>753</v>
      </c>
      <c r="L1146" s="6">
        <v>20</v>
      </c>
      <c r="M1146" s="2" t="s">
        <v>752</v>
      </c>
      <c r="N1146" s="7">
        <v>36.18</v>
      </c>
      <c r="O1146" s="4">
        <v>723.6</v>
      </c>
      <c r="P1146" s="4">
        <v>723.6</v>
      </c>
      <c r="Q1146" s="6">
        <v>0</v>
      </c>
    </row>
    <row r="1147" spans="1:17" x14ac:dyDescent="0.25">
      <c r="A1147" s="2" t="s">
        <v>363</v>
      </c>
      <c r="B1147" s="2" t="s">
        <v>21</v>
      </c>
      <c r="C1147" s="2" t="s">
        <v>22</v>
      </c>
      <c r="D1147" s="2" t="s">
        <v>758</v>
      </c>
      <c r="E1147" s="2" t="s">
        <v>780</v>
      </c>
      <c r="F1147" s="2" t="s">
        <v>779</v>
      </c>
      <c r="G1147" s="3">
        <v>46128</v>
      </c>
      <c r="H1147" s="2" t="s">
        <v>753</v>
      </c>
      <c r="I1147" s="2" t="s">
        <v>755</v>
      </c>
      <c r="J1147" s="2" t="s">
        <v>754</v>
      </c>
      <c r="K1147" s="2" t="s">
        <v>753</v>
      </c>
      <c r="L1147" s="6">
        <v>8</v>
      </c>
      <c r="M1147" s="2" t="s">
        <v>752</v>
      </c>
      <c r="N1147" s="7">
        <v>36.07</v>
      </c>
      <c r="O1147" s="4">
        <v>288.56</v>
      </c>
      <c r="P1147" s="4">
        <v>288.56</v>
      </c>
      <c r="Q1147" s="6">
        <v>0</v>
      </c>
    </row>
    <row r="1148" spans="1:17" x14ac:dyDescent="0.25">
      <c r="A1148" s="2" t="s">
        <v>363</v>
      </c>
      <c r="B1148" s="2" t="s">
        <v>21</v>
      </c>
      <c r="C1148" s="2" t="s">
        <v>22</v>
      </c>
      <c r="D1148" s="2" t="s">
        <v>758</v>
      </c>
      <c r="E1148" s="2" t="s">
        <v>776</v>
      </c>
      <c r="F1148" s="2" t="s">
        <v>775</v>
      </c>
      <c r="G1148" s="3">
        <v>46128</v>
      </c>
      <c r="H1148" s="2" t="s">
        <v>753</v>
      </c>
      <c r="I1148" s="2" t="s">
        <v>755</v>
      </c>
      <c r="J1148" s="2" t="s">
        <v>754</v>
      </c>
      <c r="K1148" s="2" t="s">
        <v>753</v>
      </c>
      <c r="L1148" s="6">
        <v>48</v>
      </c>
      <c r="M1148" s="2" t="s">
        <v>752</v>
      </c>
      <c r="N1148" s="7">
        <v>43.82</v>
      </c>
      <c r="O1148" s="4">
        <v>2103.36</v>
      </c>
      <c r="P1148" s="4">
        <v>2103.36</v>
      </c>
      <c r="Q1148" s="6">
        <v>0</v>
      </c>
    </row>
    <row r="1149" spans="1:17" x14ac:dyDescent="0.25">
      <c r="A1149" s="2" t="s">
        <v>363</v>
      </c>
      <c r="B1149" s="2" t="s">
        <v>21</v>
      </c>
      <c r="C1149" s="2" t="s">
        <v>22</v>
      </c>
      <c r="D1149" s="2" t="s">
        <v>758</v>
      </c>
      <c r="E1149" s="2" t="s">
        <v>837</v>
      </c>
      <c r="F1149" s="2" t="s">
        <v>836</v>
      </c>
      <c r="G1149" s="3">
        <v>46128</v>
      </c>
      <c r="H1149" s="2" t="s">
        <v>753</v>
      </c>
      <c r="I1149" s="2" t="s">
        <v>755</v>
      </c>
      <c r="J1149" s="2" t="s">
        <v>754</v>
      </c>
      <c r="K1149" s="2" t="s">
        <v>753</v>
      </c>
      <c r="L1149" s="6">
        <v>8</v>
      </c>
      <c r="M1149" s="2" t="s">
        <v>752</v>
      </c>
      <c r="N1149" s="7">
        <v>60.7</v>
      </c>
      <c r="O1149" s="4">
        <v>485.6</v>
      </c>
      <c r="P1149" s="4">
        <v>485.6</v>
      </c>
      <c r="Q1149" s="6">
        <v>0</v>
      </c>
    </row>
    <row r="1150" spans="1:17" x14ac:dyDescent="0.25">
      <c r="A1150" s="2" t="s">
        <v>361</v>
      </c>
      <c r="B1150" s="2" t="s">
        <v>99</v>
      </c>
      <c r="C1150" s="2" t="s">
        <v>100</v>
      </c>
      <c r="D1150" s="2" t="s">
        <v>758</v>
      </c>
      <c r="E1150" s="2" t="s">
        <v>863</v>
      </c>
      <c r="F1150" s="2" t="s">
        <v>862</v>
      </c>
      <c r="G1150" s="3">
        <v>46128</v>
      </c>
      <c r="H1150" s="2" t="s">
        <v>770</v>
      </c>
      <c r="I1150" s="2" t="s">
        <v>755</v>
      </c>
      <c r="J1150" s="2" t="s">
        <v>754</v>
      </c>
      <c r="K1150" s="2" t="s">
        <v>753</v>
      </c>
      <c r="L1150" s="6">
        <v>144</v>
      </c>
      <c r="M1150" s="2" t="s">
        <v>752</v>
      </c>
      <c r="N1150" s="7">
        <v>33.299999999999997</v>
      </c>
      <c r="O1150" s="4">
        <v>4795.2</v>
      </c>
      <c r="P1150" s="4">
        <v>4795.2</v>
      </c>
      <c r="Q1150" s="6">
        <v>0</v>
      </c>
    </row>
    <row r="1151" spans="1:17" x14ac:dyDescent="0.25">
      <c r="A1151" s="2" t="s">
        <v>361</v>
      </c>
      <c r="B1151" s="2" t="s">
        <v>99</v>
      </c>
      <c r="C1151" s="2" t="s">
        <v>100</v>
      </c>
      <c r="D1151" s="2" t="s">
        <v>758</v>
      </c>
      <c r="E1151" s="2" t="s">
        <v>763</v>
      </c>
      <c r="F1151" s="2" t="s">
        <v>762</v>
      </c>
      <c r="G1151" s="3">
        <v>46128</v>
      </c>
      <c r="H1151" s="2" t="s">
        <v>770</v>
      </c>
      <c r="I1151" s="2" t="s">
        <v>755</v>
      </c>
      <c r="J1151" s="2" t="s">
        <v>754</v>
      </c>
      <c r="K1151" s="2" t="s">
        <v>753</v>
      </c>
      <c r="L1151" s="6">
        <v>208</v>
      </c>
      <c r="M1151" s="2" t="s">
        <v>752</v>
      </c>
      <c r="N1151" s="7">
        <v>36.82</v>
      </c>
      <c r="O1151" s="4">
        <v>7658.56</v>
      </c>
      <c r="P1151" s="4">
        <v>7658.56</v>
      </c>
      <c r="Q1151" s="6">
        <v>0</v>
      </c>
    </row>
    <row r="1152" spans="1:17" x14ac:dyDescent="0.25">
      <c r="A1152" s="2" t="s">
        <v>361</v>
      </c>
      <c r="B1152" s="2" t="s">
        <v>99</v>
      </c>
      <c r="C1152" s="2" t="s">
        <v>100</v>
      </c>
      <c r="D1152" s="2" t="s">
        <v>758</v>
      </c>
      <c r="E1152" s="2" t="s">
        <v>861</v>
      </c>
      <c r="F1152" s="2" t="s">
        <v>860</v>
      </c>
      <c r="G1152" s="3">
        <v>46128</v>
      </c>
      <c r="H1152" s="2" t="s">
        <v>770</v>
      </c>
      <c r="I1152" s="2" t="s">
        <v>755</v>
      </c>
      <c r="J1152" s="2" t="s">
        <v>754</v>
      </c>
      <c r="K1152" s="2" t="s">
        <v>753</v>
      </c>
      <c r="L1152" s="6">
        <v>128</v>
      </c>
      <c r="M1152" s="2" t="s">
        <v>752</v>
      </c>
      <c r="N1152" s="7">
        <v>39.700000000000003</v>
      </c>
      <c r="O1152" s="4">
        <v>5081.6000000000004</v>
      </c>
      <c r="P1152" s="4">
        <v>5081.6000000000004</v>
      </c>
      <c r="Q1152" s="6">
        <v>0</v>
      </c>
    </row>
    <row r="1153" spans="1:17" x14ac:dyDescent="0.25">
      <c r="A1153" s="2" t="s">
        <v>361</v>
      </c>
      <c r="B1153" s="2" t="s">
        <v>99</v>
      </c>
      <c r="C1153" s="2" t="s">
        <v>100</v>
      </c>
      <c r="D1153" s="2" t="s">
        <v>758</v>
      </c>
      <c r="E1153" s="2" t="s">
        <v>757</v>
      </c>
      <c r="F1153" s="2" t="s">
        <v>756</v>
      </c>
      <c r="G1153" s="3">
        <v>46128</v>
      </c>
      <c r="H1153" s="2" t="s">
        <v>770</v>
      </c>
      <c r="I1153" s="2" t="s">
        <v>755</v>
      </c>
      <c r="J1153" s="2" t="s">
        <v>754</v>
      </c>
      <c r="K1153" s="2" t="s">
        <v>753</v>
      </c>
      <c r="L1153" s="6">
        <v>368</v>
      </c>
      <c r="M1153" s="2" t="s">
        <v>752</v>
      </c>
      <c r="N1153" s="7">
        <v>39.700000000000003</v>
      </c>
      <c r="O1153" s="4">
        <v>14609.6</v>
      </c>
      <c r="P1153" s="4">
        <v>14609.6</v>
      </c>
      <c r="Q1153" s="6">
        <v>0</v>
      </c>
    </row>
    <row r="1154" spans="1:17" x14ac:dyDescent="0.25">
      <c r="A1154" s="2" t="s">
        <v>337</v>
      </c>
      <c r="B1154" s="2" t="s">
        <v>81</v>
      </c>
      <c r="C1154" s="2" t="s">
        <v>82</v>
      </c>
      <c r="D1154" s="2" t="s">
        <v>758</v>
      </c>
      <c r="E1154" s="2" t="s">
        <v>763</v>
      </c>
      <c r="F1154" s="2" t="s">
        <v>762</v>
      </c>
      <c r="G1154" s="3">
        <v>46134</v>
      </c>
      <c r="H1154" s="2" t="s">
        <v>753</v>
      </c>
      <c r="I1154" s="2" t="s">
        <v>755</v>
      </c>
      <c r="J1154" s="2" t="s">
        <v>754</v>
      </c>
      <c r="K1154" s="2" t="s">
        <v>753</v>
      </c>
      <c r="L1154" s="6">
        <v>336</v>
      </c>
      <c r="M1154" s="2" t="s">
        <v>752</v>
      </c>
      <c r="N1154" s="7">
        <v>46</v>
      </c>
      <c r="O1154" s="4">
        <v>15456</v>
      </c>
      <c r="P1154" s="4">
        <v>15456</v>
      </c>
      <c r="Q1154" s="6">
        <v>0</v>
      </c>
    </row>
    <row r="1155" spans="1:17" x14ac:dyDescent="0.25">
      <c r="A1155" s="2" t="s">
        <v>337</v>
      </c>
      <c r="B1155" s="2" t="s">
        <v>81</v>
      </c>
      <c r="C1155" s="2" t="s">
        <v>82</v>
      </c>
      <c r="D1155" s="2" t="s">
        <v>758</v>
      </c>
      <c r="E1155" s="2" t="s">
        <v>807</v>
      </c>
      <c r="F1155" s="2" t="s">
        <v>806</v>
      </c>
      <c r="G1155" s="3">
        <v>46134</v>
      </c>
      <c r="H1155" s="2" t="s">
        <v>753</v>
      </c>
      <c r="I1155" s="2" t="s">
        <v>755</v>
      </c>
      <c r="J1155" s="2" t="s">
        <v>754</v>
      </c>
      <c r="K1155" s="2" t="s">
        <v>753</v>
      </c>
      <c r="L1155" s="6">
        <v>48</v>
      </c>
      <c r="M1155" s="2" t="s">
        <v>752</v>
      </c>
      <c r="N1155" s="7">
        <v>0</v>
      </c>
      <c r="O1155" s="4">
        <v>0</v>
      </c>
      <c r="P1155" s="4">
        <v>0</v>
      </c>
      <c r="Q1155" s="6">
        <v>0</v>
      </c>
    </row>
    <row r="1156" spans="1:17" x14ac:dyDescent="0.25">
      <c r="A1156" s="2" t="s">
        <v>329</v>
      </c>
      <c r="B1156" s="2" t="s">
        <v>139</v>
      </c>
      <c r="C1156" s="2" t="s">
        <v>140</v>
      </c>
      <c r="D1156" s="2" t="s">
        <v>758</v>
      </c>
      <c r="E1156" s="2" t="s">
        <v>865</v>
      </c>
      <c r="F1156" s="2" t="s">
        <v>864</v>
      </c>
      <c r="G1156" s="3">
        <v>46135</v>
      </c>
      <c r="H1156" s="2" t="s">
        <v>753</v>
      </c>
      <c r="I1156" s="2" t="s">
        <v>755</v>
      </c>
      <c r="J1156" s="2" t="s">
        <v>754</v>
      </c>
      <c r="K1156" s="2" t="s">
        <v>753</v>
      </c>
      <c r="L1156" s="6">
        <v>65</v>
      </c>
      <c r="M1156" s="2" t="s">
        <v>752</v>
      </c>
      <c r="N1156" s="7">
        <v>40.11</v>
      </c>
      <c r="O1156" s="4">
        <v>2607.15</v>
      </c>
      <c r="P1156" s="4">
        <v>2607.15</v>
      </c>
      <c r="Q1156" s="6">
        <v>0</v>
      </c>
    </row>
    <row r="1157" spans="1:17" x14ac:dyDescent="0.25">
      <c r="A1157" s="2" t="s">
        <v>329</v>
      </c>
      <c r="B1157" s="2" t="s">
        <v>139</v>
      </c>
      <c r="C1157" s="2" t="s">
        <v>140</v>
      </c>
      <c r="D1157" s="2" t="s">
        <v>758</v>
      </c>
      <c r="E1157" s="2" t="s">
        <v>922</v>
      </c>
      <c r="F1157" s="2" t="s">
        <v>921</v>
      </c>
      <c r="G1157" s="3">
        <v>46135</v>
      </c>
      <c r="H1157" s="2" t="s">
        <v>753</v>
      </c>
      <c r="I1157" s="2" t="s">
        <v>755</v>
      </c>
      <c r="J1157" s="2" t="s">
        <v>754</v>
      </c>
      <c r="K1157" s="2" t="s">
        <v>753</v>
      </c>
      <c r="L1157" s="6">
        <v>12</v>
      </c>
      <c r="M1157" s="2" t="s">
        <v>752</v>
      </c>
      <c r="N1157" s="7">
        <v>48.57</v>
      </c>
      <c r="O1157" s="4">
        <v>582.84</v>
      </c>
      <c r="P1157" s="4">
        <v>582.84</v>
      </c>
      <c r="Q1157" s="6">
        <v>0</v>
      </c>
    </row>
    <row r="1158" spans="1:17" x14ac:dyDescent="0.25">
      <c r="A1158" s="2" t="s">
        <v>329</v>
      </c>
      <c r="B1158" s="2" t="s">
        <v>139</v>
      </c>
      <c r="C1158" s="2" t="s">
        <v>140</v>
      </c>
      <c r="D1158" s="2" t="s">
        <v>758</v>
      </c>
      <c r="E1158" s="2" t="s">
        <v>827</v>
      </c>
      <c r="F1158" s="2" t="s">
        <v>826</v>
      </c>
      <c r="G1158" s="3">
        <v>46135</v>
      </c>
      <c r="H1158" s="2" t="s">
        <v>753</v>
      </c>
      <c r="I1158" s="2" t="s">
        <v>755</v>
      </c>
      <c r="J1158" s="2" t="s">
        <v>754</v>
      </c>
      <c r="K1158" s="2" t="s">
        <v>753</v>
      </c>
      <c r="L1158" s="6">
        <v>32</v>
      </c>
      <c r="M1158" s="2" t="s">
        <v>752</v>
      </c>
      <c r="N1158" s="7">
        <v>40.85</v>
      </c>
      <c r="O1158" s="4">
        <v>1307.2</v>
      </c>
      <c r="P1158" s="4">
        <v>1307.2</v>
      </c>
      <c r="Q1158" s="6">
        <v>0</v>
      </c>
    </row>
    <row r="1159" spans="1:17" x14ac:dyDescent="0.25">
      <c r="A1159" s="2" t="s">
        <v>329</v>
      </c>
      <c r="B1159" s="2" t="s">
        <v>139</v>
      </c>
      <c r="C1159" s="2" t="s">
        <v>140</v>
      </c>
      <c r="D1159" s="2" t="s">
        <v>758</v>
      </c>
      <c r="E1159" s="2" t="s">
        <v>879</v>
      </c>
      <c r="F1159" s="2" t="s">
        <v>878</v>
      </c>
      <c r="G1159" s="3">
        <v>46135</v>
      </c>
      <c r="H1159" s="2" t="s">
        <v>753</v>
      </c>
      <c r="I1159" s="2" t="s">
        <v>755</v>
      </c>
      <c r="J1159" s="2" t="s">
        <v>754</v>
      </c>
      <c r="K1159" s="2" t="s">
        <v>753</v>
      </c>
      <c r="L1159" s="6">
        <v>144</v>
      </c>
      <c r="M1159" s="2" t="s">
        <v>752</v>
      </c>
      <c r="N1159" s="7">
        <v>40.9</v>
      </c>
      <c r="O1159" s="4">
        <v>5889.6</v>
      </c>
      <c r="P1159" s="4">
        <v>5889.6</v>
      </c>
      <c r="Q1159" s="6">
        <v>0</v>
      </c>
    </row>
    <row r="1160" spans="1:17" x14ac:dyDescent="0.25">
      <c r="A1160" s="2" t="s">
        <v>329</v>
      </c>
      <c r="B1160" s="2" t="s">
        <v>139</v>
      </c>
      <c r="C1160" s="2" t="s">
        <v>140</v>
      </c>
      <c r="D1160" s="2" t="s">
        <v>758</v>
      </c>
      <c r="E1160" s="2" t="s">
        <v>847</v>
      </c>
      <c r="F1160" s="2" t="s">
        <v>846</v>
      </c>
      <c r="G1160" s="3">
        <v>46135</v>
      </c>
      <c r="H1160" s="2" t="s">
        <v>753</v>
      </c>
      <c r="I1160" s="2" t="s">
        <v>755</v>
      </c>
      <c r="J1160" s="2" t="s">
        <v>754</v>
      </c>
      <c r="K1160" s="2" t="s">
        <v>753</v>
      </c>
      <c r="L1160" s="6">
        <v>80</v>
      </c>
      <c r="M1160" s="2" t="s">
        <v>752</v>
      </c>
      <c r="N1160" s="7">
        <v>38.08</v>
      </c>
      <c r="O1160" s="4">
        <v>3046.4</v>
      </c>
      <c r="P1160" s="4">
        <v>3046.4</v>
      </c>
      <c r="Q1160" s="6">
        <v>0</v>
      </c>
    </row>
    <row r="1161" spans="1:17" x14ac:dyDescent="0.25">
      <c r="A1161" s="2" t="s">
        <v>329</v>
      </c>
      <c r="B1161" s="2" t="s">
        <v>139</v>
      </c>
      <c r="C1161" s="2" t="s">
        <v>140</v>
      </c>
      <c r="D1161" s="2" t="s">
        <v>758</v>
      </c>
      <c r="E1161" s="2" t="s">
        <v>819</v>
      </c>
      <c r="F1161" s="2" t="s">
        <v>818</v>
      </c>
      <c r="G1161" s="3">
        <v>46135</v>
      </c>
      <c r="H1161" s="2" t="s">
        <v>753</v>
      </c>
      <c r="I1161" s="2" t="s">
        <v>755</v>
      </c>
      <c r="J1161" s="2" t="s">
        <v>754</v>
      </c>
      <c r="K1161" s="2" t="s">
        <v>753</v>
      </c>
      <c r="L1161" s="6">
        <v>64</v>
      </c>
      <c r="M1161" s="2" t="s">
        <v>752</v>
      </c>
      <c r="N1161" s="7">
        <v>40.22</v>
      </c>
      <c r="O1161" s="4">
        <v>2574.08</v>
      </c>
      <c r="P1161" s="4">
        <v>2574.08</v>
      </c>
      <c r="Q1161" s="6">
        <v>0</v>
      </c>
    </row>
    <row r="1162" spans="1:17" x14ac:dyDescent="0.25">
      <c r="A1162" s="2" t="s">
        <v>357</v>
      </c>
      <c r="B1162" s="2" t="s">
        <v>59</v>
      </c>
      <c r="C1162" s="2" t="s">
        <v>60</v>
      </c>
      <c r="D1162" s="2" t="s">
        <v>758</v>
      </c>
      <c r="E1162" s="2" t="s">
        <v>871</v>
      </c>
      <c r="F1162" s="2" t="s">
        <v>870</v>
      </c>
      <c r="G1162" s="3">
        <v>46132</v>
      </c>
      <c r="H1162" s="2" t="s">
        <v>753</v>
      </c>
      <c r="I1162" s="2" t="s">
        <v>755</v>
      </c>
      <c r="J1162" s="2" t="s">
        <v>754</v>
      </c>
      <c r="K1162" s="2" t="s">
        <v>753</v>
      </c>
      <c r="L1162" s="6">
        <v>12</v>
      </c>
      <c r="M1162" s="2" t="s">
        <v>752</v>
      </c>
      <c r="N1162" s="7">
        <v>41.7</v>
      </c>
      <c r="O1162" s="4">
        <v>500.4</v>
      </c>
      <c r="P1162" s="4">
        <v>500.4</v>
      </c>
      <c r="Q1162" s="6">
        <v>0</v>
      </c>
    </row>
    <row r="1163" spans="1:17" x14ac:dyDescent="0.25">
      <c r="A1163" s="2" t="s">
        <v>357</v>
      </c>
      <c r="B1163" s="2" t="s">
        <v>59</v>
      </c>
      <c r="C1163" s="2" t="s">
        <v>60</v>
      </c>
      <c r="D1163" s="2" t="s">
        <v>758</v>
      </c>
      <c r="E1163" s="2" t="s">
        <v>896</v>
      </c>
      <c r="F1163" s="2" t="s">
        <v>895</v>
      </c>
      <c r="G1163" s="3">
        <v>46132</v>
      </c>
      <c r="H1163" s="2" t="s">
        <v>753</v>
      </c>
      <c r="I1163" s="2" t="s">
        <v>755</v>
      </c>
      <c r="J1163" s="2" t="s">
        <v>754</v>
      </c>
      <c r="K1163" s="2" t="s">
        <v>753</v>
      </c>
      <c r="L1163" s="6">
        <v>24</v>
      </c>
      <c r="M1163" s="2" t="s">
        <v>752</v>
      </c>
      <c r="N1163" s="7">
        <v>41.49</v>
      </c>
      <c r="O1163" s="4">
        <v>995.76</v>
      </c>
      <c r="P1163" s="4">
        <v>995.76</v>
      </c>
      <c r="Q1163" s="6">
        <v>0</v>
      </c>
    </row>
    <row r="1164" spans="1:17" x14ac:dyDescent="0.25">
      <c r="A1164" s="2" t="s">
        <v>357</v>
      </c>
      <c r="B1164" s="2" t="s">
        <v>59</v>
      </c>
      <c r="C1164" s="2" t="s">
        <v>60</v>
      </c>
      <c r="D1164" s="2" t="s">
        <v>758</v>
      </c>
      <c r="E1164" s="2" t="s">
        <v>869</v>
      </c>
      <c r="F1164" s="2" t="s">
        <v>868</v>
      </c>
      <c r="G1164" s="3">
        <v>46132</v>
      </c>
      <c r="H1164" s="2" t="s">
        <v>753</v>
      </c>
      <c r="I1164" s="2" t="s">
        <v>755</v>
      </c>
      <c r="J1164" s="2" t="s">
        <v>754</v>
      </c>
      <c r="K1164" s="2" t="s">
        <v>753</v>
      </c>
      <c r="L1164" s="6">
        <v>216</v>
      </c>
      <c r="M1164" s="2" t="s">
        <v>752</v>
      </c>
      <c r="N1164" s="7">
        <v>48.49</v>
      </c>
      <c r="O1164" s="4">
        <v>10473.84</v>
      </c>
      <c r="P1164" s="4">
        <v>10473.84</v>
      </c>
      <c r="Q1164" s="6">
        <v>0</v>
      </c>
    </row>
    <row r="1165" spans="1:17" x14ac:dyDescent="0.25">
      <c r="A1165" s="2" t="s">
        <v>357</v>
      </c>
      <c r="B1165" s="2" t="s">
        <v>59</v>
      </c>
      <c r="C1165" s="2" t="s">
        <v>60</v>
      </c>
      <c r="D1165" s="2" t="s">
        <v>758</v>
      </c>
      <c r="E1165" s="2" t="s">
        <v>867</v>
      </c>
      <c r="F1165" s="2" t="s">
        <v>866</v>
      </c>
      <c r="G1165" s="3">
        <v>46132</v>
      </c>
      <c r="H1165" s="2" t="s">
        <v>753</v>
      </c>
      <c r="I1165" s="2" t="s">
        <v>755</v>
      </c>
      <c r="J1165" s="2" t="s">
        <v>754</v>
      </c>
      <c r="K1165" s="2" t="s">
        <v>753</v>
      </c>
      <c r="L1165" s="6">
        <v>16</v>
      </c>
      <c r="M1165" s="2" t="s">
        <v>752</v>
      </c>
      <c r="N1165" s="7">
        <v>36.299999999999997</v>
      </c>
      <c r="O1165" s="4">
        <v>580.79999999999995</v>
      </c>
      <c r="P1165" s="4">
        <v>580.79999999999995</v>
      </c>
      <c r="Q1165" s="6">
        <v>0</v>
      </c>
    </row>
    <row r="1166" spans="1:17" x14ac:dyDescent="0.25">
      <c r="A1166" s="2" t="s">
        <v>357</v>
      </c>
      <c r="B1166" s="2" t="s">
        <v>59</v>
      </c>
      <c r="C1166" s="2" t="s">
        <v>60</v>
      </c>
      <c r="D1166" s="2" t="s">
        <v>758</v>
      </c>
      <c r="E1166" s="2" t="s">
        <v>863</v>
      </c>
      <c r="F1166" s="2" t="s">
        <v>862</v>
      </c>
      <c r="G1166" s="3">
        <v>46132</v>
      </c>
      <c r="H1166" s="2" t="s">
        <v>753</v>
      </c>
      <c r="I1166" s="2" t="s">
        <v>755</v>
      </c>
      <c r="J1166" s="2" t="s">
        <v>754</v>
      </c>
      <c r="K1166" s="2" t="s">
        <v>753</v>
      </c>
      <c r="L1166" s="6">
        <v>28</v>
      </c>
      <c r="M1166" s="2" t="s">
        <v>752</v>
      </c>
      <c r="N1166" s="7">
        <v>33.299999999999997</v>
      </c>
      <c r="O1166" s="4">
        <v>932.4</v>
      </c>
      <c r="P1166" s="4">
        <v>932.4</v>
      </c>
      <c r="Q1166" s="6">
        <v>0</v>
      </c>
    </row>
    <row r="1167" spans="1:17" x14ac:dyDescent="0.25">
      <c r="A1167" s="2" t="s">
        <v>357</v>
      </c>
      <c r="B1167" s="2" t="s">
        <v>59</v>
      </c>
      <c r="C1167" s="2" t="s">
        <v>60</v>
      </c>
      <c r="D1167" s="2" t="s">
        <v>758</v>
      </c>
      <c r="E1167" s="2" t="s">
        <v>763</v>
      </c>
      <c r="F1167" s="2" t="s">
        <v>762</v>
      </c>
      <c r="G1167" s="3">
        <v>46132</v>
      </c>
      <c r="H1167" s="2" t="s">
        <v>753</v>
      </c>
      <c r="I1167" s="2" t="s">
        <v>755</v>
      </c>
      <c r="J1167" s="2" t="s">
        <v>754</v>
      </c>
      <c r="K1167" s="2" t="s">
        <v>753</v>
      </c>
      <c r="L1167" s="6">
        <v>84</v>
      </c>
      <c r="M1167" s="2" t="s">
        <v>752</v>
      </c>
      <c r="N1167" s="7">
        <v>36.82</v>
      </c>
      <c r="O1167" s="4">
        <v>3092.88</v>
      </c>
      <c r="P1167" s="4">
        <v>3092.88</v>
      </c>
      <c r="Q1167" s="6">
        <v>0</v>
      </c>
    </row>
    <row r="1168" spans="1:17" x14ac:dyDescent="0.25">
      <c r="A1168" s="2" t="s">
        <v>357</v>
      </c>
      <c r="B1168" s="2" t="s">
        <v>59</v>
      </c>
      <c r="C1168" s="2" t="s">
        <v>60</v>
      </c>
      <c r="D1168" s="2" t="s">
        <v>758</v>
      </c>
      <c r="E1168" s="2" t="s">
        <v>861</v>
      </c>
      <c r="F1168" s="2" t="s">
        <v>860</v>
      </c>
      <c r="G1168" s="3">
        <v>46132</v>
      </c>
      <c r="H1168" s="2" t="s">
        <v>753</v>
      </c>
      <c r="I1168" s="2" t="s">
        <v>755</v>
      </c>
      <c r="J1168" s="2" t="s">
        <v>754</v>
      </c>
      <c r="K1168" s="2" t="s">
        <v>753</v>
      </c>
      <c r="L1168" s="6">
        <v>56</v>
      </c>
      <c r="M1168" s="2" t="s">
        <v>752</v>
      </c>
      <c r="N1168" s="7">
        <v>39.700000000000003</v>
      </c>
      <c r="O1168" s="4">
        <v>2223.1999999999998</v>
      </c>
      <c r="P1168" s="4">
        <v>2223.1999999999998</v>
      </c>
      <c r="Q1168" s="6">
        <v>0</v>
      </c>
    </row>
    <row r="1169" spans="1:17" x14ac:dyDescent="0.25">
      <c r="A1169" s="2" t="s">
        <v>357</v>
      </c>
      <c r="B1169" s="2" t="s">
        <v>59</v>
      </c>
      <c r="C1169" s="2" t="s">
        <v>60</v>
      </c>
      <c r="D1169" s="2" t="s">
        <v>758</v>
      </c>
      <c r="E1169" s="2" t="s">
        <v>757</v>
      </c>
      <c r="F1169" s="2" t="s">
        <v>756</v>
      </c>
      <c r="G1169" s="3">
        <v>46132</v>
      </c>
      <c r="H1169" s="2" t="s">
        <v>753</v>
      </c>
      <c r="I1169" s="2" t="s">
        <v>755</v>
      </c>
      <c r="J1169" s="2" t="s">
        <v>754</v>
      </c>
      <c r="K1169" s="2" t="s">
        <v>753</v>
      </c>
      <c r="L1169" s="6">
        <v>252</v>
      </c>
      <c r="M1169" s="2" t="s">
        <v>752</v>
      </c>
      <c r="N1169" s="7">
        <v>39.700000000000003</v>
      </c>
      <c r="O1169" s="4">
        <v>10004.4</v>
      </c>
      <c r="P1169" s="4">
        <v>10004.4</v>
      </c>
      <c r="Q1169" s="6">
        <v>0</v>
      </c>
    </row>
    <row r="1170" spans="1:17" x14ac:dyDescent="0.25">
      <c r="A1170" s="2" t="s">
        <v>357</v>
      </c>
      <c r="B1170" s="2" t="s">
        <v>59</v>
      </c>
      <c r="C1170" s="2" t="s">
        <v>60</v>
      </c>
      <c r="D1170" s="2" t="s">
        <v>758</v>
      </c>
      <c r="E1170" s="2" t="s">
        <v>865</v>
      </c>
      <c r="F1170" s="2" t="s">
        <v>864</v>
      </c>
      <c r="G1170" s="3">
        <v>46132</v>
      </c>
      <c r="H1170" s="2" t="s">
        <v>753</v>
      </c>
      <c r="I1170" s="2" t="s">
        <v>755</v>
      </c>
      <c r="J1170" s="2" t="s">
        <v>754</v>
      </c>
      <c r="K1170" s="2" t="s">
        <v>753</v>
      </c>
      <c r="L1170" s="6">
        <v>36</v>
      </c>
      <c r="M1170" s="2" t="s">
        <v>752</v>
      </c>
      <c r="N1170" s="7">
        <v>36</v>
      </c>
      <c r="O1170" s="4">
        <v>1296</v>
      </c>
      <c r="P1170" s="4">
        <v>1296</v>
      </c>
      <c r="Q1170" s="6">
        <v>0</v>
      </c>
    </row>
    <row r="1171" spans="1:17" x14ac:dyDescent="0.25">
      <c r="A1171" s="2" t="s">
        <v>342</v>
      </c>
      <c r="B1171" s="2" t="s">
        <v>45</v>
      </c>
      <c r="C1171" s="2" t="s">
        <v>46</v>
      </c>
      <c r="D1171" s="2" t="s">
        <v>758</v>
      </c>
      <c r="E1171" s="2" t="s">
        <v>859</v>
      </c>
      <c r="F1171" s="2" t="s">
        <v>858</v>
      </c>
      <c r="G1171" s="3">
        <v>46133</v>
      </c>
      <c r="H1171" s="2" t="s">
        <v>753</v>
      </c>
      <c r="I1171" s="2" t="s">
        <v>755</v>
      </c>
      <c r="J1171" s="2" t="s">
        <v>754</v>
      </c>
      <c r="K1171" s="2" t="s">
        <v>753</v>
      </c>
      <c r="L1171" s="6">
        <v>192</v>
      </c>
      <c r="M1171" s="2" t="s">
        <v>752</v>
      </c>
      <c r="N1171" s="7">
        <v>33.42</v>
      </c>
      <c r="O1171" s="4">
        <v>6416.64</v>
      </c>
      <c r="P1171" s="4">
        <v>6416.64</v>
      </c>
      <c r="Q1171" s="6">
        <v>0</v>
      </c>
    </row>
    <row r="1172" spans="1:17" x14ac:dyDescent="0.25">
      <c r="A1172" s="2" t="s">
        <v>355</v>
      </c>
      <c r="B1172" s="2" t="s">
        <v>119</v>
      </c>
      <c r="C1172" s="2" t="s">
        <v>120</v>
      </c>
      <c r="D1172" s="2" t="s">
        <v>758</v>
      </c>
      <c r="E1172" s="2" t="s">
        <v>916</v>
      </c>
      <c r="F1172" s="2" t="s">
        <v>915</v>
      </c>
      <c r="G1172" s="3">
        <v>46132</v>
      </c>
      <c r="H1172" s="2" t="s">
        <v>753</v>
      </c>
      <c r="I1172" s="2" t="s">
        <v>755</v>
      </c>
      <c r="J1172" s="2" t="s">
        <v>754</v>
      </c>
      <c r="K1172" s="2" t="s">
        <v>753</v>
      </c>
      <c r="L1172" s="6">
        <v>8</v>
      </c>
      <c r="M1172" s="2" t="s">
        <v>752</v>
      </c>
      <c r="N1172" s="7">
        <v>40.78</v>
      </c>
      <c r="O1172" s="4">
        <v>326.24</v>
      </c>
      <c r="P1172" s="4">
        <v>326.24</v>
      </c>
      <c r="Q1172" s="6">
        <v>0</v>
      </c>
    </row>
    <row r="1173" spans="1:17" x14ac:dyDescent="0.25">
      <c r="A1173" s="2" t="s">
        <v>355</v>
      </c>
      <c r="B1173" s="2" t="s">
        <v>119</v>
      </c>
      <c r="C1173" s="2" t="s">
        <v>120</v>
      </c>
      <c r="D1173" s="2" t="s">
        <v>758</v>
      </c>
      <c r="E1173" s="2" t="s">
        <v>936</v>
      </c>
      <c r="F1173" s="2" t="s">
        <v>935</v>
      </c>
      <c r="G1173" s="3">
        <v>46132</v>
      </c>
      <c r="H1173" s="2" t="s">
        <v>753</v>
      </c>
      <c r="I1173" s="2" t="s">
        <v>755</v>
      </c>
      <c r="J1173" s="2" t="s">
        <v>754</v>
      </c>
      <c r="K1173" s="2" t="s">
        <v>753</v>
      </c>
      <c r="L1173" s="6">
        <v>44</v>
      </c>
      <c r="M1173" s="2" t="s">
        <v>752</v>
      </c>
      <c r="N1173" s="7">
        <v>43</v>
      </c>
      <c r="O1173" s="4">
        <v>1892</v>
      </c>
      <c r="P1173" s="4">
        <v>1892</v>
      </c>
      <c r="Q1173" s="6">
        <v>0</v>
      </c>
    </row>
    <row r="1174" spans="1:17" x14ac:dyDescent="0.25">
      <c r="A1174" s="2" t="s">
        <v>355</v>
      </c>
      <c r="B1174" s="2" t="s">
        <v>119</v>
      </c>
      <c r="C1174" s="2" t="s">
        <v>120</v>
      </c>
      <c r="D1174" s="2" t="s">
        <v>758</v>
      </c>
      <c r="E1174" s="2" t="s">
        <v>757</v>
      </c>
      <c r="F1174" s="2" t="s">
        <v>756</v>
      </c>
      <c r="G1174" s="3">
        <v>46132</v>
      </c>
      <c r="H1174" s="2" t="s">
        <v>753</v>
      </c>
      <c r="I1174" s="2" t="s">
        <v>755</v>
      </c>
      <c r="J1174" s="2" t="s">
        <v>754</v>
      </c>
      <c r="K1174" s="2" t="s">
        <v>753</v>
      </c>
      <c r="L1174" s="6">
        <v>8</v>
      </c>
      <c r="M1174" s="2" t="s">
        <v>752</v>
      </c>
      <c r="N1174" s="7">
        <v>42.11</v>
      </c>
      <c r="O1174" s="4">
        <v>336.88</v>
      </c>
      <c r="P1174" s="4">
        <v>336.88</v>
      </c>
      <c r="Q1174" s="6">
        <v>0</v>
      </c>
    </row>
    <row r="1175" spans="1:17" x14ac:dyDescent="0.25">
      <c r="A1175" s="2" t="s">
        <v>355</v>
      </c>
      <c r="B1175" s="2" t="s">
        <v>119</v>
      </c>
      <c r="C1175" s="2" t="s">
        <v>120</v>
      </c>
      <c r="D1175" s="2" t="s">
        <v>758</v>
      </c>
      <c r="E1175" s="2" t="s">
        <v>847</v>
      </c>
      <c r="F1175" s="2" t="s">
        <v>846</v>
      </c>
      <c r="G1175" s="3">
        <v>46132</v>
      </c>
      <c r="H1175" s="2" t="s">
        <v>753</v>
      </c>
      <c r="I1175" s="2" t="s">
        <v>755</v>
      </c>
      <c r="J1175" s="2" t="s">
        <v>754</v>
      </c>
      <c r="K1175" s="2" t="s">
        <v>753</v>
      </c>
      <c r="L1175" s="6">
        <v>84</v>
      </c>
      <c r="M1175" s="2" t="s">
        <v>752</v>
      </c>
      <c r="N1175" s="7">
        <v>38.75</v>
      </c>
      <c r="O1175" s="4">
        <v>3255</v>
      </c>
      <c r="P1175" s="4">
        <v>3255</v>
      </c>
      <c r="Q1175" s="6">
        <v>0</v>
      </c>
    </row>
    <row r="1176" spans="1:17" x14ac:dyDescent="0.25">
      <c r="A1176" s="2" t="s">
        <v>355</v>
      </c>
      <c r="B1176" s="2" t="s">
        <v>119</v>
      </c>
      <c r="C1176" s="2" t="s">
        <v>120</v>
      </c>
      <c r="D1176" s="2" t="s">
        <v>758</v>
      </c>
      <c r="E1176" s="2" t="s">
        <v>807</v>
      </c>
      <c r="F1176" s="2" t="s">
        <v>806</v>
      </c>
      <c r="G1176" s="3">
        <v>46132</v>
      </c>
      <c r="H1176" s="2" t="s">
        <v>753</v>
      </c>
      <c r="I1176" s="2" t="s">
        <v>755</v>
      </c>
      <c r="J1176" s="2" t="s">
        <v>754</v>
      </c>
      <c r="K1176" s="2" t="s">
        <v>753</v>
      </c>
      <c r="L1176" s="6">
        <v>8</v>
      </c>
      <c r="M1176" s="2" t="s">
        <v>752</v>
      </c>
      <c r="N1176" s="7">
        <v>44.65</v>
      </c>
      <c r="O1176" s="4">
        <v>357.2</v>
      </c>
      <c r="P1176" s="4">
        <v>357.2</v>
      </c>
      <c r="Q1176" s="6">
        <v>0</v>
      </c>
    </row>
    <row r="1177" spans="1:17" x14ac:dyDescent="0.25">
      <c r="A1177" s="2" t="s">
        <v>355</v>
      </c>
      <c r="B1177" s="2" t="s">
        <v>119</v>
      </c>
      <c r="C1177" s="2" t="s">
        <v>120</v>
      </c>
      <c r="D1177" s="2" t="s">
        <v>758</v>
      </c>
      <c r="E1177" s="2" t="s">
        <v>845</v>
      </c>
      <c r="F1177" s="2" t="s">
        <v>844</v>
      </c>
      <c r="G1177" s="3">
        <v>46132</v>
      </c>
      <c r="H1177" s="2" t="s">
        <v>753</v>
      </c>
      <c r="I1177" s="2" t="s">
        <v>755</v>
      </c>
      <c r="J1177" s="2" t="s">
        <v>754</v>
      </c>
      <c r="K1177" s="2" t="s">
        <v>753</v>
      </c>
      <c r="L1177" s="6">
        <v>24</v>
      </c>
      <c r="M1177" s="2" t="s">
        <v>752</v>
      </c>
      <c r="N1177" s="7">
        <v>40.619999999999997</v>
      </c>
      <c r="O1177" s="4">
        <v>974.88</v>
      </c>
      <c r="P1177" s="4">
        <v>974.88</v>
      </c>
      <c r="Q1177" s="6">
        <v>0</v>
      </c>
    </row>
    <row r="1178" spans="1:17" x14ac:dyDescent="0.25">
      <c r="A1178" s="2" t="s">
        <v>355</v>
      </c>
      <c r="B1178" s="2" t="s">
        <v>119</v>
      </c>
      <c r="C1178" s="2" t="s">
        <v>120</v>
      </c>
      <c r="D1178" s="2" t="s">
        <v>758</v>
      </c>
      <c r="E1178" s="2" t="s">
        <v>914</v>
      </c>
      <c r="F1178" s="2" t="s">
        <v>913</v>
      </c>
      <c r="G1178" s="3">
        <v>46132</v>
      </c>
      <c r="H1178" s="2" t="s">
        <v>753</v>
      </c>
      <c r="I1178" s="2" t="s">
        <v>755</v>
      </c>
      <c r="J1178" s="2" t="s">
        <v>754</v>
      </c>
      <c r="K1178" s="2" t="s">
        <v>753</v>
      </c>
      <c r="L1178" s="6">
        <v>12</v>
      </c>
      <c r="M1178" s="2" t="s">
        <v>752</v>
      </c>
      <c r="N1178" s="7">
        <v>41.6</v>
      </c>
      <c r="O1178" s="4">
        <v>499.2</v>
      </c>
      <c r="P1178" s="4">
        <v>499.2</v>
      </c>
      <c r="Q1178" s="6">
        <v>0</v>
      </c>
    </row>
    <row r="1179" spans="1:17" x14ac:dyDescent="0.25">
      <c r="A1179" s="2" t="s">
        <v>355</v>
      </c>
      <c r="B1179" s="2" t="s">
        <v>119</v>
      </c>
      <c r="C1179" s="2" t="s">
        <v>120</v>
      </c>
      <c r="D1179" s="2" t="s">
        <v>758</v>
      </c>
      <c r="E1179" s="2" t="s">
        <v>786</v>
      </c>
      <c r="F1179" s="2" t="s">
        <v>785</v>
      </c>
      <c r="G1179" s="3">
        <v>46132</v>
      </c>
      <c r="H1179" s="2" t="s">
        <v>753</v>
      </c>
      <c r="I1179" s="2" t="s">
        <v>755</v>
      </c>
      <c r="J1179" s="2" t="s">
        <v>754</v>
      </c>
      <c r="K1179" s="2" t="s">
        <v>753</v>
      </c>
      <c r="L1179" s="6">
        <v>48</v>
      </c>
      <c r="M1179" s="2" t="s">
        <v>752</v>
      </c>
      <c r="N1179" s="7">
        <v>35</v>
      </c>
      <c r="O1179" s="4">
        <v>1680</v>
      </c>
      <c r="P1179" s="4">
        <v>1680</v>
      </c>
      <c r="Q1179" s="6">
        <v>0</v>
      </c>
    </row>
    <row r="1180" spans="1:17" x14ac:dyDescent="0.25">
      <c r="A1180" s="2" t="s">
        <v>355</v>
      </c>
      <c r="B1180" s="2" t="s">
        <v>119</v>
      </c>
      <c r="C1180" s="2" t="s">
        <v>120</v>
      </c>
      <c r="D1180" s="2" t="s">
        <v>758</v>
      </c>
      <c r="E1180" s="2" t="s">
        <v>782</v>
      </c>
      <c r="F1180" s="2" t="s">
        <v>781</v>
      </c>
      <c r="G1180" s="3">
        <v>46132</v>
      </c>
      <c r="H1180" s="2" t="s">
        <v>753</v>
      </c>
      <c r="I1180" s="2" t="s">
        <v>755</v>
      </c>
      <c r="J1180" s="2" t="s">
        <v>754</v>
      </c>
      <c r="K1180" s="2" t="s">
        <v>753</v>
      </c>
      <c r="L1180" s="6">
        <v>8</v>
      </c>
      <c r="M1180" s="2" t="s">
        <v>752</v>
      </c>
      <c r="N1180" s="7">
        <v>36.18</v>
      </c>
      <c r="O1180" s="4">
        <v>289.44</v>
      </c>
      <c r="P1180" s="4">
        <v>289.44</v>
      </c>
      <c r="Q1180" s="6">
        <v>0</v>
      </c>
    </row>
    <row r="1181" spans="1:17" x14ac:dyDescent="0.25">
      <c r="A1181" s="2" t="s">
        <v>355</v>
      </c>
      <c r="B1181" s="2" t="s">
        <v>119</v>
      </c>
      <c r="C1181" s="2" t="s">
        <v>120</v>
      </c>
      <c r="D1181" s="2" t="s">
        <v>758</v>
      </c>
      <c r="E1181" s="2" t="s">
        <v>813</v>
      </c>
      <c r="F1181" s="2" t="s">
        <v>812</v>
      </c>
      <c r="G1181" s="3">
        <v>46132</v>
      </c>
      <c r="H1181" s="2" t="s">
        <v>753</v>
      </c>
      <c r="I1181" s="2" t="s">
        <v>755</v>
      </c>
      <c r="J1181" s="2" t="s">
        <v>754</v>
      </c>
      <c r="K1181" s="2" t="s">
        <v>753</v>
      </c>
      <c r="L1181" s="6">
        <v>20</v>
      </c>
      <c r="M1181" s="2" t="s">
        <v>752</v>
      </c>
      <c r="N1181" s="7">
        <v>53</v>
      </c>
      <c r="O1181" s="4">
        <v>1060</v>
      </c>
      <c r="P1181" s="4">
        <v>1060</v>
      </c>
      <c r="Q1181" s="6">
        <v>0</v>
      </c>
    </row>
    <row r="1182" spans="1:17" x14ac:dyDescent="0.25">
      <c r="A1182" s="2" t="s">
        <v>355</v>
      </c>
      <c r="B1182" s="2" t="s">
        <v>119</v>
      </c>
      <c r="C1182" s="2" t="s">
        <v>120</v>
      </c>
      <c r="D1182" s="2" t="s">
        <v>758</v>
      </c>
      <c r="E1182" s="2" t="s">
        <v>776</v>
      </c>
      <c r="F1182" s="2" t="s">
        <v>775</v>
      </c>
      <c r="G1182" s="3">
        <v>46132</v>
      </c>
      <c r="H1182" s="2" t="s">
        <v>753</v>
      </c>
      <c r="I1182" s="2" t="s">
        <v>755</v>
      </c>
      <c r="J1182" s="2" t="s">
        <v>754</v>
      </c>
      <c r="K1182" s="2" t="s">
        <v>753</v>
      </c>
      <c r="L1182" s="6">
        <v>36</v>
      </c>
      <c r="M1182" s="2" t="s">
        <v>752</v>
      </c>
      <c r="N1182" s="7">
        <v>43.82</v>
      </c>
      <c r="O1182" s="4">
        <v>1577.52</v>
      </c>
      <c r="P1182" s="4">
        <v>1577.52</v>
      </c>
      <c r="Q1182" s="6">
        <v>0</v>
      </c>
    </row>
    <row r="1183" spans="1:17" x14ac:dyDescent="0.25">
      <c r="A1183" s="2" t="s">
        <v>335</v>
      </c>
      <c r="B1183" s="2" t="s">
        <v>145</v>
      </c>
      <c r="C1183" s="2" t="s">
        <v>146</v>
      </c>
      <c r="D1183" s="2" t="s">
        <v>758</v>
      </c>
      <c r="E1183" s="2" t="s">
        <v>782</v>
      </c>
      <c r="F1183" s="2" t="s">
        <v>781</v>
      </c>
      <c r="G1183" s="3">
        <v>46134</v>
      </c>
      <c r="H1183" s="2" t="s">
        <v>753</v>
      </c>
      <c r="I1183" s="2" t="s">
        <v>755</v>
      </c>
      <c r="J1183" s="2" t="s">
        <v>754</v>
      </c>
      <c r="K1183" s="2" t="s">
        <v>753</v>
      </c>
      <c r="L1183" s="6">
        <v>8</v>
      </c>
      <c r="M1183" s="2" t="s">
        <v>752</v>
      </c>
      <c r="N1183" s="7">
        <v>36.6</v>
      </c>
      <c r="O1183" s="4">
        <v>292.8</v>
      </c>
      <c r="P1183" s="4">
        <v>292.8</v>
      </c>
      <c r="Q1183" s="6">
        <v>0</v>
      </c>
    </row>
    <row r="1184" spans="1:17" x14ac:dyDescent="0.25">
      <c r="A1184" s="2" t="s">
        <v>335</v>
      </c>
      <c r="B1184" s="2" t="s">
        <v>145</v>
      </c>
      <c r="C1184" s="2" t="s">
        <v>146</v>
      </c>
      <c r="D1184" s="2" t="s">
        <v>758</v>
      </c>
      <c r="E1184" s="2" t="s">
        <v>763</v>
      </c>
      <c r="F1184" s="2" t="s">
        <v>762</v>
      </c>
      <c r="G1184" s="3">
        <v>46134</v>
      </c>
      <c r="H1184" s="2" t="s">
        <v>753</v>
      </c>
      <c r="I1184" s="2" t="s">
        <v>755</v>
      </c>
      <c r="J1184" s="2" t="s">
        <v>754</v>
      </c>
      <c r="K1184" s="2" t="s">
        <v>753</v>
      </c>
      <c r="L1184" s="6">
        <v>56</v>
      </c>
      <c r="M1184" s="2" t="s">
        <v>752</v>
      </c>
      <c r="N1184" s="7">
        <v>50.6</v>
      </c>
      <c r="O1184" s="4">
        <v>2833.6</v>
      </c>
      <c r="P1184" s="4">
        <v>2833.6</v>
      </c>
      <c r="Q1184" s="6">
        <v>0</v>
      </c>
    </row>
    <row r="1185" spans="1:17" x14ac:dyDescent="0.25">
      <c r="A1185" s="2" t="s">
        <v>335</v>
      </c>
      <c r="B1185" s="2" t="s">
        <v>145</v>
      </c>
      <c r="C1185" s="2" t="s">
        <v>146</v>
      </c>
      <c r="D1185" s="2" t="s">
        <v>758</v>
      </c>
      <c r="E1185" s="2" t="s">
        <v>847</v>
      </c>
      <c r="F1185" s="2" t="s">
        <v>846</v>
      </c>
      <c r="G1185" s="3">
        <v>46134</v>
      </c>
      <c r="H1185" s="2" t="s">
        <v>753</v>
      </c>
      <c r="I1185" s="2" t="s">
        <v>755</v>
      </c>
      <c r="J1185" s="2" t="s">
        <v>754</v>
      </c>
      <c r="K1185" s="2" t="s">
        <v>753</v>
      </c>
      <c r="L1185" s="6">
        <v>280</v>
      </c>
      <c r="M1185" s="2" t="s">
        <v>752</v>
      </c>
      <c r="N1185" s="7">
        <v>40.799999999999997</v>
      </c>
      <c r="O1185" s="4">
        <v>11424</v>
      </c>
      <c r="P1185" s="4">
        <v>11424</v>
      </c>
      <c r="Q1185" s="6">
        <v>0</v>
      </c>
    </row>
    <row r="1186" spans="1:17" x14ac:dyDescent="0.25">
      <c r="A1186" s="2" t="s">
        <v>335</v>
      </c>
      <c r="B1186" s="2" t="s">
        <v>145</v>
      </c>
      <c r="C1186" s="2" t="s">
        <v>146</v>
      </c>
      <c r="D1186" s="2" t="s">
        <v>758</v>
      </c>
      <c r="E1186" s="2" t="s">
        <v>794</v>
      </c>
      <c r="F1186" s="2" t="s">
        <v>793</v>
      </c>
      <c r="G1186" s="3">
        <v>46134</v>
      </c>
      <c r="H1186" s="2" t="s">
        <v>753</v>
      </c>
      <c r="I1186" s="2" t="s">
        <v>755</v>
      </c>
      <c r="J1186" s="2" t="s">
        <v>754</v>
      </c>
      <c r="K1186" s="2" t="s">
        <v>753</v>
      </c>
      <c r="L1186" s="6">
        <v>168</v>
      </c>
      <c r="M1186" s="2" t="s">
        <v>752</v>
      </c>
      <c r="N1186" s="7">
        <v>39.9</v>
      </c>
      <c r="O1186" s="4">
        <v>6703.2</v>
      </c>
      <c r="P1186" s="4">
        <v>6703.2</v>
      </c>
      <c r="Q1186" s="6">
        <v>0</v>
      </c>
    </row>
    <row r="1187" spans="1:17" x14ac:dyDescent="0.25">
      <c r="A1187" s="2" t="s">
        <v>312</v>
      </c>
      <c r="B1187" s="2" t="s">
        <v>167</v>
      </c>
      <c r="C1187" s="2" t="s">
        <v>168</v>
      </c>
      <c r="D1187" s="2" t="s">
        <v>758</v>
      </c>
      <c r="E1187" s="2" t="s">
        <v>815</v>
      </c>
      <c r="F1187" s="2" t="s">
        <v>814</v>
      </c>
      <c r="G1187" s="3">
        <v>46140</v>
      </c>
      <c r="H1187" s="2" t="s">
        <v>770</v>
      </c>
      <c r="I1187" s="2" t="s">
        <v>755</v>
      </c>
      <c r="J1187" s="2" t="s">
        <v>754</v>
      </c>
      <c r="K1187" s="2" t="s">
        <v>753</v>
      </c>
      <c r="L1187" s="6">
        <v>84</v>
      </c>
      <c r="M1187" s="2" t="s">
        <v>752</v>
      </c>
      <c r="N1187" s="7">
        <v>36</v>
      </c>
      <c r="O1187" s="4">
        <v>3024</v>
      </c>
      <c r="P1187" s="4">
        <v>3024</v>
      </c>
      <c r="Q1187" s="6">
        <v>0</v>
      </c>
    </row>
    <row r="1188" spans="1:17" x14ac:dyDescent="0.25">
      <c r="A1188" s="2" t="s">
        <v>312</v>
      </c>
      <c r="B1188" s="2" t="s">
        <v>167</v>
      </c>
      <c r="C1188" s="2" t="s">
        <v>168</v>
      </c>
      <c r="D1188" s="2" t="s">
        <v>758</v>
      </c>
      <c r="E1188" s="2" t="s">
        <v>766</v>
      </c>
      <c r="F1188" s="2" t="s">
        <v>765</v>
      </c>
      <c r="G1188" s="3">
        <v>46140</v>
      </c>
      <c r="H1188" s="2" t="s">
        <v>770</v>
      </c>
      <c r="I1188" s="2" t="s">
        <v>755</v>
      </c>
      <c r="J1188" s="2" t="s">
        <v>754</v>
      </c>
      <c r="K1188" s="2" t="s">
        <v>753</v>
      </c>
      <c r="L1188" s="6">
        <v>84</v>
      </c>
      <c r="M1188" s="2" t="s">
        <v>752</v>
      </c>
      <c r="N1188" s="7">
        <v>39.65</v>
      </c>
      <c r="O1188" s="4">
        <v>3330.6</v>
      </c>
      <c r="P1188" s="4">
        <v>3330.6</v>
      </c>
      <c r="Q1188" s="6">
        <v>0</v>
      </c>
    </row>
    <row r="1189" spans="1:17" x14ac:dyDescent="0.25">
      <c r="A1189" s="2" t="s">
        <v>312</v>
      </c>
      <c r="B1189" s="2" t="s">
        <v>167</v>
      </c>
      <c r="C1189" s="2" t="s">
        <v>168</v>
      </c>
      <c r="D1189" s="2" t="s">
        <v>758</v>
      </c>
      <c r="E1189" s="2" t="s">
        <v>794</v>
      </c>
      <c r="F1189" s="2" t="s">
        <v>793</v>
      </c>
      <c r="G1189" s="3">
        <v>46140</v>
      </c>
      <c r="H1189" s="2" t="s">
        <v>770</v>
      </c>
      <c r="I1189" s="2" t="s">
        <v>755</v>
      </c>
      <c r="J1189" s="2" t="s">
        <v>754</v>
      </c>
      <c r="K1189" s="2" t="s">
        <v>753</v>
      </c>
      <c r="L1189" s="6">
        <v>280</v>
      </c>
      <c r="M1189" s="2" t="s">
        <v>752</v>
      </c>
      <c r="N1189" s="7">
        <v>35</v>
      </c>
      <c r="O1189" s="4">
        <v>9800</v>
      </c>
      <c r="P1189" s="4">
        <v>9800</v>
      </c>
      <c r="Q1189" s="6">
        <v>0</v>
      </c>
    </row>
    <row r="1190" spans="1:17" x14ac:dyDescent="0.25">
      <c r="A1190" s="2" t="s">
        <v>333</v>
      </c>
      <c r="B1190" s="2" t="s">
        <v>33</v>
      </c>
      <c r="C1190" s="2" t="s">
        <v>34</v>
      </c>
      <c r="D1190" s="2" t="s">
        <v>758</v>
      </c>
      <c r="E1190" s="2" t="s">
        <v>837</v>
      </c>
      <c r="F1190" s="2" t="s">
        <v>836</v>
      </c>
      <c r="G1190" s="3">
        <v>46134</v>
      </c>
      <c r="H1190" s="2" t="s">
        <v>753</v>
      </c>
      <c r="I1190" s="2" t="s">
        <v>755</v>
      </c>
      <c r="J1190" s="2" t="s">
        <v>754</v>
      </c>
      <c r="K1190" s="2" t="s">
        <v>753</v>
      </c>
      <c r="L1190" s="6">
        <v>48</v>
      </c>
      <c r="M1190" s="2" t="s">
        <v>752</v>
      </c>
      <c r="N1190" s="7">
        <v>60.07</v>
      </c>
      <c r="O1190" s="4">
        <v>2883.36</v>
      </c>
      <c r="P1190" s="4">
        <v>2883.36</v>
      </c>
      <c r="Q1190" s="6">
        <v>0</v>
      </c>
    </row>
    <row r="1191" spans="1:17" x14ac:dyDescent="0.25">
      <c r="A1191" s="2" t="s">
        <v>333</v>
      </c>
      <c r="B1191" s="2" t="s">
        <v>33</v>
      </c>
      <c r="C1191" s="2" t="s">
        <v>34</v>
      </c>
      <c r="D1191" s="2" t="s">
        <v>758</v>
      </c>
      <c r="E1191" s="2" t="s">
        <v>835</v>
      </c>
      <c r="F1191" s="2" t="s">
        <v>834</v>
      </c>
      <c r="G1191" s="3">
        <v>46134</v>
      </c>
      <c r="H1191" s="2" t="s">
        <v>753</v>
      </c>
      <c r="I1191" s="2" t="s">
        <v>755</v>
      </c>
      <c r="J1191" s="2" t="s">
        <v>754</v>
      </c>
      <c r="K1191" s="2" t="s">
        <v>753</v>
      </c>
      <c r="L1191" s="6">
        <v>28</v>
      </c>
      <c r="M1191" s="2" t="s">
        <v>752</v>
      </c>
      <c r="N1191" s="7">
        <v>64</v>
      </c>
      <c r="O1191" s="4">
        <v>1792</v>
      </c>
      <c r="P1191" s="4">
        <v>1792</v>
      </c>
      <c r="Q1191" s="6">
        <v>0</v>
      </c>
    </row>
    <row r="1192" spans="1:17" x14ac:dyDescent="0.25">
      <c r="A1192" s="2" t="s">
        <v>333</v>
      </c>
      <c r="B1192" s="2" t="s">
        <v>33</v>
      </c>
      <c r="C1192" s="2" t="s">
        <v>34</v>
      </c>
      <c r="D1192" s="2" t="s">
        <v>758</v>
      </c>
      <c r="E1192" s="2" t="s">
        <v>763</v>
      </c>
      <c r="F1192" s="2" t="s">
        <v>762</v>
      </c>
      <c r="G1192" s="3">
        <v>46134</v>
      </c>
      <c r="H1192" s="2" t="s">
        <v>753</v>
      </c>
      <c r="I1192" s="2" t="s">
        <v>755</v>
      </c>
      <c r="J1192" s="2" t="s">
        <v>754</v>
      </c>
      <c r="K1192" s="2" t="s">
        <v>753</v>
      </c>
      <c r="L1192" s="6">
        <v>180</v>
      </c>
      <c r="M1192" s="2" t="s">
        <v>752</v>
      </c>
      <c r="N1192" s="7">
        <v>46.1</v>
      </c>
      <c r="O1192" s="4">
        <v>8298</v>
      </c>
      <c r="P1192" s="4">
        <v>8298</v>
      </c>
      <c r="Q1192" s="6">
        <v>0</v>
      </c>
    </row>
    <row r="1193" spans="1:17" x14ac:dyDescent="0.25">
      <c r="A1193" s="2" t="s">
        <v>333</v>
      </c>
      <c r="B1193" s="2" t="s">
        <v>33</v>
      </c>
      <c r="C1193" s="2" t="s">
        <v>34</v>
      </c>
      <c r="D1193" s="2" t="s">
        <v>758</v>
      </c>
      <c r="E1193" s="2" t="s">
        <v>766</v>
      </c>
      <c r="F1193" s="2" t="s">
        <v>765</v>
      </c>
      <c r="G1193" s="3">
        <v>46134</v>
      </c>
      <c r="H1193" s="2" t="s">
        <v>753</v>
      </c>
      <c r="I1193" s="2" t="s">
        <v>755</v>
      </c>
      <c r="J1193" s="2" t="s">
        <v>754</v>
      </c>
      <c r="K1193" s="2" t="s">
        <v>753</v>
      </c>
      <c r="L1193" s="6">
        <v>28</v>
      </c>
      <c r="M1193" s="2" t="s">
        <v>752</v>
      </c>
      <c r="N1193" s="7">
        <v>36.35</v>
      </c>
      <c r="O1193" s="4">
        <v>1017.8</v>
      </c>
      <c r="P1193" s="4">
        <v>1017.8</v>
      </c>
      <c r="Q1193" s="6">
        <v>0</v>
      </c>
    </row>
    <row r="1194" spans="1:17" x14ac:dyDescent="0.25">
      <c r="A1194" s="2" t="s">
        <v>333</v>
      </c>
      <c r="B1194" s="2" t="s">
        <v>33</v>
      </c>
      <c r="C1194" s="2" t="s">
        <v>34</v>
      </c>
      <c r="D1194" s="2" t="s">
        <v>758</v>
      </c>
      <c r="E1194" s="2" t="s">
        <v>817</v>
      </c>
      <c r="F1194" s="2" t="s">
        <v>937</v>
      </c>
      <c r="G1194" s="3">
        <v>46134</v>
      </c>
      <c r="H1194" s="2" t="s">
        <v>753</v>
      </c>
      <c r="I1194" s="2" t="s">
        <v>755</v>
      </c>
      <c r="J1194" s="2" t="s">
        <v>754</v>
      </c>
      <c r="K1194" s="2" t="s">
        <v>753</v>
      </c>
      <c r="L1194" s="6">
        <v>64</v>
      </c>
      <c r="M1194" s="2" t="s">
        <v>752</v>
      </c>
      <c r="N1194" s="7">
        <v>38</v>
      </c>
      <c r="O1194" s="4">
        <v>2432</v>
      </c>
      <c r="P1194" s="4">
        <v>2432</v>
      </c>
      <c r="Q1194" s="6">
        <v>0</v>
      </c>
    </row>
    <row r="1195" spans="1:17" x14ac:dyDescent="0.25">
      <c r="A1195" s="2" t="s">
        <v>333</v>
      </c>
      <c r="B1195" s="2" t="s">
        <v>33</v>
      </c>
      <c r="C1195" s="2" t="s">
        <v>34</v>
      </c>
      <c r="D1195" s="2" t="s">
        <v>758</v>
      </c>
      <c r="E1195" s="2" t="s">
        <v>833</v>
      </c>
      <c r="F1195" s="2" t="s">
        <v>832</v>
      </c>
      <c r="G1195" s="3">
        <v>46134</v>
      </c>
      <c r="H1195" s="2" t="s">
        <v>753</v>
      </c>
      <c r="I1195" s="2" t="s">
        <v>755</v>
      </c>
      <c r="J1195" s="2" t="s">
        <v>754</v>
      </c>
      <c r="K1195" s="2" t="s">
        <v>753</v>
      </c>
      <c r="L1195" s="6">
        <v>84</v>
      </c>
      <c r="M1195" s="2" t="s">
        <v>752</v>
      </c>
      <c r="N1195" s="7">
        <v>45</v>
      </c>
      <c r="O1195" s="4">
        <v>3780</v>
      </c>
      <c r="P1195" s="4">
        <v>3780</v>
      </c>
      <c r="Q1195" s="6">
        <v>0</v>
      </c>
    </row>
    <row r="1196" spans="1:17" x14ac:dyDescent="0.25">
      <c r="A1196" s="2" t="s">
        <v>970</v>
      </c>
      <c r="B1196" s="2" t="s">
        <v>969</v>
      </c>
      <c r="C1196" s="2" t="s">
        <v>968</v>
      </c>
      <c r="D1196" s="2" t="s">
        <v>758</v>
      </c>
      <c r="E1196" s="2" t="s">
        <v>967</v>
      </c>
      <c r="F1196" s="2" t="s">
        <v>966</v>
      </c>
      <c r="G1196" s="3">
        <v>46121</v>
      </c>
      <c r="H1196" s="2" t="s">
        <v>770</v>
      </c>
      <c r="I1196" s="2" t="s">
        <v>755</v>
      </c>
      <c r="J1196" s="2" t="s">
        <v>754</v>
      </c>
      <c r="K1196" s="2" t="s">
        <v>753</v>
      </c>
      <c r="L1196" s="6">
        <v>1</v>
      </c>
      <c r="M1196" s="2" t="s">
        <v>752</v>
      </c>
      <c r="N1196" s="7">
        <v>0</v>
      </c>
      <c r="O1196" s="4">
        <v>0</v>
      </c>
      <c r="P1196" s="4">
        <v>0</v>
      </c>
      <c r="Q1196" s="6">
        <v>0</v>
      </c>
    </row>
    <row r="1197" spans="1:17" x14ac:dyDescent="0.25">
      <c r="A1197" s="2" t="s">
        <v>331</v>
      </c>
      <c r="B1197" s="2" t="s">
        <v>25</v>
      </c>
      <c r="C1197" s="2" t="s">
        <v>26</v>
      </c>
      <c r="D1197" s="2" t="s">
        <v>758</v>
      </c>
      <c r="E1197" s="2" t="s">
        <v>831</v>
      </c>
      <c r="F1197" s="2" t="s">
        <v>830</v>
      </c>
      <c r="G1197" s="3">
        <v>46134</v>
      </c>
      <c r="H1197" s="2" t="s">
        <v>753</v>
      </c>
      <c r="I1197" s="2" t="s">
        <v>755</v>
      </c>
      <c r="J1197" s="2" t="s">
        <v>754</v>
      </c>
      <c r="K1197" s="2" t="s">
        <v>753</v>
      </c>
      <c r="L1197" s="6">
        <v>8</v>
      </c>
      <c r="M1197" s="2" t="s">
        <v>752</v>
      </c>
      <c r="N1197" s="7">
        <v>56</v>
      </c>
      <c r="O1197" s="4">
        <v>448</v>
      </c>
      <c r="P1197" s="4">
        <v>448</v>
      </c>
      <c r="Q1197" s="6">
        <v>0</v>
      </c>
    </row>
    <row r="1198" spans="1:17" x14ac:dyDescent="0.25">
      <c r="A1198" s="2" t="s">
        <v>331</v>
      </c>
      <c r="B1198" s="2" t="s">
        <v>25</v>
      </c>
      <c r="C1198" s="2" t="s">
        <v>26</v>
      </c>
      <c r="D1198" s="2" t="s">
        <v>758</v>
      </c>
      <c r="E1198" s="2" t="s">
        <v>890</v>
      </c>
      <c r="F1198" s="2" t="s">
        <v>889</v>
      </c>
      <c r="G1198" s="3">
        <v>46134</v>
      </c>
      <c r="H1198" s="2" t="s">
        <v>753</v>
      </c>
      <c r="I1198" s="2" t="s">
        <v>755</v>
      </c>
      <c r="J1198" s="2" t="s">
        <v>754</v>
      </c>
      <c r="K1198" s="2" t="s">
        <v>753</v>
      </c>
      <c r="L1198" s="6">
        <v>20</v>
      </c>
      <c r="M1198" s="2" t="s">
        <v>752</v>
      </c>
      <c r="N1198" s="7">
        <v>46</v>
      </c>
      <c r="O1198" s="4">
        <v>920</v>
      </c>
      <c r="P1198" s="4">
        <v>920</v>
      </c>
      <c r="Q1198" s="6">
        <v>0</v>
      </c>
    </row>
    <row r="1199" spans="1:17" x14ac:dyDescent="0.25">
      <c r="A1199" s="2" t="s">
        <v>331</v>
      </c>
      <c r="B1199" s="2" t="s">
        <v>25</v>
      </c>
      <c r="C1199" s="2" t="s">
        <v>26</v>
      </c>
      <c r="D1199" s="2" t="s">
        <v>758</v>
      </c>
      <c r="E1199" s="2" t="s">
        <v>827</v>
      </c>
      <c r="F1199" s="2" t="s">
        <v>826</v>
      </c>
      <c r="G1199" s="3">
        <v>46134</v>
      </c>
      <c r="H1199" s="2" t="s">
        <v>753</v>
      </c>
      <c r="I1199" s="2" t="s">
        <v>755</v>
      </c>
      <c r="J1199" s="2" t="s">
        <v>754</v>
      </c>
      <c r="K1199" s="2" t="s">
        <v>753</v>
      </c>
      <c r="L1199" s="6">
        <v>16</v>
      </c>
      <c r="M1199" s="2" t="s">
        <v>752</v>
      </c>
      <c r="N1199" s="7">
        <v>41.85</v>
      </c>
      <c r="O1199" s="4">
        <v>669.6</v>
      </c>
      <c r="P1199" s="4">
        <v>669.6</v>
      </c>
      <c r="Q1199" s="6">
        <v>0</v>
      </c>
    </row>
    <row r="1200" spans="1:17" x14ac:dyDescent="0.25">
      <c r="A1200" s="2" t="s">
        <v>331</v>
      </c>
      <c r="B1200" s="2" t="s">
        <v>25</v>
      </c>
      <c r="C1200" s="2" t="s">
        <v>26</v>
      </c>
      <c r="D1200" s="2" t="s">
        <v>758</v>
      </c>
      <c r="E1200" s="2" t="s">
        <v>825</v>
      </c>
      <c r="F1200" s="2" t="s">
        <v>824</v>
      </c>
      <c r="G1200" s="3">
        <v>46134</v>
      </c>
      <c r="H1200" s="2" t="s">
        <v>753</v>
      </c>
      <c r="I1200" s="2" t="s">
        <v>755</v>
      </c>
      <c r="J1200" s="2" t="s">
        <v>754</v>
      </c>
      <c r="K1200" s="2" t="s">
        <v>753</v>
      </c>
      <c r="L1200" s="6">
        <v>8</v>
      </c>
      <c r="M1200" s="2" t="s">
        <v>752</v>
      </c>
      <c r="N1200" s="7">
        <v>47.2</v>
      </c>
      <c r="O1200" s="4">
        <v>377.6</v>
      </c>
      <c r="P1200" s="4">
        <v>377.6</v>
      </c>
      <c r="Q1200" s="6">
        <v>0</v>
      </c>
    </row>
    <row r="1201" spans="1:17" x14ac:dyDescent="0.25">
      <c r="A1201" s="2" t="s">
        <v>331</v>
      </c>
      <c r="B1201" s="2" t="s">
        <v>25</v>
      </c>
      <c r="C1201" s="2" t="s">
        <v>26</v>
      </c>
      <c r="D1201" s="2" t="s">
        <v>758</v>
      </c>
      <c r="E1201" s="2" t="s">
        <v>823</v>
      </c>
      <c r="F1201" s="2" t="s">
        <v>822</v>
      </c>
      <c r="G1201" s="3">
        <v>46134</v>
      </c>
      <c r="H1201" s="2" t="s">
        <v>753</v>
      </c>
      <c r="I1201" s="2" t="s">
        <v>755</v>
      </c>
      <c r="J1201" s="2" t="s">
        <v>754</v>
      </c>
      <c r="K1201" s="2" t="s">
        <v>753</v>
      </c>
      <c r="L1201" s="6">
        <v>76</v>
      </c>
      <c r="M1201" s="2" t="s">
        <v>752</v>
      </c>
      <c r="N1201" s="7">
        <v>52</v>
      </c>
      <c r="O1201" s="4">
        <v>3952</v>
      </c>
      <c r="P1201" s="4">
        <v>3952</v>
      </c>
      <c r="Q1201" s="6">
        <v>0</v>
      </c>
    </row>
    <row r="1202" spans="1:17" x14ac:dyDescent="0.25">
      <c r="A1202" s="2" t="s">
        <v>331</v>
      </c>
      <c r="B1202" s="2" t="s">
        <v>25</v>
      </c>
      <c r="C1202" s="2" t="s">
        <v>26</v>
      </c>
      <c r="D1202" s="2" t="s">
        <v>758</v>
      </c>
      <c r="E1202" s="2" t="s">
        <v>945</v>
      </c>
      <c r="F1202" s="2" t="s">
        <v>944</v>
      </c>
      <c r="G1202" s="3">
        <v>46134</v>
      </c>
      <c r="H1202" s="2" t="s">
        <v>753</v>
      </c>
      <c r="I1202" s="2" t="s">
        <v>755</v>
      </c>
      <c r="J1202" s="2" t="s">
        <v>754</v>
      </c>
      <c r="K1202" s="2" t="s">
        <v>753</v>
      </c>
      <c r="L1202" s="6">
        <v>4</v>
      </c>
      <c r="M1202" s="2" t="s">
        <v>752</v>
      </c>
      <c r="N1202" s="7">
        <v>48.06</v>
      </c>
      <c r="O1202" s="4">
        <v>192.24</v>
      </c>
      <c r="P1202" s="4">
        <v>192.24</v>
      </c>
      <c r="Q1202" s="6">
        <v>0</v>
      </c>
    </row>
    <row r="1203" spans="1:17" x14ac:dyDescent="0.25">
      <c r="A1203" s="2" t="s">
        <v>331</v>
      </c>
      <c r="B1203" s="2" t="s">
        <v>25</v>
      </c>
      <c r="C1203" s="2" t="s">
        <v>26</v>
      </c>
      <c r="D1203" s="2" t="s">
        <v>758</v>
      </c>
      <c r="E1203" s="2" t="s">
        <v>813</v>
      </c>
      <c r="F1203" s="2" t="s">
        <v>812</v>
      </c>
      <c r="G1203" s="3">
        <v>46134</v>
      </c>
      <c r="H1203" s="2" t="s">
        <v>753</v>
      </c>
      <c r="I1203" s="2" t="s">
        <v>755</v>
      </c>
      <c r="J1203" s="2" t="s">
        <v>754</v>
      </c>
      <c r="K1203" s="2" t="s">
        <v>753</v>
      </c>
      <c r="L1203" s="6">
        <v>1</v>
      </c>
      <c r="M1203" s="2" t="s">
        <v>752</v>
      </c>
      <c r="N1203" s="7">
        <v>54</v>
      </c>
      <c r="O1203" s="4">
        <v>54</v>
      </c>
      <c r="P1203" s="4">
        <v>54</v>
      </c>
      <c r="Q1203" s="6">
        <v>0</v>
      </c>
    </row>
    <row r="1204" spans="1:17" x14ac:dyDescent="0.25">
      <c r="A1204" s="2" t="s">
        <v>331</v>
      </c>
      <c r="B1204" s="2" t="s">
        <v>25</v>
      </c>
      <c r="C1204" s="2" t="s">
        <v>26</v>
      </c>
      <c r="D1204" s="2" t="s">
        <v>758</v>
      </c>
      <c r="E1204" s="2" t="s">
        <v>821</v>
      </c>
      <c r="F1204" s="2" t="s">
        <v>820</v>
      </c>
      <c r="G1204" s="3">
        <v>46134</v>
      </c>
      <c r="H1204" s="2" t="s">
        <v>753</v>
      </c>
      <c r="I1204" s="2" t="s">
        <v>755</v>
      </c>
      <c r="J1204" s="2" t="s">
        <v>754</v>
      </c>
      <c r="K1204" s="2" t="s">
        <v>753</v>
      </c>
      <c r="L1204" s="6">
        <v>4</v>
      </c>
      <c r="M1204" s="2" t="s">
        <v>752</v>
      </c>
      <c r="N1204" s="7">
        <v>52</v>
      </c>
      <c r="O1204" s="4">
        <v>208</v>
      </c>
      <c r="P1204" s="4">
        <v>208</v>
      </c>
      <c r="Q1204" s="6">
        <v>0</v>
      </c>
    </row>
    <row r="1205" spans="1:17" x14ac:dyDescent="0.25">
      <c r="A1205" s="2" t="s">
        <v>331</v>
      </c>
      <c r="B1205" s="2" t="s">
        <v>25</v>
      </c>
      <c r="C1205" s="2" t="s">
        <v>26</v>
      </c>
      <c r="D1205" s="2" t="s">
        <v>758</v>
      </c>
      <c r="E1205" s="2" t="s">
        <v>819</v>
      </c>
      <c r="F1205" s="2" t="s">
        <v>818</v>
      </c>
      <c r="G1205" s="3">
        <v>46134</v>
      </c>
      <c r="H1205" s="2" t="s">
        <v>753</v>
      </c>
      <c r="I1205" s="2" t="s">
        <v>755</v>
      </c>
      <c r="J1205" s="2" t="s">
        <v>754</v>
      </c>
      <c r="K1205" s="2" t="s">
        <v>753</v>
      </c>
      <c r="L1205" s="6">
        <v>16</v>
      </c>
      <c r="M1205" s="2" t="s">
        <v>752</v>
      </c>
      <c r="N1205" s="7">
        <v>38.25</v>
      </c>
      <c r="O1205" s="4">
        <v>612</v>
      </c>
      <c r="P1205" s="4">
        <v>612</v>
      </c>
      <c r="Q1205" s="6">
        <v>0</v>
      </c>
    </row>
    <row r="1206" spans="1:17" x14ac:dyDescent="0.25">
      <c r="A1206" s="2" t="s">
        <v>331</v>
      </c>
      <c r="B1206" s="2" t="s">
        <v>25</v>
      </c>
      <c r="C1206" s="2" t="s">
        <v>26</v>
      </c>
      <c r="D1206" s="2" t="s">
        <v>758</v>
      </c>
      <c r="E1206" s="2" t="s">
        <v>879</v>
      </c>
      <c r="F1206" s="2" t="s">
        <v>878</v>
      </c>
      <c r="G1206" s="3">
        <v>46134</v>
      </c>
      <c r="H1206" s="2" t="s">
        <v>753</v>
      </c>
      <c r="I1206" s="2" t="s">
        <v>755</v>
      </c>
      <c r="J1206" s="2" t="s">
        <v>754</v>
      </c>
      <c r="K1206" s="2" t="s">
        <v>753</v>
      </c>
      <c r="L1206" s="6">
        <v>0</v>
      </c>
      <c r="M1206" s="2" t="s">
        <v>752</v>
      </c>
      <c r="N1206" s="7">
        <v>38.9</v>
      </c>
      <c r="O1206" s="4">
        <v>0</v>
      </c>
      <c r="P1206" s="4">
        <v>0</v>
      </c>
      <c r="Q1206" s="6">
        <v>0</v>
      </c>
    </row>
    <row r="1207" spans="1:17" x14ac:dyDescent="0.25">
      <c r="A1207" s="2" t="s">
        <v>327</v>
      </c>
      <c r="B1207" s="2" t="s">
        <v>29</v>
      </c>
      <c r="C1207" s="2" t="s">
        <v>30</v>
      </c>
      <c r="D1207" s="2" t="s">
        <v>758</v>
      </c>
      <c r="E1207" s="2" t="s">
        <v>817</v>
      </c>
      <c r="F1207" s="2" t="s">
        <v>937</v>
      </c>
      <c r="G1207" s="3">
        <v>46135</v>
      </c>
      <c r="H1207" s="2" t="s">
        <v>753</v>
      </c>
      <c r="I1207" s="2" t="s">
        <v>755</v>
      </c>
      <c r="J1207" s="2" t="s">
        <v>754</v>
      </c>
      <c r="K1207" s="2" t="s">
        <v>753</v>
      </c>
      <c r="L1207" s="6">
        <v>28</v>
      </c>
      <c r="M1207" s="2" t="s">
        <v>752</v>
      </c>
      <c r="N1207" s="7">
        <v>31.42</v>
      </c>
      <c r="O1207" s="4">
        <v>879.76</v>
      </c>
      <c r="P1207" s="4">
        <v>879.76</v>
      </c>
      <c r="Q1207" s="6">
        <v>0</v>
      </c>
    </row>
    <row r="1208" spans="1:17" x14ac:dyDescent="0.25">
      <c r="A1208" s="2" t="s">
        <v>327</v>
      </c>
      <c r="B1208" s="2" t="s">
        <v>29</v>
      </c>
      <c r="C1208" s="2" t="s">
        <v>30</v>
      </c>
      <c r="D1208" s="2" t="s">
        <v>758</v>
      </c>
      <c r="E1208" s="2" t="s">
        <v>813</v>
      </c>
      <c r="F1208" s="2" t="s">
        <v>812</v>
      </c>
      <c r="G1208" s="3">
        <v>46135</v>
      </c>
      <c r="H1208" s="2" t="s">
        <v>753</v>
      </c>
      <c r="I1208" s="2" t="s">
        <v>755</v>
      </c>
      <c r="J1208" s="2" t="s">
        <v>754</v>
      </c>
      <c r="K1208" s="2" t="s">
        <v>753</v>
      </c>
      <c r="L1208" s="6">
        <v>24</v>
      </c>
      <c r="M1208" s="2" t="s">
        <v>752</v>
      </c>
      <c r="N1208" s="7">
        <v>43.26</v>
      </c>
      <c r="O1208" s="4">
        <v>1038.24</v>
      </c>
      <c r="P1208" s="4">
        <v>1038.24</v>
      </c>
      <c r="Q1208" s="6">
        <v>0</v>
      </c>
    </row>
    <row r="1209" spans="1:17" x14ac:dyDescent="0.25">
      <c r="A1209" s="2" t="s">
        <v>327</v>
      </c>
      <c r="B1209" s="2" t="s">
        <v>29</v>
      </c>
      <c r="C1209" s="2" t="s">
        <v>30</v>
      </c>
      <c r="D1209" s="2" t="s">
        <v>758</v>
      </c>
      <c r="E1209" s="2" t="s">
        <v>811</v>
      </c>
      <c r="F1209" s="2" t="s">
        <v>810</v>
      </c>
      <c r="G1209" s="3">
        <v>46135</v>
      </c>
      <c r="H1209" s="2" t="s">
        <v>753</v>
      </c>
      <c r="I1209" s="2" t="s">
        <v>755</v>
      </c>
      <c r="J1209" s="2" t="s">
        <v>754</v>
      </c>
      <c r="K1209" s="2" t="s">
        <v>753</v>
      </c>
      <c r="L1209" s="6">
        <v>20</v>
      </c>
      <c r="M1209" s="2" t="s">
        <v>752</v>
      </c>
      <c r="N1209" s="7">
        <v>43.26</v>
      </c>
      <c r="O1209" s="4">
        <v>865.2</v>
      </c>
      <c r="P1209" s="4">
        <v>865.2</v>
      </c>
      <c r="Q1209" s="6">
        <v>0</v>
      </c>
    </row>
    <row r="1210" spans="1:17" x14ac:dyDescent="0.25">
      <c r="A1210" s="2" t="s">
        <v>327</v>
      </c>
      <c r="B1210" s="2" t="s">
        <v>29</v>
      </c>
      <c r="C1210" s="2" t="s">
        <v>30</v>
      </c>
      <c r="D1210" s="2" t="s">
        <v>758</v>
      </c>
      <c r="E1210" s="2" t="s">
        <v>763</v>
      </c>
      <c r="F1210" s="2" t="s">
        <v>762</v>
      </c>
      <c r="G1210" s="3">
        <v>46135</v>
      </c>
      <c r="H1210" s="2" t="s">
        <v>753</v>
      </c>
      <c r="I1210" s="2" t="s">
        <v>755</v>
      </c>
      <c r="J1210" s="2" t="s">
        <v>754</v>
      </c>
      <c r="K1210" s="2" t="s">
        <v>753</v>
      </c>
      <c r="L1210" s="6">
        <v>112</v>
      </c>
      <c r="M1210" s="2" t="s">
        <v>752</v>
      </c>
      <c r="N1210" s="7">
        <v>43.36</v>
      </c>
      <c r="O1210" s="4">
        <v>4856.32</v>
      </c>
      <c r="P1210" s="4">
        <v>4856.32</v>
      </c>
      <c r="Q1210" s="6">
        <v>0</v>
      </c>
    </row>
    <row r="1211" spans="1:17" x14ac:dyDescent="0.25">
      <c r="A1211" s="2" t="s">
        <v>327</v>
      </c>
      <c r="B1211" s="2" t="s">
        <v>29</v>
      </c>
      <c r="C1211" s="2" t="s">
        <v>30</v>
      </c>
      <c r="D1211" s="2" t="s">
        <v>758</v>
      </c>
      <c r="E1211" s="2" t="s">
        <v>776</v>
      </c>
      <c r="F1211" s="2" t="s">
        <v>775</v>
      </c>
      <c r="G1211" s="3">
        <v>46135</v>
      </c>
      <c r="H1211" s="2" t="s">
        <v>753</v>
      </c>
      <c r="I1211" s="2" t="s">
        <v>755</v>
      </c>
      <c r="J1211" s="2" t="s">
        <v>754</v>
      </c>
      <c r="K1211" s="2" t="s">
        <v>753</v>
      </c>
      <c r="L1211" s="6">
        <v>40</v>
      </c>
      <c r="M1211" s="2" t="s">
        <v>752</v>
      </c>
      <c r="N1211" s="7">
        <v>41.2</v>
      </c>
      <c r="O1211" s="4">
        <v>1648</v>
      </c>
      <c r="P1211" s="4">
        <v>1648</v>
      </c>
      <c r="Q1211" s="6">
        <v>0</v>
      </c>
    </row>
    <row r="1212" spans="1:17" x14ac:dyDescent="0.25">
      <c r="A1212" s="2" t="s">
        <v>327</v>
      </c>
      <c r="B1212" s="2" t="s">
        <v>29</v>
      </c>
      <c r="C1212" s="2" t="s">
        <v>30</v>
      </c>
      <c r="D1212" s="2" t="s">
        <v>758</v>
      </c>
      <c r="E1212" s="2" t="s">
        <v>847</v>
      </c>
      <c r="F1212" s="2" t="s">
        <v>846</v>
      </c>
      <c r="G1212" s="3">
        <v>46135</v>
      </c>
      <c r="H1212" s="2" t="s">
        <v>753</v>
      </c>
      <c r="I1212" s="2" t="s">
        <v>755</v>
      </c>
      <c r="J1212" s="2" t="s">
        <v>754</v>
      </c>
      <c r="K1212" s="2" t="s">
        <v>753</v>
      </c>
      <c r="L1212" s="6">
        <v>56</v>
      </c>
      <c r="M1212" s="2" t="s">
        <v>752</v>
      </c>
      <c r="N1212" s="7">
        <v>38.19</v>
      </c>
      <c r="O1212" s="4">
        <v>2138.64</v>
      </c>
      <c r="P1212" s="4">
        <v>2138.64</v>
      </c>
      <c r="Q1212" s="6">
        <v>0</v>
      </c>
    </row>
    <row r="1213" spans="1:17" x14ac:dyDescent="0.25">
      <c r="A1213" s="2" t="s">
        <v>327</v>
      </c>
      <c r="B1213" s="2" t="s">
        <v>29</v>
      </c>
      <c r="C1213" s="2" t="s">
        <v>30</v>
      </c>
      <c r="D1213" s="2" t="s">
        <v>758</v>
      </c>
      <c r="E1213" s="2" t="s">
        <v>927</v>
      </c>
      <c r="F1213" s="2" t="s">
        <v>926</v>
      </c>
      <c r="G1213" s="3">
        <v>46135</v>
      </c>
      <c r="H1213" s="2" t="s">
        <v>753</v>
      </c>
      <c r="I1213" s="2" t="s">
        <v>755</v>
      </c>
      <c r="J1213" s="2" t="s">
        <v>754</v>
      </c>
      <c r="K1213" s="2" t="s">
        <v>753</v>
      </c>
      <c r="L1213" s="6">
        <v>8</v>
      </c>
      <c r="M1213" s="2" t="s">
        <v>752</v>
      </c>
      <c r="N1213" s="7">
        <v>45.84</v>
      </c>
      <c r="O1213" s="4">
        <v>366.72</v>
      </c>
      <c r="P1213" s="4">
        <v>366.72</v>
      </c>
      <c r="Q1213" s="6">
        <v>0</v>
      </c>
    </row>
    <row r="1214" spans="1:17" x14ac:dyDescent="0.25">
      <c r="A1214" s="2" t="s">
        <v>327</v>
      </c>
      <c r="B1214" s="2" t="s">
        <v>29</v>
      </c>
      <c r="C1214" s="2" t="s">
        <v>30</v>
      </c>
      <c r="D1214" s="2" t="s">
        <v>758</v>
      </c>
      <c r="E1214" s="2" t="s">
        <v>805</v>
      </c>
      <c r="F1214" s="2" t="s">
        <v>804</v>
      </c>
      <c r="G1214" s="3">
        <v>46135</v>
      </c>
      <c r="H1214" s="2" t="s">
        <v>753</v>
      </c>
      <c r="I1214" s="2" t="s">
        <v>755</v>
      </c>
      <c r="J1214" s="2" t="s">
        <v>754</v>
      </c>
      <c r="K1214" s="2" t="s">
        <v>753</v>
      </c>
      <c r="L1214" s="6">
        <v>20</v>
      </c>
      <c r="M1214" s="2" t="s">
        <v>752</v>
      </c>
      <c r="N1214" s="7">
        <v>41</v>
      </c>
      <c r="O1214" s="4">
        <v>820</v>
      </c>
      <c r="P1214" s="4">
        <v>820</v>
      </c>
      <c r="Q1214" s="6">
        <v>0</v>
      </c>
    </row>
    <row r="1215" spans="1:17" x14ac:dyDescent="0.25">
      <c r="A1215" s="2" t="s">
        <v>965</v>
      </c>
      <c r="B1215" s="2" t="s">
        <v>964</v>
      </c>
      <c r="C1215" s="2" t="s">
        <v>963</v>
      </c>
      <c r="D1215" s="2" t="s">
        <v>758</v>
      </c>
      <c r="E1215" s="2" t="s">
        <v>922</v>
      </c>
      <c r="F1215" s="2" t="s">
        <v>921</v>
      </c>
      <c r="G1215" s="3">
        <v>46122</v>
      </c>
      <c r="H1215" s="2" t="s">
        <v>753</v>
      </c>
      <c r="I1215" s="2" t="s">
        <v>755</v>
      </c>
      <c r="J1215" s="2" t="s">
        <v>754</v>
      </c>
      <c r="K1215" s="2" t="s">
        <v>753</v>
      </c>
      <c r="L1215" s="6">
        <v>1</v>
      </c>
      <c r="M1215" s="2" t="s">
        <v>752</v>
      </c>
      <c r="N1215" s="7">
        <v>0</v>
      </c>
      <c r="O1215" s="4">
        <v>0</v>
      </c>
      <c r="P1215" s="4">
        <v>0</v>
      </c>
      <c r="Q1215" s="6">
        <v>0</v>
      </c>
    </row>
    <row r="1216" spans="1:17" x14ac:dyDescent="0.25">
      <c r="A1216" s="2" t="s">
        <v>325</v>
      </c>
      <c r="B1216" s="2" t="s">
        <v>69</v>
      </c>
      <c r="C1216" s="2" t="s">
        <v>70</v>
      </c>
      <c r="D1216" s="2" t="s">
        <v>758</v>
      </c>
      <c r="E1216" s="2" t="s">
        <v>847</v>
      </c>
      <c r="F1216" s="2" t="s">
        <v>846</v>
      </c>
      <c r="G1216" s="3">
        <v>46135</v>
      </c>
      <c r="H1216" s="2" t="s">
        <v>753</v>
      </c>
      <c r="I1216" s="2" t="s">
        <v>755</v>
      </c>
      <c r="J1216" s="2" t="s">
        <v>754</v>
      </c>
      <c r="K1216" s="2" t="s">
        <v>753</v>
      </c>
      <c r="L1216" s="6">
        <v>20</v>
      </c>
      <c r="M1216" s="2" t="s">
        <v>752</v>
      </c>
      <c r="N1216" s="7">
        <v>30.32</v>
      </c>
      <c r="O1216" s="4">
        <v>606.4</v>
      </c>
      <c r="P1216" s="4">
        <v>606.4</v>
      </c>
      <c r="Q1216" s="6">
        <v>0</v>
      </c>
    </row>
    <row r="1217" spans="1:17" x14ac:dyDescent="0.25">
      <c r="A1217" s="2" t="s">
        <v>325</v>
      </c>
      <c r="B1217" s="2" t="s">
        <v>69</v>
      </c>
      <c r="C1217" s="2" t="s">
        <v>70</v>
      </c>
      <c r="D1217" s="2" t="s">
        <v>758</v>
      </c>
      <c r="E1217" s="2" t="s">
        <v>857</v>
      </c>
      <c r="F1217" s="2" t="s">
        <v>856</v>
      </c>
      <c r="G1217" s="3">
        <v>46135</v>
      </c>
      <c r="H1217" s="2" t="s">
        <v>753</v>
      </c>
      <c r="I1217" s="2" t="s">
        <v>755</v>
      </c>
      <c r="J1217" s="2" t="s">
        <v>754</v>
      </c>
      <c r="K1217" s="2" t="s">
        <v>753</v>
      </c>
      <c r="L1217" s="6">
        <v>40</v>
      </c>
      <c r="M1217" s="2" t="s">
        <v>752</v>
      </c>
      <c r="N1217" s="7">
        <v>34.18</v>
      </c>
      <c r="O1217" s="4">
        <v>1367.2</v>
      </c>
      <c r="P1217" s="4">
        <v>1367.2</v>
      </c>
      <c r="Q1217" s="6">
        <v>0</v>
      </c>
    </row>
    <row r="1218" spans="1:17" x14ac:dyDescent="0.25">
      <c r="A1218" s="2" t="s">
        <v>962</v>
      </c>
      <c r="B1218" s="2" t="s">
        <v>947</v>
      </c>
      <c r="C1218" s="2" t="s">
        <v>946</v>
      </c>
      <c r="D1218" s="2" t="s">
        <v>758</v>
      </c>
      <c r="E1218" s="2" t="s">
        <v>807</v>
      </c>
      <c r="F1218" s="2" t="s">
        <v>806</v>
      </c>
      <c r="G1218" s="3">
        <v>46122</v>
      </c>
      <c r="H1218" s="2" t="s">
        <v>753</v>
      </c>
      <c r="I1218" s="2" t="s">
        <v>755</v>
      </c>
      <c r="J1218" s="2" t="s">
        <v>754</v>
      </c>
      <c r="K1218" s="2" t="s">
        <v>753</v>
      </c>
      <c r="L1218" s="6">
        <v>8</v>
      </c>
      <c r="M1218" s="2" t="s">
        <v>752</v>
      </c>
      <c r="N1218" s="7">
        <v>0</v>
      </c>
      <c r="O1218" s="4">
        <v>0</v>
      </c>
      <c r="P1218" s="4">
        <v>0</v>
      </c>
      <c r="Q1218" s="6">
        <v>0</v>
      </c>
    </row>
    <row r="1219" spans="1:17" x14ac:dyDescent="0.25">
      <c r="A1219" s="2" t="s">
        <v>962</v>
      </c>
      <c r="B1219" s="2" t="s">
        <v>947</v>
      </c>
      <c r="C1219" s="2" t="s">
        <v>946</v>
      </c>
      <c r="D1219" s="2" t="s">
        <v>758</v>
      </c>
      <c r="E1219" s="2" t="s">
        <v>920</v>
      </c>
      <c r="F1219" s="2" t="s">
        <v>919</v>
      </c>
      <c r="G1219" s="3">
        <v>46122</v>
      </c>
      <c r="H1219" s="2" t="s">
        <v>753</v>
      </c>
      <c r="I1219" s="2" t="s">
        <v>755</v>
      </c>
      <c r="J1219" s="2" t="s">
        <v>754</v>
      </c>
      <c r="K1219" s="2" t="s">
        <v>753</v>
      </c>
      <c r="L1219" s="6">
        <v>1</v>
      </c>
      <c r="M1219" s="2" t="s">
        <v>752</v>
      </c>
      <c r="N1219" s="7">
        <v>0</v>
      </c>
      <c r="O1219" s="4">
        <v>0</v>
      </c>
      <c r="P1219" s="4">
        <v>0</v>
      </c>
      <c r="Q1219" s="6">
        <v>0</v>
      </c>
    </row>
    <row r="1220" spans="1:17" x14ac:dyDescent="0.25">
      <c r="A1220" s="2" t="s">
        <v>962</v>
      </c>
      <c r="B1220" s="2" t="s">
        <v>947</v>
      </c>
      <c r="C1220" s="2" t="s">
        <v>946</v>
      </c>
      <c r="D1220" s="2" t="s">
        <v>758</v>
      </c>
      <c r="E1220" s="2" t="s">
        <v>788</v>
      </c>
      <c r="F1220" s="2" t="s">
        <v>787</v>
      </c>
      <c r="G1220" s="3">
        <v>46122</v>
      </c>
      <c r="H1220" s="2" t="s">
        <v>753</v>
      </c>
      <c r="I1220" s="2" t="s">
        <v>755</v>
      </c>
      <c r="J1220" s="2" t="s">
        <v>754</v>
      </c>
      <c r="K1220" s="2" t="s">
        <v>753</v>
      </c>
      <c r="L1220" s="6">
        <v>1</v>
      </c>
      <c r="M1220" s="2" t="s">
        <v>752</v>
      </c>
      <c r="N1220" s="7">
        <v>0</v>
      </c>
      <c r="O1220" s="4">
        <v>0</v>
      </c>
      <c r="P1220" s="4">
        <v>0</v>
      </c>
      <c r="Q1220" s="6">
        <v>0</v>
      </c>
    </row>
    <row r="1221" spans="1:17" x14ac:dyDescent="0.25">
      <c r="A1221" s="2" t="s">
        <v>962</v>
      </c>
      <c r="B1221" s="2" t="s">
        <v>947</v>
      </c>
      <c r="C1221" s="2" t="s">
        <v>946</v>
      </c>
      <c r="D1221" s="2" t="s">
        <v>758</v>
      </c>
      <c r="E1221" s="2" t="s">
        <v>766</v>
      </c>
      <c r="F1221" s="2" t="s">
        <v>765</v>
      </c>
      <c r="G1221" s="3">
        <v>46122</v>
      </c>
      <c r="H1221" s="2" t="s">
        <v>753</v>
      </c>
      <c r="I1221" s="2" t="s">
        <v>755</v>
      </c>
      <c r="J1221" s="2" t="s">
        <v>754</v>
      </c>
      <c r="K1221" s="2" t="s">
        <v>753</v>
      </c>
      <c r="L1221" s="6">
        <v>2</v>
      </c>
      <c r="M1221" s="2" t="s">
        <v>752</v>
      </c>
      <c r="N1221" s="7">
        <v>0</v>
      </c>
      <c r="O1221" s="4">
        <v>0</v>
      </c>
      <c r="P1221" s="4">
        <v>0</v>
      </c>
      <c r="Q1221" s="6">
        <v>0</v>
      </c>
    </row>
    <row r="1222" spans="1:17" x14ac:dyDescent="0.25">
      <c r="A1222" s="2" t="s">
        <v>323</v>
      </c>
      <c r="B1222" s="2" t="s">
        <v>21</v>
      </c>
      <c r="C1222" s="2" t="s">
        <v>22</v>
      </c>
      <c r="D1222" s="2" t="s">
        <v>758</v>
      </c>
      <c r="E1222" s="2" t="s">
        <v>763</v>
      </c>
      <c r="F1222" s="2" t="s">
        <v>762</v>
      </c>
      <c r="G1222" s="3">
        <v>46135</v>
      </c>
      <c r="H1222" s="2" t="s">
        <v>753</v>
      </c>
      <c r="I1222" s="2" t="s">
        <v>755</v>
      </c>
      <c r="J1222" s="2" t="s">
        <v>754</v>
      </c>
      <c r="K1222" s="2" t="s">
        <v>753</v>
      </c>
      <c r="L1222" s="6">
        <v>280</v>
      </c>
      <c r="M1222" s="2" t="s">
        <v>752</v>
      </c>
      <c r="N1222" s="7">
        <v>42.6</v>
      </c>
      <c r="O1222" s="4">
        <v>11928</v>
      </c>
      <c r="P1222" s="4">
        <v>11928</v>
      </c>
      <c r="Q1222" s="6">
        <v>0</v>
      </c>
    </row>
    <row r="1223" spans="1:17" x14ac:dyDescent="0.25">
      <c r="A1223" s="2" t="s">
        <v>323</v>
      </c>
      <c r="B1223" s="2" t="s">
        <v>21</v>
      </c>
      <c r="C1223" s="2" t="s">
        <v>22</v>
      </c>
      <c r="D1223" s="2" t="s">
        <v>758</v>
      </c>
      <c r="E1223" s="2" t="s">
        <v>757</v>
      </c>
      <c r="F1223" s="2" t="s">
        <v>756</v>
      </c>
      <c r="G1223" s="3">
        <v>46135</v>
      </c>
      <c r="H1223" s="2" t="s">
        <v>753</v>
      </c>
      <c r="I1223" s="2" t="s">
        <v>755</v>
      </c>
      <c r="J1223" s="2" t="s">
        <v>754</v>
      </c>
      <c r="K1223" s="2" t="s">
        <v>753</v>
      </c>
      <c r="L1223" s="6">
        <v>56</v>
      </c>
      <c r="M1223" s="2" t="s">
        <v>752</v>
      </c>
      <c r="N1223" s="7">
        <v>42.11</v>
      </c>
      <c r="O1223" s="4">
        <v>2358.16</v>
      </c>
      <c r="P1223" s="4">
        <v>2358.16</v>
      </c>
      <c r="Q1223" s="6">
        <v>0</v>
      </c>
    </row>
    <row r="1224" spans="1:17" x14ac:dyDescent="0.25">
      <c r="A1224" s="2" t="s">
        <v>323</v>
      </c>
      <c r="B1224" s="2" t="s">
        <v>21</v>
      </c>
      <c r="C1224" s="2" t="s">
        <v>22</v>
      </c>
      <c r="D1224" s="2" t="s">
        <v>758</v>
      </c>
      <c r="E1224" s="2" t="s">
        <v>796</v>
      </c>
      <c r="F1224" s="2" t="s">
        <v>795</v>
      </c>
      <c r="G1224" s="3">
        <v>46135</v>
      </c>
      <c r="H1224" s="2" t="s">
        <v>753</v>
      </c>
      <c r="I1224" s="2" t="s">
        <v>755</v>
      </c>
      <c r="J1224" s="2" t="s">
        <v>754</v>
      </c>
      <c r="K1224" s="2" t="s">
        <v>753</v>
      </c>
      <c r="L1224" s="6">
        <v>20</v>
      </c>
      <c r="M1224" s="2" t="s">
        <v>752</v>
      </c>
      <c r="N1224" s="7">
        <v>35.65</v>
      </c>
      <c r="O1224" s="4">
        <v>713</v>
      </c>
      <c r="P1224" s="4">
        <v>713</v>
      </c>
      <c r="Q1224" s="6">
        <v>0</v>
      </c>
    </row>
    <row r="1225" spans="1:17" x14ac:dyDescent="0.25">
      <c r="A1225" s="2" t="s">
        <v>323</v>
      </c>
      <c r="B1225" s="2" t="s">
        <v>21</v>
      </c>
      <c r="C1225" s="2" t="s">
        <v>22</v>
      </c>
      <c r="D1225" s="2" t="s">
        <v>758</v>
      </c>
      <c r="E1225" s="2" t="s">
        <v>774</v>
      </c>
      <c r="F1225" s="2" t="s">
        <v>773</v>
      </c>
      <c r="G1225" s="3">
        <v>46135</v>
      </c>
      <c r="H1225" s="2" t="s">
        <v>753</v>
      </c>
      <c r="I1225" s="2" t="s">
        <v>755</v>
      </c>
      <c r="J1225" s="2" t="s">
        <v>754</v>
      </c>
      <c r="K1225" s="2" t="s">
        <v>753</v>
      </c>
      <c r="L1225" s="6">
        <v>8</v>
      </c>
      <c r="M1225" s="2" t="s">
        <v>752</v>
      </c>
      <c r="N1225" s="7">
        <v>38.299999999999997</v>
      </c>
      <c r="O1225" s="4">
        <v>306.39999999999998</v>
      </c>
      <c r="P1225" s="4">
        <v>306.39999999999998</v>
      </c>
      <c r="Q1225" s="6">
        <v>0</v>
      </c>
    </row>
    <row r="1226" spans="1:17" x14ac:dyDescent="0.25">
      <c r="A1226" s="2" t="s">
        <v>323</v>
      </c>
      <c r="B1226" s="2" t="s">
        <v>21</v>
      </c>
      <c r="C1226" s="2" t="s">
        <v>22</v>
      </c>
      <c r="D1226" s="2" t="s">
        <v>758</v>
      </c>
      <c r="E1226" s="2" t="s">
        <v>794</v>
      </c>
      <c r="F1226" s="2" t="s">
        <v>793</v>
      </c>
      <c r="G1226" s="3">
        <v>46135</v>
      </c>
      <c r="H1226" s="2" t="s">
        <v>753</v>
      </c>
      <c r="I1226" s="2" t="s">
        <v>755</v>
      </c>
      <c r="J1226" s="2" t="s">
        <v>754</v>
      </c>
      <c r="K1226" s="2" t="s">
        <v>753</v>
      </c>
      <c r="L1226" s="6">
        <v>16</v>
      </c>
      <c r="M1226" s="2" t="s">
        <v>752</v>
      </c>
      <c r="N1226" s="7">
        <v>40.619999999999997</v>
      </c>
      <c r="O1226" s="4">
        <v>649.91999999999996</v>
      </c>
      <c r="P1226" s="4">
        <v>649.91999999999996</v>
      </c>
      <c r="Q1226" s="6">
        <v>0</v>
      </c>
    </row>
    <row r="1227" spans="1:17" x14ac:dyDescent="0.25">
      <c r="A1227" s="2" t="s">
        <v>323</v>
      </c>
      <c r="B1227" s="2" t="s">
        <v>21</v>
      </c>
      <c r="C1227" s="2" t="s">
        <v>22</v>
      </c>
      <c r="D1227" s="2" t="s">
        <v>758</v>
      </c>
      <c r="E1227" s="2" t="s">
        <v>792</v>
      </c>
      <c r="F1227" s="2" t="s">
        <v>943</v>
      </c>
      <c r="G1227" s="3">
        <v>46135</v>
      </c>
      <c r="H1227" s="2" t="s">
        <v>753</v>
      </c>
      <c r="I1227" s="2" t="s">
        <v>755</v>
      </c>
      <c r="J1227" s="2" t="s">
        <v>754</v>
      </c>
      <c r="K1227" s="2" t="s">
        <v>753</v>
      </c>
      <c r="L1227" s="6">
        <v>12</v>
      </c>
      <c r="M1227" s="2" t="s">
        <v>752</v>
      </c>
      <c r="N1227" s="7">
        <v>35</v>
      </c>
      <c r="O1227" s="4">
        <v>420</v>
      </c>
      <c r="P1227" s="4">
        <v>420</v>
      </c>
      <c r="Q1227" s="6">
        <v>0</v>
      </c>
    </row>
    <row r="1228" spans="1:17" x14ac:dyDescent="0.25">
      <c r="A1228" s="2" t="s">
        <v>323</v>
      </c>
      <c r="B1228" s="2" t="s">
        <v>21</v>
      </c>
      <c r="C1228" s="2" t="s">
        <v>22</v>
      </c>
      <c r="D1228" s="2" t="s">
        <v>758</v>
      </c>
      <c r="E1228" s="2" t="s">
        <v>790</v>
      </c>
      <c r="F1228" s="2" t="s">
        <v>789</v>
      </c>
      <c r="G1228" s="3">
        <v>46135</v>
      </c>
      <c r="H1228" s="2" t="s">
        <v>753</v>
      </c>
      <c r="I1228" s="2" t="s">
        <v>755</v>
      </c>
      <c r="J1228" s="2" t="s">
        <v>754</v>
      </c>
      <c r="K1228" s="2" t="s">
        <v>753</v>
      </c>
      <c r="L1228" s="6">
        <v>56</v>
      </c>
      <c r="M1228" s="2" t="s">
        <v>752</v>
      </c>
      <c r="N1228" s="7">
        <v>39.25</v>
      </c>
      <c r="O1228" s="4">
        <v>2198</v>
      </c>
      <c r="P1228" s="4">
        <v>2198</v>
      </c>
      <c r="Q1228" s="6">
        <v>0</v>
      </c>
    </row>
    <row r="1229" spans="1:17" x14ac:dyDescent="0.25">
      <c r="A1229" s="2" t="s">
        <v>323</v>
      </c>
      <c r="B1229" s="2" t="s">
        <v>21</v>
      </c>
      <c r="C1229" s="2" t="s">
        <v>22</v>
      </c>
      <c r="D1229" s="2" t="s">
        <v>758</v>
      </c>
      <c r="E1229" s="2" t="s">
        <v>786</v>
      </c>
      <c r="F1229" s="2" t="s">
        <v>785</v>
      </c>
      <c r="G1229" s="3">
        <v>46135</v>
      </c>
      <c r="H1229" s="2" t="s">
        <v>753</v>
      </c>
      <c r="I1229" s="2" t="s">
        <v>755</v>
      </c>
      <c r="J1229" s="2" t="s">
        <v>754</v>
      </c>
      <c r="K1229" s="2" t="s">
        <v>753</v>
      </c>
      <c r="L1229" s="6">
        <v>28</v>
      </c>
      <c r="M1229" s="2" t="s">
        <v>752</v>
      </c>
      <c r="N1229" s="7">
        <v>35</v>
      </c>
      <c r="O1229" s="4">
        <v>980</v>
      </c>
      <c r="P1229" s="4">
        <v>980</v>
      </c>
      <c r="Q1229" s="6">
        <v>0</v>
      </c>
    </row>
    <row r="1230" spans="1:17" x14ac:dyDescent="0.25">
      <c r="A1230" s="2" t="s">
        <v>323</v>
      </c>
      <c r="B1230" s="2" t="s">
        <v>21</v>
      </c>
      <c r="C1230" s="2" t="s">
        <v>22</v>
      </c>
      <c r="D1230" s="2" t="s">
        <v>758</v>
      </c>
      <c r="E1230" s="2" t="s">
        <v>851</v>
      </c>
      <c r="F1230" s="2" t="s">
        <v>850</v>
      </c>
      <c r="G1230" s="3">
        <v>46135</v>
      </c>
      <c r="H1230" s="2" t="s">
        <v>753</v>
      </c>
      <c r="I1230" s="2" t="s">
        <v>755</v>
      </c>
      <c r="J1230" s="2" t="s">
        <v>754</v>
      </c>
      <c r="K1230" s="2" t="s">
        <v>753</v>
      </c>
      <c r="L1230" s="6">
        <v>8</v>
      </c>
      <c r="M1230" s="2" t="s">
        <v>752</v>
      </c>
      <c r="N1230" s="7">
        <v>43.82</v>
      </c>
      <c r="O1230" s="4">
        <v>350.56</v>
      </c>
      <c r="P1230" s="4">
        <v>350.56</v>
      </c>
      <c r="Q1230" s="6">
        <v>0</v>
      </c>
    </row>
    <row r="1231" spans="1:17" x14ac:dyDescent="0.25">
      <c r="A1231" s="2" t="s">
        <v>323</v>
      </c>
      <c r="B1231" s="2" t="s">
        <v>21</v>
      </c>
      <c r="C1231" s="2" t="s">
        <v>22</v>
      </c>
      <c r="D1231" s="2" t="s">
        <v>758</v>
      </c>
      <c r="E1231" s="2" t="s">
        <v>782</v>
      </c>
      <c r="F1231" s="2" t="s">
        <v>781</v>
      </c>
      <c r="G1231" s="3">
        <v>46135</v>
      </c>
      <c r="H1231" s="2" t="s">
        <v>753</v>
      </c>
      <c r="I1231" s="2" t="s">
        <v>755</v>
      </c>
      <c r="J1231" s="2" t="s">
        <v>754</v>
      </c>
      <c r="K1231" s="2" t="s">
        <v>753</v>
      </c>
      <c r="L1231" s="6">
        <v>30</v>
      </c>
      <c r="M1231" s="2" t="s">
        <v>752</v>
      </c>
      <c r="N1231" s="7">
        <v>36.18</v>
      </c>
      <c r="O1231" s="4">
        <v>1085.4000000000001</v>
      </c>
      <c r="P1231" s="4">
        <v>1085.4000000000001</v>
      </c>
      <c r="Q1231" s="6">
        <v>0</v>
      </c>
    </row>
    <row r="1232" spans="1:17" x14ac:dyDescent="0.25">
      <c r="A1232" s="2" t="s">
        <v>323</v>
      </c>
      <c r="B1232" s="2" t="s">
        <v>21</v>
      </c>
      <c r="C1232" s="2" t="s">
        <v>22</v>
      </c>
      <c r="D1232" s="2" t="s">
        <v>758</v>
      </c>
      <c r="E1232" s="2" t="s">
        <v>780</v>
      </c>
      <c r="F1232" s="2" t="s">
        <v>779</v>
      </c>
      <c r="G1232" s="3">
        <v>46135</v>
      </c>
      <c r="H1232" s="2" t="s">
        <v>753</v>
      </c>
      <c r="I1232" s="2" t="s">
        <v>755</v>
      </c>
      <c r="J1232" s="2" t="s">
        <v>754</v>
      </c>
      <c r="K1232" s="2" t="s">
        <v>753</v>
      </c>
      <c r="L1232" s="6">
        <v>4</v>
      </c>
      <c r="M1232" s="2" t="s">
        <v>752</v>
      </c>
      <c r="N1232" s="7">
        <v>36.07</v>
      </c>
      <c r="O1232" s="4">
        <v>144.28</v>
      </c>
      <c r="P1232" s="4">
        <v>144.28</v>
      </c>
      <c r="Q1232" s="6">
        <v>0</v>
      </c>
    </row>
    <row r="1233" spans="1:17" x14ac:dyDescent="0.25">
      <c r="A1233" s="2" t="s">
        <v>323</v>
      </c>
      <c r="B1233" s="2" t="s">
        <v>21</v>
      </c>
      <c r="C1233" s="2" t="s">
        <v>22</v>
      </c>
      <c r="D1233" s="2" t="s">
        <v>758</v>
      </c>
      <c r="E1233" s="2" t="s">
        <v>776</v>
      </c>
      <c r="F1233" s="2" t="s">
        <v>775</v>
      </c>
      <c r="G1233" s="3">
        <v>46135</v>
      </c>
      <c r="H1233" s="2" t="s">
        <v>753</v>
      </c>
      <c r="I1233" s="2" t="s">
        <v>755</v>
      </c>
      <c r="J1233" s="2" t="s">
        <v>754</v>
      </c>
      <c r="K1233" s="2" t="s">
        <v>753</v>
      </c>
      <c r="L1233" s="6">
        <v>56</v>
      </c>
      <c r="M1233" s="2" t="s">
        <v>752</v>
      </c>
      <c r="N1233" s="7">
        <v>43.82</v>
      </c>
      <c r="O1233" s="4">
        <v>2453.92</v>
      </c>
      <c r="P1233" s="4">
        <v>2453.92</v>
      </c>
      <c r="Q1233" s="6">
        <v>0</v>
      </c>
    </row>
    <row r="1234" spans="1:17" x14ac:dyDescent="0.25">
      <c r="A1234" s="2" t="s">
        <v>323</v>
      </c>
      <c r="B1234" s="2" t="s">
        <v>21</v>
      </c>
      <c r="C1234" s="2" t="s">
        <v>22</v>
      </c>
      <c r="D1234" s="2" t="s">
        <v>758</v>
      </c>
      <c r="E1234" s="2" t="s">
        <v>853</v>
      </c>
      <c r="F1234" s="2" t="s">
        <v>852</v>
      </c>
      <c r="G1234" s="3">
        <v>46135</v>
      </c>
      <c r="H1234" s="2" t="s">
        <v>753</v>
      </c>
      <c r="I1234" s="2" t="s">
        <v>755</v>
      </c>
      <c r="J1234" s="2" t="s">
        <v>754</v>
      </c>
      <c r="K1234" s="2" t="s">
        <v>753</v>
      </c>
      <c r="L1234" s="6">
        <v>8</v>
      </c>
      <c r="M1234" s="2" t="s">
        <v>752</v>
      </c>
      <c r="N1234" s="7">
        <v>64</v>
      </c>
      <c r="O1234" s="4">
        <v>512</v>
      </c>
      <c r="P1234" s="4">
        <v>512</v>
      </c>
      <c r="Q1234" s="6">
        <v>0</v>
      </c>
    </row>
    <row r="1235" spans="1:17" x14ac:dyDescent="0.25">
      <c r="A1235" s="2" t="s">
        <v>323</v>
      </c>
      <c r="B1235" s="2" t="s">
        <v>21</v>
      </c>
      <c r="C1235" s="2" t="s">
        <v>22</v>
      </c>
      <c r="D1235" s="2" t="s">
        <v>758</v>
      </c>
      <c r="E1235" s="2" t="s">
        <v>788</v>
      </c>
      <c r="F1235" s="2" t="s">
        <v>787</v>
      </c>
      <c r="G1235" s="3">
        <v>46135</v>
      </c>
      <c r="H1235" s="2" t="s">
        <v>753</v>
      </c>
      <c r="I1235" s="2" t="s">
        <v>755</v>
      </c>
      <c r="J1235" s="2" t="s">
        <v>754</v>
      </c>
      <c r="K1235" s="2" t="s">
        <v>753</v>
      </c>
      <c r="L1235" s="6">
        <v>28</v>
      </c>
      <c r="M1235" s="2" t="s">
        <v>752</v>
      </c>
      <c r="N1235" s="7">
        <v>38.299999999999997</v>
      </c>
      <c r="O1235" s="4">
        <v>1072.4000000000001</v>
      </c>
      <c r="P1235" s="4">
        <v>1072.4000000000001</v>
      </c>
      <c r="Q1235" s="6">
        <v>0</v>
      </c>
    </row>
    <row r="1236" spans="1:17" x14ac:dyDescent="0.25">
      <c r="A1236" s="2" t="s">
        <v>323</v>
      </c>
      <c r="B1236" s="2" t="s">
        <v>21</v>
      </c>
      <c r="C1236" s="2" t="s">
        <v>22</v>
      </c>
      <c r="D1236" s="2" t="s">
        <v>758</v>
      </c>
      <c r="E1236" s="2" t="s">
        <v>950</v>
      </c>
      <c r="F1236" s="2" t="s">
        <v>949</v>
      </c>
      <c r="G1236" s="3">
        <v>46135</v>
      </c>
      <c r="H1236" s="2" t="s">
        <v>753</v>
      </c>
      <c r="I1236" s="2" t="s">
        <v>755</v>
      </c>
      <c r="J1236" s="2" t="s">
        <v>754</v>
      </c>
      <c r="K1236" s="2" t="s">
        <v>753</v>
      </c>
      <c r="L1236" s="6">
        <v>8</v>
      </c>
      <c r="M1236" s="2" t="s">
        <v>752</v>
      </c>
      <c r="N1236" s="7">
        <v>49</v>
      </c>
      <c r="O1236" s="4">
        <v>392</v>
      </c>
      <c r="P1236" s="4">
        <v>392</v>
      </c>
      <c r="Q1236" s="6">
        <v>0</v>
      </c>
    </row>
    <row r="1237" spans="1:17" x14ac:dyDescent="0.25">
      <c r="A1237" s="2" t="s">
        <v>323</v>
      </c>
      <c r="B1237" s="2" t="s">
        <v>21</v>
      </c>
      <c r="C1237" s="2" t="s">
        <v>22</v>
      </c>
      <c r="D1237" s="2" t="s">
        <v>758</v>
      </c>
      <c r="E1237" s="2" t="s">
        <v>778</v>
      </c>
      <c r="F1237" s="2" t="s">
        <v>777</v>
      </c>
      <c r="G1237" s="3">
        <v>46135</v>
      </c>
      <c r="H1237" s="2" t="s">
        <v>753</v>
      </c>
      <c r="I1237" s="2" t="s">
        <v>755</v>
      </c>
      <c r="J1237" s="2" t="s">
        <v>754</v>
      </c>
      <c r="K1237" s="2" t="s">
        <v>753</v>
      </c>
      <c r="L1237" s="6">
        <v>28</v>
      </c>
      <c r="M1237" s="2" t="s">
        <v>752</v>
      </c>
      <c r="N1237" s="7">
        <v>42</v>
      </c>
      <c r="O1237" s="4">
        <v>1176</v>
      </c>
      <c r="P1237" s="4">
        <v>1176</v>
      </c>
      <c r="Q1237" s="6">
        <v>0</v>
      </c>
    </row>
    <row r="1238" spans="1:17" x14ac:dyDescent="0.25">
      <c r="A1238" s="2" t="s">
        <v>323</v>
      </c>
      <c r="B1238" s="2" t="s">
        <v>21</v>
      </c>
      <c r="C1238" s="2" t="s">
        <v>22</v>
      </c>
      <c r="D1238" s="2" t="s">
        <v>758</v>
      </c>
      <c r="E1238" s="2" t="s">
        <v>823</v>
      </c>
      <c r="F1238" s="2" t="s">
        <v>822</v>
      </c>
      <c r="G1238" s="3">
        <v>46135</v>
      </c>
      <c r="H1238" s="2" t="s">
        <v>753</v>
      </c>
      <c r="I1238" s="2" t="s">
        <v>755</v>
      </c>
      <c r="J1238" s="2" t="s">
        <v>754</v>
      </c>
      <c r="K1238" s="2" t="s">
        <v>753</v>
      </c>
      <c r="L1238" s="6">
        <v>28</v>
      </c>
      <c r="M1238" s="2" t="s">
        <v>752</v>
      </c>
      <c r="N1238" s="7">
        <v>54</v>
      </c>
      <c r="O1238" s="4">
        <v>1512</v>
      </c>
      <c r="P1238" s="4">
        <v>1512</v>
      </c>
      <c r="Q1238" s="6">
        <v>0</v>
      </c>
    </row>
    <row r="1239" spans="1:17" x14ac:dyDescent="0.25">
      <c r="A1239" s="2" t="s">
        <v>304</v>
      </c>
      <c r="B1239" s="2" t="s">
        <v>81</v>
      </c>
      <c r="C1239" s="2" t="s">
        <v>82</v>
      </c>
      <c r="D1239" s="2" t="s">
        <v>758</v>
      </c>
      <c r="E1239" s="2" t="s">
        <v>763</v>
      </c>
      <c r="F1239" s="2" t="s">
        <v>762</v>
      </c>
      <c r="G1239" s="3">
        <v>46142</v>
      </c>
      <c r="H1239" s="2" t="s">
        <v>753</v>
      </c>
      <c r="I1239" s="2" t="s">
        <v>755</v>
      </c>
      <c r="J1239" s="2" t="s">
        <v>754</v>
      </c>
      <c r="K1239" s="2" t="s">
        <v>753</v>
      </c>
      <c r="L1239" s="6">
        <v>532</v>
      </c>
      <c r="M1239" s="2" t="s">
        <v>752</v>
      </c>
      <c r="N1239" s="7">
        <v>46</v>
      </c>
      <c r="O1239" s="4">
        <v>24472</v>
      </c>
      <c r="P1239" s="4">
        <v>24472</v>
      </c>
      <c r="Q1239" s="6">
        <v>0</v>
      </c>
    </row>
    <row r="1240" spans="1:17" x14ac:dyDescent="0.25">
      <c r="A1240" s="2" t="s">
        <v>319</v>
      </c>
      <c r="B1240" s="2" t="s">
        <v>177</v>
      </c>
      <c r="C1240" s="2" t="s">
        <v>178</v>
      </c>
      <c r="D1240" s="2" t="s">
        <v>758</v>
      </c>
      <c r="E1240" s="2" t="s">
        <v>763</v>
      </c>
      <c r="F1240" s="2" t="s">
        <v>762</v>
      </c>
      <c r="G1240" s="3">
        <v>46139</v>
      </c>
      <c r="H1240" s="2" t="s">
        <v>753</v>
      </c>
      <c r="I1240" s="2" t="s">
        <v>755</v>
      </c>
      <c r="J1240" s="2" t="s">
        <v>754</v>
      </c>
      <c r="K1240" s="2" t="s">
        <v>753</v>
      </c>
      <c r="L1240" s="6">
        <v>152</v>
      </c>
      <c r="M1240" s="2" t="s">
        <v>752</v>
      </c>
      <c r="N1240" s="7">
        <v>42.6</v>
      </c>
      <c r="O1240" s="4">
        <v>6475.2</v>
      </c>
      <c r="P1240" s="4">
        <v>6475.2</v>
      </c>
      <c r="Q1240" s="6">
        <v>0</v>
      </c>
    </row>
    <row r="1241" spans="1:17" x14ac:dyDescent="0.25">
      <c r="A1241" s="2" t="s">
        <v>319</v>
      </c>
      <c r="B1241" s="2" t="s">
        <v>177</v>
      </c>
      <c r="C1241" s="2" t="s">
        <v>178</v>
      </c>
      <c r="D1241" s="2" t="s">
        <v>758</v>
      </c>
      <c r="E1241" s="2" t="s">
        <v>881</v>
      </c>
      <c r="F1241" s="2" t="s">
        <v>880</v>
      </c>
      <c r="G1241" s="3">
        <v>46139</v>
      </c>
      <c r="H1241" s="2" t="s">
        <v>753</v>
      </c>
      <c r="I1241" s="2" t="s">
        <v>755</v>
      </c>
      <c r="J1241" s="2" t="s">
        <v>754</v>
      </c>
      <c r="K1241" s="2" t="s">
        <v>753</v>
      </c>
      <c r="L1241" s="6">
        <v>8</v>
      </c>
      <c r="M1241" s="2" t="s">
        <v>752</v>
      </c>
      <c r="N1241" s="7">
        <v>41.15</v>
      </c>
      <c r="O1241" s="4">
        <v>329.2</v>
      </c>
      <c r="P1241" s="4">
        <v>329.2</v>
      </c>
      <c r="Q1241" s="6">
        <v>0</v>
      </c>
    </row>
    <row r="1242" spans="1:17" x14ac:dyDescent="0.25">
      <c r="A1242" s="2" t="s">
        <v>319</v>
      </c>
      <c r="B1242" s="2" t="s">
        <v>177</v>
      </c>
      <c r="C1242" s="2" t="s">
        <v>178</v>
      </c>
      <c r="D1242" s="2" t="s">
        <v>758</v>
      </c>
      <c r="E1242" s="2" t="s">
        <v>772</v>
      </c>
      <c r="F1242" s="2" t="s">
        <v>771</v>
      </c>
      <c r="G1242" s="3">
        <v>46139</v>
      </c>
      <c r="H1242" s="2" t="s">
        <v>753</v>
      </c>
      <c r="I1242" s="2" t="s">
        <v>755</v>
      </c>
      <c r="J1242" s="2" t="s">
        <v>754</v>
      </c>
      <c r="K1242" s="2" t="s">
        <v>753</v>
      </c>
      <c r="L1242" s="6">
        <v>112</v>
      </c>
      <c r="M1242" s="2" t="s">
        <v>752</v>
      </c>
      <c r="N1242" s="7">
        <v>34.5</v>
      </c>
      <c r="O1242" s="4">
        <v>3864</v>
      </c>
      <c r="P1242" s="4">
        <v>3864</v>
      </c>
      <c r="Q1242" s="6">
        <v>0</v>
      </c>
    </row>
    <row r="1243" spans="1:17" x14ac:dyDescent="0.25">
      <c r="A1243" s="2" t="s">
        <v>294</v>
      </c>
      <c r="B1243" s="2" t="s">
        <v>295</v>
      </c>
      <c r="C1243" s="2" t="s">
        <v>296</v>
      </c>
      <c r="D1243" s="2" t="s">
        <v>758</v>
      </c>
      <c r="E1243" s="2" t="s">
        <v>763</v>
      </c>
      <c r="F1243" s="2" t="s">
        <v>762</v>
      </c>
      <c r="G1243" s="3">
        <v>46146</v>
      </c>
      <c r="H1243" s="2" t="s">
        <v>753</v>
      </c>
      <c r="I1243" s="2" t="s">
        <v>755</v>
      </c>
      <c r="J1243" s="2" t="s">
        <v>754</v>
      </c>
      <c r="K1243" s="2" t="s">
        <v>753</v>
      </c>
      <c r="L1243" s="6">
        <v>168</v>
      </c>
      <c r="M1243" s="2" t="s">
        <v>752</v>
      </c>
      <c r="N1243" s="7">
        <v>46.6</v>
      </c>
      <c r="O1243" s="4">
        <v>7828.8</v>
      </c>
      <c r="P1243" s="4">
        <v>7828.8</v>
      </c>
      <c r="Q1243" s="6">
        <v>0</v>
      </c>
    </row>
    <row r="1244" spans="1:17" x14ac:dyDescent="0.25">
      <c r="A1244" s="2" t="s">
        <v>317</v>
      </c>
      <c r="B1244" s="2" t="s">
        <v>41</v>
      </c>
      <c r="C1244" s="2" t="s">
        <v>42</v>
      </c>
      <c r="D1244" s="2" t="s">
        <v>758</v>
      </c>
      <c r="E1244" s="2" t="s">
        <v>847</v>
      </c>
      <c r="F1244" s="2" t="s">
        <v>846</v>
      </c>
      <c r="G1244" s="3">
        <v>46139</v>
      </c>
      <c r="H1244" s="2" t="s">
        <v>753</v>
      </c>
      <c r="I1244" s="2" t="s">
        <v>755</v>
      </c>
      <c r="J1244" s="2" t="s">
        <v>754</v>
      </c>
      <c r="K1244" s="2" t="s">
        <v>753</v>
      </c>
      <c r="L1244" s="6">
        <v>120</v>
      </c>
      <c r="M1244" s="2" t="s">
        <v>752</v>
      </c>
      <c r="N1244" s="7">
        <v>35.479999999999997</v>
      </c>
      <c r="O1244" s="4">
        <v>4257.6000000000004</v>
      </c>
      <c r="P1244" s="4">
        <v>4257.6000000000004</v>
      </c>
      <c r="Q1244" s="6">
        <v>0</v>
      </c>
    </row>
    <row r="1245" spans="1:17" x14ac:dyDescent="0.25">
      <c r="A1245" s="2" t="s">
        <v>317</v>
      </c>
      <c r="B1245" s="2" t="s">
        <v>41</v>
      </c>
      <c r="C1245" s="2" t="s">
        <v>42</v>
      </c>
      <c r="D1245" s="2" t="s">
        <v>758</v>
      </c>
      <c r="E1245" s="2" t="s">
        <v>875</v>
      </c>
      <c r="F1245" s="2" t="s">
        <v>874</v>
      </c>
      <c r="G1245" s="3">
        <v>46139</v>
      </c>
      <c r="H1245" s="2" t="s">
        <v>753</v>
      </c>
      <c r="I1245" s="2" t="s">
        <v>755</v>
      </c>
      <c r="J1245" s="2" t="s">
        <v>754</v>
      </c>
      <c r="K1245" s="2" t="s">
        <v>753</v>
      </c>
      <c r="L1245" s="6">
        <v>128</v>
      </c>
      <c r="M1245" s="2" t="s">
        <v>752</v>
      </c>
      <c r="N1245" s="7">
        <v>32.89</v>
      </c>
      <c r="O1245" s="4">
        <v>4209.92</v>
      </c>
      <c r="P1245" s="4">
        <v>4209.92</v>
      </c>
      <c r="Q1245" s="6">
        <v>0</v>
      </c>
    </row>
    <row r="1246" spans="1:17" x14ac:dyDescent="0.25">
      <c r="A1246" s="2" t="s">
        <v>317</v>
      </c>
      <c r="B1246" s="2" t="s">
        <v>41</v>
      </c>
      <c r="C1246" s="2" t="s">
        <v>42</v>
      </c>
      <c r="D1246" s="2" t="s">
        <v>758</v>
      </c>
      <c r="E1246" s="2" t="s">
        <v>894</v>
      </c>
      <c r="F1246" s="2" t="s">
        <v>893</v>
      </c>
      <c r="G1246" s="3">
        <v>46139</v>
      </c>
      <c r="H1246" s="2" t="s">
        <v>753</v>
      </c>
      <c r="I1246" s="2" t="s">
        <v>755</v>
      </c>
      <c r="J1246" s="2" t="s">
        <v>754</v>
      </c>
      <c r="K1246" s="2" t="s">
        <v>753</v>
      </c>
      <c r="L1246" s="6">
        <v>252</v>
      </c>
      <c r="M1246" s="2" t="s">
        <v>752</v>
      </c>
      <c r="N1246" s="7">
        <v>28.33</v>
      </c>
      <c r="O1246" s="4">
        <v>7139.16</v>
      </c>
      <c r="P1246" s="4">
        <v>7139.16</v>
      </c>
      <c r="Q1246" s="6">
        <v>0</v>
      </c>
    </row>
    <row r="1247" spans="1:17" x14ac:dyDescent="0.25">
      <c r="A1247" s="2" t="s">
        <v>317</v>
      </c>
      <c r="B1247" s="2" t="s">
        <v>41</v>
      </c>
      <c r="C1247" s="2" t="s">
        <v>42</v>
      </c>
      <c r="D1247" s="2" t="s">
        <v>758</v>
      </c>
      <c r="E1247" s="2" t="s">
        <v>794</v>
      </c>
      <c r="F1247" s="2" t="s">
        <v>793</v>
      </c>
      <c r="G1247" s="3">
        <v>46139</v>
      </c>
      <c r="H1247" s="2" t="s">
        <v>753</v>
      </c>
      <c r="I1247" s="2" t="s">
        <v>755</v>
      </c>
      <c r="J1247" s="2" t="s">
        <v>754</v>
      </c>
      <c r="K1247" s="2" t="s">
        <v>753</v>
      </c>
      <c r="L1247" s="6">
        <v>240</v>
      </c>
      <c r="M1247" s="2" t="s">
        <v>752</v>
      </c>
      <c r="N1247" s="7">
        <v>28.49</v>
      </c>
      <c r="O1247" s="4">
        <v>6837.6</v>
      </c>
      <c r="P1247" s="4">
        <v>6837.6</v>
      </c>
      <c r="Q1247" s="6">
        <v>0</v>
      </c>
    </row>
    <row r="1248" spans="1:17" x14ac:dyDescent="0.25">
      <c r="A1248" s="2" t="s">
        <v>317</v>
      </c>
      <c r="B1248" s="2" t="s">
        <v>41</v>
      </c>
      <c r="C1248" s="2" t="s">
        <v>42</v>
      </c>
      <c r="D1248" s="2" t="s">
        <v>758</v>
      </c>
      <c r="E1248" s="2" t="s">
        <v>845</v>
      </c>
      <c r="F1248" s="2" t="s">
        <v>844</v>
      </c>
      <c r="G1248" s="3">
        <v>46139</v>
      </c>
      <c r="H1248" s="2" t="s">
        <v>753</v>
      </c>
      <c r="I1248" s="2" t="s">
        <v>755</v>
      </c>
      <c r="J1248" s="2" t="s">
        <v>754</v>
      </c>
      <c r="K1248" s="2" t="s">
        <v>753</v>
      </c>
      <c r="L1248" s="6">
        <v>56</v>
      </c>
      <c r="M1248" s="2" t="s">
        <v>752</v>
      </c>
      <c r="N1248" s="7">
        <v>28.49</v>
      </c>
      <c r="O1248" s="4">
        <v>1595.44</v>
      </c>
      <c r="P1248" s="4">
        <v>1595.44</v>
      </c>
      <c r="Q1248" s="6">
        <v>0</v>
      </c>
    </row>
    <row r="1249" spans="1:17" x14ac:dyDescent="0.25">
      <c r="A1249" s="2" t="s">
        <v>317</v>
      </c>
      <c r="B1249" s="2" t="s">
        <v>41</v>
      </c>
      <c r="C1249" s="2" t="s">
        <v>42</v>
      </c>
      <c r="D1249" s="2" t="s">
        <v>758</v>
      </c>
      <c r="E1249" s="2" t="s">
        <v>961</v>
      </c>
      <c r="F1249" s="2" t="s">
        <v>960</v>
      </c>
      <c r="G1249" s="3">
        <v>46139</v>
      </c>
      <c r="H1249" s="2" t="s">
        <v>753</v>
      </c>
      <c r="I1249" s="2" t="s">
        <v>755</v>
      </c>
      <c r="J1249" s="2" t="s">
        <v>754</v>
      </c>
      <c r="K1249" s="2" t="s">
        <v>753</v>
      </c>
      <c r="L1249" s="6">
        <v>48</v>
      </c>
      <c r="M1249" s="2" t="s">
        <v>752</v>
      </c>
      <c r="N1249" s="7">
        <v>43.34</v>
      </c>
      <c r="O1249" s="4">
        <v>2080.3200000000002</v>
      </c>
      <c r="P1249" s="4">
        <v>2080.3200000000002</v>
      </c>
      <c r="Q1249" s="6">
        <v>0</v>
      </c>
    </row>
    <row r="1250" spans="1:17" x14ac:dyDescent="0.25">
      <c r="A1250" s="2" t="s">
        <v>959</v>
      </c>
      <c r="B1250" s="2" t="s">
        <v>760</v>
      </c>
      <c r="C1250" s="2" t="s">
        <v>759</v>
      </c>
      <c r="D1250" s="2" t="s">
        <v>758</v>
      </c>
      <c r="E1250" s="2" t="s">
        <v>958</v>
      </c>
      <c r="F1250" s="2" t="s">
        <v>957</v>
      </c>
      <c r="G1250" s="3">
        <v>46126</v>
      </c>
      <c r="H1250" s="2" t="s">
        <v>753</v>
      </c>
      <c r="I1250" s="2" t="s">
        <v>755</v>
      </c>
      <c r="J1250" s="2" t="s">
        <v>754</v>
      </c>
      <c r="K1250" s="2" t="s">
        <v>753</v>
      </c>
      <c r="L1250" s="6">
        <v>1</v>
      </c>
      <c r="M1250" s="2" t="s">
        <v>752</v>
      </c>
      <c r="N1250" s="7">
        <v>0</v>
      </c>
      <c r="O1250" s="4">
        <v>0</v>
      </c>
      <c r="P1250" s="4">
        <v>0</v>
      </c>
      <c r="Q1250" s="6">
        <v>0</v>
      </c>
    </row>
    <row r="1251" spans="1:17" x14ac:dyDescent="0.25">
      <c r="A1251" s="2" t="s">
        <v>353</v>
      </c>
      <c r="B1251" s="2" t="s">
        <v>163</v>
      </c>
      <c r="C1251" s="2" t="s">
        <v>164</v>
      </c>
      <c r="D1251" s="2" t="s">
        <v>758</v>
      </c>
      <c r="E1251" s="2" t="s">
        <v>766</v>
      </c>
      <c r="F1251" s="2" t="s">
        <v>765</v>
      </c>
      <c r="G1251" s="3">
        <v>46132</v>
      </c>
      <c r="H1251" s="2" t="s">
        <v>770</v>
      </c>
      <c r="I1251" s="2" t="s">
        <v>755</v>
      </c>
      <c r="J1251" s="2" t="s">
        <v>754</v>
      </c>
      <c r="K1251" s="2" t="s">
        <v>753</v>
      </c>
      <c r="L1251" s="6">
        <v>252</v>
      </c>
      <c r="M1251" s="2" t="s">
        <v>752</v>
      </c>
      <c r="N1251" s="7">
        <v>38.880000000000003</v>
      </c>
      <c r="O1251" s="4">
        <v>9797.76</v>
      </c>
      <c r="P1251" s="4">
        <v>9797.76</v>
      </c>
      <c r="Q1251" s="6">
        <v>0</v>
      </c>
    </row>
    <row r="1252" spans="1:17" x14ac:dyDescent="0.25">
      <c r="A1252" s="2" t="s">
        <v>292</v>
      </c>
      <c r="B1252" s="2" t="s">
        <v>181</v>
      </c>
      <c r="C1252" s="2" t="s">
        <v>182</v>
      </c>
      <c r="D1252" s="2" t="s">
        <v>758</v>
      </c>
      <c r="E1252" s="2" t="s">
        <v>871</v>
      </c>
      <c r="F1252" s="2" t="s">
        <v>870</v>
      </c>
      <c r="G1252" s="3">
        <v>46146</v>
      </c>
      <c r="H1252" s="2" t="s">
        <v>753</v>
      </c>
      <c r="I1252" s="2" t="s">
        <v>755</v>
      </c>
      <c r="J1252" s="2" t="s">
        <v>754</v>
      </c>
      <c r="K1252" s="2" t="s">
        <v>753</v>
      </c>
      <c r="L1252" s="6">
        <v>140</v>
      </c>
      <c r="M1252" s="2" t="s">
        <v>752</v>
      </c>
      <c r="N1252" s="7">
        <v>37.659999999999997</v>
      </c>
      <c r="O1252" s="4">
        <v>5272.4</v>
      </c>
      <c r="P1252" s="4">
        <v>5272.4</v>
      </c>
      <c r="Q1252" s="6">
        <v>0</v>
      </c>
    </row>
    <row r="1253" spans="1:17" x14ac:dyDescent="0.25">
      <c r="A1253" s="2" t="s">
        <v>292</v>
      </c>
      <c r="B1253" s="2" t="s">
        <v>181</v>
      </c>
      <c r="C1253" s="2" t="s">
        <v>182</v>
      </c>
      <c r="D1253" s="2" t="s">
        <v>758</v>
      </c>
      <c r="E1253" s="2" t="s">
        <v>918</v>
      </c>
      <c r="F1253" s="2" t="s">
        <v>917</v>
      </c>
      <c r="G1253" s="3">
        <v>46146</v>
      </c>
      <c r="H1253" s="2" t="s">
        <v>753</v>
      </c>
      <c r="I1253" s="2" t="s">
        <v>755</v>
      </c>
      <c r="J1253" s="2" t="s">
        <v>754</v>
      </c>
      <c r="K1253" s="2" t="s">
        <v>753</v>
      </c>
      <c r="L1253" s="6">
        <v>4</v>
      </c>
      <c r="M1253" s="2" t="s">
        <v>752</v>
      </c>
      <c r="N1253" s="7">
        <v>42.53</v>
      </c>
      <c r="O1253" s="4">
        <v>170.12</v>
      </c>
      <c r="P1253" s="4">
        <v>170.12</v>
      </c>
      <c r="Q1253" s="6">
        <v>0</v>
      </c>
    </row>
    <row r="1254" spans="1:17" x14ac:dyDescent="0.25">
      <c r="A1254" s="2" t="s">
        <v>292</v>
      </c>
      <c r="B1254" s="2" t="s">
        <v>181</v>
      </c>
      <c r="C1254" s="2" t="s">
        <v>182</v>
      </c>
      <c r="D1254" s="2" t="s">
        <v>758</v>
      </c>
      <c r="E1254" s="2" t="s">
        <v>794</v>
      </c>
      <c r="F1254" s="2" t="s">
        <v>793</v>
      </c>
      <c r="G1254" s="3">
        <v>46146</v>
      </c>
      <c r="H1254" s="2" t="s">
        <v>753</v>
      </c>
      <c r="I1254" s="2" t="s">
        <v>755</v>
      </c>
      <c r="J1254" s="2" t="s">
        <v>754</v>
      </c>
      <c r="K1254" s="2" t="s">
        <v>753</v>
      </c>
      <c r="L1254" s="6">
        <v>124</v>
      </c>
      <c r="M1254" s="2" t="s">
        <v>752</v>
      </c>
      <c r="N1254" s="7">
        <v>40</v>
      </c>
      <c r="O1254" s="4">
        <v>4960</v>
      </c>
      <c r="P1254" s="4">
        <v>4960</v>
      </c>
      <c r="Q1254" s="6">
        <v>0</v>
      </c>
    </row>
    <row r="1255" spans="1:17" x14ac:dyDescent="0.25">
      <c r="A1255" s="2" t="s">
        <v>292</v>
      </c>
      <c r="B1255" s="2" t="s">
        <v>181</v>
      </c>
      <c r="C1255" s="2" t="s">
        <v>182</v>
      </c>
      <c r="D1255" s="2" t="s">
        <v>758</v>
      </c>
      <c r="E1255" s="2" t="s">
        <v>879</v>
      </c>
      <c r="F1255" s="2" t="s">
        <v>878</v>
      </c>
      <c r="G1255" s="3">
        <v>46146</v>
      </c>
      <c r="H1255" s="2" t="s">
        <v>753</v>
      </c>
      <c r="I1255" s="2" t="s">
        <v>755</v>
      </c>
      <c r="J1255" s="2" t="s">
        <v>754</v>
      </c>
      <c r="K1255" s="2" t="s">
        <v>753</v>
      </c>
      <c r="L1255" s="6">
        <v>16</v>
      </c>
      <c r="M1255" s="2" t="s">
        <v>752</v>
      </c>
      <c r="N1255" s="7">
        <v>39</v>
      </c>
      <c r="O1255" s="4">
        <v>624</v>
      </c>
      <c r="P1255" s="4">
        <v>624</v>
      </c>
      <c r="Q1255" s="6">
        <v>0</v>
      </c>
    </row>
    <row r="1256" spans="1:17" x14ac:dyDescent="0.25">
      <c r="A1256" s="2" t="s">
        <v>292</v>
      </c>
      <c r="B1256" s="2" t="s">
        <v>181</v>
      </c>
      <c r="C1256" s="2" t="s">
        <v>182</v>
      </c>
      <c r="D1256" s="2" t="s">
        <v>758</v>
      </c>
      <c r="E1256" s="2" t="s">
        <v>763</v>
      </c>
      <c r="F1256" s="2" t="s">
        <v>762</v>
      </c>
      <c r="G1256" s="3">
        <v>46146</v>
      </c>
      <c r="H1256" s="2" t="s">
        <v>753</v>
      </c>
      <c r="I1256" s="2" t="s">
        <v>755</v>
      </c>
      <c r="J1256" s="2" t="s">
        <v>754</v>
      </c>
      <c r="K1256" s="2" t="s">
        <v>753</v>
      </c>
      <c r="L1256" s="6">
        <v>164</v>
      </c>
      <c r="M1256" s="2" t="s">
        <v>752</v>
      </c>
      <c r="N1256" s="7">
        <v>44</v>
      </c>
      <c r="O1256" s="4">
        <v>7216</v>
      </c>
      <c r="P1256" s="4">
        <v>7216</v>
      </c>
      <c r="Q1256" s="6">
        <v>0</v>
      </c>
    </row>
    <row r="1257" spans="1:17" x14ac:dyDescent="0.25">
      <c r="A1257" s="2" t="s">
        <v>292</v>
      </c>
      <c r="B1257" s="2" t="s">
        <v>181</v>
      </c>
      <c r="C1257" s="2" t="s">
        <v>182</v>
      </c>
      <c r="D1257" s="2" t="s">
        <v>758</v>
      </c>
      <c r="E1257" s="2" t="s">
        <v>782</v>
      </c>
      <c r="F1257" s="2" t="s">
        <v>781</v>
      </c>
      <c r="G1257" s="3">
        <v>46146</v>
      </c>
      <c r="H1257" s="2" t="s">
        <v>753</v>
      </c>
      <c r="I1257" s="2" t="s">
        <v>755</v>
      </c>
      <c r="J1257" s="2" t="s">
        <v>754</v>
      </c>
      <c r="K1257" s="2" t="s">
        <v>753</v>
      </c>
      <c r="L1257" s="6">
        <v>8</v>
      </c>
      <c r="M1257" s="2" t="s">
        <v>752</v>
      </c>
      <c r="N1257" s="7">
        <v>37</v>
      </c>
      <c r="O1257" s="4">
        <v>296</v>
      </c>
      <c r="P1257" s="4">
        <v>296</v>
      </c>
      <c r="Q1257" s="6">
        <v>0</v>
      </c>
    </row>
    <row r="1258" spans="1:17" x14ac:dyDescent="0.25">
      <c r="A1258" s="2" t="s">
        <v>292</v>
      </c>
      <c r="B1258" s="2" t="s">
        <v>181</v>
      </c>
      <c r="C1258" s="2" t="s">
        <v>182</v>
      </c>
      <c r="D1258" s="2" t="s">
        <v>758</v>
      </c>
      <c r="E1258" s="2" t="s">
        <v>847</v>
      </c>
      <c r="F1258" s="2" t="s">
        <v>846</v>
      </c>
      <c r="G1258" s="3">
        <v>46146</v>
      </c>
      <c r="H1258" s="2" t="s">
        <v>753</v>
      </c>
      <c r="I1258" s="2" t="s">
        <v>755</v>
      </c>
      <c r="J1258" s="2" t="s">
        <v>754</v>
      </c>
      <c r="K1258" s="2" t="s">
        <v>753</v>
      </c>
      <c r="L1258" s="6">
        <v>80</v>
      </c>
      <c r="M1258" s="2" t="s">
        <v>752</v>
      </c>
      <c r="N1258" s="7">
        <v>39</v>
      </c>
      <c r="O1258" s="4">
        <v>3120</v>
      </c>
      <c r="P1258" s="4">
        <v>3120</v>
      </c>
      <c r="Q1258" s="6">
        <v>0</v>
      </c>
    </row>
    <row r="1259" spans="1:17" x14ac:dyDescent="0.25">
      <c r="A1259" s="2" t="s">
        <v>288</v>
      </c>
      <c r="B1259" s="2" t="s">
        <v>87</v>
      </c>
      <c r="C1259" s="2" t="s">
        <v>88</v>
      </c>
      <c r="D1259" s="2" t="s">
        <v>758</v>
      </c>
      <c r="E1259" s="2" t="s">
        <v>786</v>
      </c>
      <c r="F1259" s="2" t="s">
        <v>785</v>
      </c>
      <c r="G1259" s="3">
        <v>46147</v>
      </c>
      <c r="H1259" s="2" t="s">
        <v>753</v>
      </c>
      <c r="I1259" s="2" t="s">
        <v>755</v>
      </c>
      <c r="J1259" s="2" t="s">
        <v>754</v>
      </c>
      <c r="K1259" s="2" t="s">
        <v>753</v>
      </c>
      <c r="L1259" s="6">
        <v>28</v>
      </c>
      <c r="M1259" s="2" t="s">
        <v>752</v>
      </c>
      <c r="N1259" s="7">
        <v>35</v>
      </c>
      <c r="O1259" s="4">
        <v>980</v>
      </c>
      <c r="P1259" s="4">
        <v>980</v>
      </c>
      <c r="Q1259" s="6">
        <v>0</v>
      </c>
    </row>
    <row r="1260" spans="1:17" x14ac:dyDescent="0.25">
      <c r="A1260" s="2" t="s">
        <v>288</v>
      </c>
      <c r="B1260" s="2" t="s">
        <v>87</v>
      </c>
      <c r="C1260" s="2" t="s">
        <v>88</v>
      </c>
      <c r="D1260" s="2" t="s">
        <v>758</v>
      </c>
      <c r="E1260" s="2" t="s">
        <v>845</v>
      </c>
      <c r="F1260" s="2" t="s">
        <v>844</v>
      </c>
      <c r="G1260" s="3">
        <v>46147</v>
      </c>
      <c r="H1260" s="2" t="s">
        <v>753</v>
      </c>
      <c r="I1260" s="2" t="s">
        <v>755</v>
      </c>
      <c r="J1260" s="2" t="s">
        <v>754</v>
      </c>
      <c r="K1260" s="2" t="s">
        <v>753</v>
      </c>
      <c r="L1260" s="6">
        <v>20</v>
      </c>
      <c r="M1260" s="2" t="s">
        <v>752</v>
      </c>
      <c r="N1260" s="7">
        <v>40.119999999999997</v>
      </c>
      <c r="O1260" s="4">
        <v>802.4</v>
      </c>
      <c r="P1260" s="4">
        <v>802.4</v>
      </c>
      <c r="Q1260" s="6">
        <v>0</v>
      </c>
    </row>
    <row r="1261" spans="1:17" x14ac:dyDescent="0.25">
      <c r="A1261" s="2" t="s">
        <v>288</v>
      </c>
      <c r="B1261" s="2" t="s">
        <v>87</v>
      </c>
      <c r="C1261" s="2" t="s">
        <v>88</v>
      </c>
      <c r="D1261" s="2" t="s">
        <v>758</v>
      </c>
      <c r="E1261" s="2" t="s">
        <v>910</v>
      </c>
      <c r="F1261" s="2" t="s">
        <v>909</v>
      </c>
      <c r="G1261" s="3">
        <v>46147</v>
      </c>
      <c r="H1261" s="2" t="s">
        <v>753</v>
      </c>
      <c r="I1261" s="2" t="s">
        <v>755</v>
      </c>
      <c r="J1261" s="2" t="s">
        <v>754</v>
      </c>
      <c r="K1261" s="2" t="s">
        <v>753</v>
      </c>
      <c r="L1261" s="6">
        <v>12</v>
      </c>
      <c r="M1261" s="2" t="s">
        <v>752</v>
      </c>
      <c r="N1261" s="7">
        <v>42.03</v>
      </c>
      <c r="O1261" s="4">
        <v>504.36</v>
      </c>
      <c r="P1261" s="4">
        <v>504.36</v>
      </c>
      <c r="Q1261" s="6">
        <v>0</v>
      </c>
    </row>
    <row r="1262" spans="1:17" x14ac:dyDescent="0.25">
      <c r="A1262" s="2" t="s">
        <v>288</v>
      </c>
      <c r="B1262" s="2" t="s">
        <v>87</v>
      </c>
      <c r="C1262" s="2" t="s">
        <v>88</v>
      </c>
      <c r="D1262" s="2" t="s">
        <v>758</v>
      </c>
      <c r="E1262" s="2" t="s">
        <v>908</v>
      </c>
      <c r="F1262" s="2" t="s">
        <v>907</v>
      </c>
      <c r="G1262" s="3">
        <v>46147</v>
      </c>
      <c r="H1262" s="2" t="s">
        <v>753</v>
      </c>
      <c r="I1262" s="2" t="s">
        <v>755</v>
      </c>
      <c r="J1262" s="2" t="s">
        <v>754</v>
      </c>
      <c r="K1262" s="2" t="s">
        <v>753</v>
      </c>
      <c r="L1262" s="6">
        <v>136</v>
      </c>
      <c r="M1262" s="2" t="s">
        <v>752</v>
      </c>
      <c r="N1262" s="7">
        <v>39</v>
      </c>
      <c r="O1262" s="4">
        <v>5304</v>
      </c>
      <c r="P1262" s="4">
        <v>5304</v>
      </c>
      <c r="Q1262" s="6">
        <v>0</v>
      </c>
    </row>
    <row r="1263" spans="1:17" x14ac:dyDescent="0.25">
      <c r="A1263" s="2" t="s">
        <v>288</v>
      </c>
      <c r="B1263" s="2" t="s">
        <v>87</v>
      </c>
      <c r="C1263" s="2" t="s">
        <v>88</v>
      </c>
      <c r="D1263" s="2" t="s">
        <v>758</v>
      </c>
      <c r="E1263" s="2" t="s">
        <v>815</v>
      </c>
      <c r="F1263" s="2" t="s">
        <v>814</v>
      </c>
      <c r="G1263" s="3">
        <v>46147</v>
      </c>
      <c r="H1263" s="2" t="s">
        <v>753</v>
      </c>
      <c r="I1263" s="2" t="s">
        <v>755</v>
      </c>
      <c r="J1263" s="2" t="s">
        <v>754</v>
      </c>
      <c r="K1263" s="2" t="s">
        <v>753</v>
      </c>
      <c r="L1263" s="6">
        <v>44</v>
      </c>
      <c r="M1263" s="2" t="s">
        <v>752</v>
      </c>
      <c r="N1263" s="7">
        <v>36.24</v>
      </c>
      <c r="O1263" s="4">
        <v>1594.56</v>
      </c>
      <c r="P1263" s="4">
        <v>1594.56</v>
      </c>
      <c r="Q1263" s="6">
        <v>0</v>
      </c>
    </row>
    <row r="1264" spans="1:17" x14ac:dyDescent="0.25">
      <c r="A1264" s="2" t="s">
        <v>288</v>
      </c>
      <c r="B1264" s="2" t="s">
        <v>87</v>
      </c>
      <c r="C1264" s="2" t="s">
        <v>88</v>
      </c>
      <c r="D1264" s="2" t="s">
        <v>758</v>
      </c>
      <c r="E1264" s="2" t="s">
        <v>757</v>
      </c>
      <c r="F1264" s="2" t="s">
        <v>756</v>
      </c>
      <c r="G1264" s="3">
        <v>46147</v>
      </c>
      <c r="H1264" s="2" t="s">
        <v>753</v>
      </c>
      <c r="I1264" s="2" t="s">
        <v>755</v>
      </c>
      <c r="J1264" s="2" t="s">
        <v>754</v>
      </c>
      <c r="K1264" s="2" t="s">
        <v>753</v>
      </c>
      <c r="L1264" s="6">
        <v>44</v>
      </c>
      <c r="M1264" s="2" t="s">
        <v>752</v>
      </c>
      <c r="N1264" s="7">
        <v>41.5</v>
      </c>
      <c r="O1264" s="4">
        <v>1826</v>
      </c>
      <c r="P1264" s="4">
        <v>1826</v>
      </c>
      <c r="Q1264" s="6">
        <v>0</v>
      </c>
    </row>
    <row r="1265" spans="1:17" x14ac:dyDescent="0.25">
      <c r="A1265" s="2" t="s">
        <v>288</v>
      </c>
      <c r="B1265" s="2" t="s">
        <v>87</v>
      </c>
      <c r="C1265" s="2" t="s">
        <v>88</v>
      </c>
      <c r="D1265" s="2" t="s">
        <v>758</v>
      </c>
      <c r="E1265" s="2" t="s">
        <v>906</v>
      </c>
      <c r="F1265" s="2" t="s">
        <v>905</v>
      </c>
      <c r="G1265" s="3">
        <v>46147</v>
      </c>
      <c r="H1265" s="2" t="s">
        <v>753</v>
      </c>
      <c r="I1265" s="2" t="s">
        <v>755</v>
      </c>
      <c r="J1265" s="2" t="s">
        <v>754</v>
      </c>
      <c r="K1265" s="2" t="s">
        <v>753</v>
      </c>
      <c r="L1265" s="6">
        <v>8</v>
      </c>
      <c r="M1265" s="2" t="s">
        <v>752</v>
      </c>
      <c r="N1265" s="7">
        <v>35.21</v>
      </c>
      <c r="O1265" s="4">
        <v>281.68</v>
      </c>
      <c r="P1265" s="4">
        <v>281.68</v>
      </c>
      <c r="Q1265" s="6">
        <v>0</v>
      </c>
    </row>
    <row r="1266" spans="1:17" x14ac:dyDescent="0.25">
      <c r="A1266" s="2" t="s">
        <v>288</v>
      </c>
      <c r="B1266" s="2" t="s">
        <v>87</v>
      </c>
      <c r="C1266" s="2" t="s">
        <v>88</v>
      </c>
      <c r="D1266" s="2" t="s">
        <v>758</v>
      </c>
      <c r="E1266" s="2" t="s">
        <v>763</v>
      </c>
      <c r="F1266" s="2" t="s">
        <v>762</v>
      </c>
      <c r="G1266" s="3">
        <v>46147</v>
      </c>
      <c r="H1266" s="2" t="s">
        <v>753</v>
      </c>
      <c r="I1266" s="2" t="s">
        <v>755</v>
      </c>
      <c r="J1266" s="2" t="s">
        <v>754</v>
      </c>
      <c r="K1266" s="2" t="s">
        <v>753</v>
      </c>
      <c r="L1266" s="6">
        <v>248</v>
      </c>
      <c r="M1266" s="2" t="s">
        <v>752</v>
      </c>
      <c r="N1266" s="7">
        <v>45.49</v>
      </c>
      <c r="O1266" s="4">
        <v>11281.52</v>
      </c>
      <c r="P1266" s="4">
        <v>11281.52</v>
      </c>
      <c r="Q1266" s="6">
        <v>0</v>
      </c>
    </row>
    <row r="1267" spans="1:17" x14ac:dyDescent="0.25">
      <c r="A1267" s="2" t="s">
        <v>288</v>
      </c>
      <c r="B1267" s="2" t="s">
        <v>87</v>
      </c>
      <c r="C1267" s="2" t="s">
        <v>88</v>
      </c>
      <c r="D1267" s="2" t="s">
        <v>758</v>
      </c>
      <c r="E1267" s="2" t="s">
        <v>774</v>
      </c>
      <c r="F1267" s="2" t="s">
        <v>773</v>
      </c>
      <c r="G1267" s="3">
        <v>46147</v>
      </c>
      <c r="H1267" s="2" t="s">
        <v>753</v>
      </c>
      <c r="I1267" s="2" t="s">
        <v>755</v>
      </c>
      <c r="J1267" s="2" t="s">
        <v>754</v>
      </c>
      <c r="K1267" s="2" t="s">
        <v>753</v>
      </c>
      <c r="L1267" s="6">
        <v>12</v>
      </c>
      <c r="M1267" s="2" t="s">
        <v>752</v>
      </c>
      <c r="N1267" s="7">
        <v>37.020000000000003</v>
      </c>
      <c r="O1267" s="4">
        <v>444.24</v>
      </c>
      <c r="P1267" s="4">
        <v>444.24</v>
      </c>
      <c r="Q1267" s="6">
        <v>0</v>
      </c>
    </row>
    <row r="1268" spans="1:17" x14ac:dyDescent="0.25">
      <c r="A1268" s="2" t="s">
        <v>288</v>
      </c>
      <c r="B1268" s="2" t="s">
        <v>87</v>
      </c>
      <c r="C1268" s="2" t="s">
        <v>88</v>
      </c>
      <c r="D1268" s="2" t="s">
        <v>758</v>
      </c>
      <c r="E1268" s="2" t="s">
        <v>863</v>
      </c>
      <c r="F1268" s="2" t="s">
        <v>862</v>
      </c>
      <c r="G1268" s="3">
        <v>46147</v>
      </c>
      <c r="H1268" s="2" t="s">
        <v>753</v>
      </c>
      <c r="I1268" s="2" t="s">
        <v>755</v>
      </c>
      <c r="J1268" s="2" t="s">
        <v>754</v>
      </c>
      <c r="K1268" s="2" t="s">
        <v>753</v>
      </c>
      <c r="L1268" s="6">
        <v>4</v>
      </c>
      <c r="M1268" s="2" t="s">
        <v>752</v>
      </c>
      <c r="N1268" s="7">
        <v>52.47</v>
      </c>
      <c r="O1268" s="4">
        <v>209.88</v>
      </c>
      <c r="P1268" s="4">
        <v>209.88</v>
      </c>
      <c r="Q1268" s="6">
        <v>0</v>
      </c>
    </row>
    <row r="1269" spans="1:17" x14ac:dyDescent="0.25">
      <c r="A1269" s="2" t="s">
        <v>288</v>
      </c>
      <c r="B1269" s="2" t="s">
        <v>87</v>
      </c>
      <c r="C1269" s="2" t="s">
        <v>88</v>
      </c>
      <c r="D1269" s="2" t="s">
        <v>758</v>
      </c>
      <c r="E1269" s="2" t="s">
        <v>813</v>
      </c>
      <c r="F1269" s="2" t="s">
        <v>812</v>
      </c>
      <c r="G1269" s="3">
        <v>46147</v>
      </c>
      <c r="H1269" s="2" t="s">
        <v>753</v>
      </c>
      <c r="I1269" s="2" t="s">
        <v>755</v>
      </c>
      <c r="J1269" s="2" t="s">
        <v>754</v>
      </c>
      <c r="K1269" s="2" t="s">
        <v>753</v>
      </c>
      <c r="L1269" s="6">
        <v>12</v>
      </c>
      <c r="M1269" s="2" t="s">
        <v>752</v>
      </c>
      <c r="N1269" s="7">
        <v>54</v>
      </c>
      <c r="O1269" s="4">
        <v>648</v>
      </c>
      <c r="P1269" s="4">
        <v>648</v>
      </c>
      <c r="Q1269" s="6">
        <v>0</v>
      </c>
    </row>
    <row r="1270" spans="1:17" x14ac:dyDescent="0.25">
      <c r="A1270" s="2" t="s">
        <v>288</v>
      </c>
      <c r="B1270" s="2" t="s">
        <v>87</v>
      </c>
      <c r="C1270" s="2" t="s">
        <v>88</v>
      </c>
      <c r="D1270" s="2" t="s">
        <v>758</v>
      </c>
      <c r="E1270" s="2" t="s">
        <v>776</v>
      </c>
      <c r="F1270" s="2" t="s">
        <v>775</v>
      </c>
      <c r="G1270" s="3">
        <v>46147</v>
      </c>
      <c r="H1270" s="2" t="s">
        <v>753</v>
      </c>
      <c r="I1270" s="2" t="s">
        <v>755</v>
      </c>
      <c r="J1270" s="2" t="s">
        <v>754</v>
      </c>
      <c r="K1270" s="2" t="s">
        <v>753</v>
      </c>
      <c r="L1270" s="6">
        <v>12</v>
      </c>
      <c r="M1270" s="2" t="s">
        <v>752</v>
      </c>
      <c r="N1270" s="7">
        <v>43.2</v>
      </c>
      <c r="O1270" s="4">
        <v>518.4</v>
      </c>
      <c r="P1270" s="4">
        <v>518.4</v>
      </c>
      <c r="Q1270" s="6">
        <v>0</v>
      </c>
    </row>
    <row r="1271" spans="1:17" x14ac:dyDescent="0.25">
      <c r="A1271" s="2" t="s">
        <v>288</v>
      </c>
      <c r="B1271" s="2" t="s">
        <v>87</v>
      </c>
      <c r="C1271" s="2" t="s">
        <v>88</v>
      </c>
      <c r="D1271" s="2" t="s">
        <v>758</v>
      </c>
      <c r="E1271" s="2" t="s">
        <v>807</v>
      </c>
      <c r="F1271" s="2" t="s">
        <v>806</v>
      </c>
      <c r="G1271" s="3">
        <v>46147</v>
      </c>
      <c r="H1271" s="2" t="s">
        <v>753</v>
      </c>
      <c r="I1271" s="2" t="s">
        <v>755</v>
      </c>
      <c r="J1271" s="2" t="s">
        <v>754</v>
      </c>
      <c r="K1271" s="2" t="s">
        <v>753</v>
      </c>
      <c r="L1271" s="6">
        <v>28</v>
      </c>
      <c r="M1271" s="2" t="s">
        <v>752</v>
      </c>
      <c r="N1271" s="7">
        <v>44.15</v>
      </c>
      <c r="O1271" s="4">
        <v>1236.2</v>
      </c>
      <c r="P1271" s="4">
        <v>1236.2</v>
      </c>
      <c r="Q1271" s="6">
        <v>0</v>
      </c>
    </row>
    <row r="1272" spans="1:17" x14ac:dyDescent="0.25">
      <c r="A1272" s="2" t="s">
        <v>288</v>
      </c>
      <c r="B1272" s="2" t="s">
        <v>87</v>
      </c>
      <c r="C1272" s="2" t="s">
        <v>88</v>
      </c>
      <c r="D1272" s="2" t="s">
        <v>758</v>
      </c>
      <c r="E1272" s="2" t="s">
        <v>956</v>
      </c>
      <c r="F1272" s="2" t="s">
        <v>955</v>
      </c>
      <c r="G1272" s="3">
        <v>46147</v>
      </c>
      <c r="H1272" s="2" t="s">
        <v>753</v>
      </c>
      <c r="I1272" s="2" t="s">
        <v>755</v>
      </c>
      <c r="J1272" s="2" t="s">
        <v>754</v>
      </c>
      <c r="K1272" s="2" t="s">
        <v>753</v>
      </c>
      <c r="L1272" s="6">
        <v>4</v>
      </c>
      <c r="M1272" s="2" t="s">
        <v>752</v>
      </c>
      <c r="N1272" s="7">
        <v>47.4</v>
      </c>
      <c r="O1272" s="4">
        <v>189.6</v>
      </c>
      <c r="P1272" s="4">
        <v>189.6</v>
      </c>
      <c r="Q1272" s="6">
        <v>0</v>
      </c>
    </row>
    <row r="1273" spans="1:17" x14ac:dyDescent="0.25">
      <c r="A1273" s="2" t="s">
        <v>288</v>
      </c>
      <c r="B1273" s="2" t="s">
        <v>87</v>
      </c>
      <c r="C1273" s="2" t="s">
        <v>88</v>
      </c>
      <c r="D1273" s="2" t="s">
        <v>758</v>
      </c>
      <c r="E1273" s="2" t="s">
        <v>782</v>
      </c>
      <c r="F1273" s="2" t="s">
        <v>781</v>
      </c>
      <c r="G1273" s="3">
        <v>46147</v>
      </c>
      <c r="H1273" s="2" t="s">
        <v>753</v>
      </c>
      <c r="I1273" s="2" t="s">
        <v>755</v>
      </c>
      <c r="J1273" s="2" t="s">
        <v>754</v>
      </c>
      <c r="K1273" s="2" t="s">
        <v>753</v>
      </c>
      <c r="L1273" s="6">
        <v>4</v>
      </c>
      <c r="M1273" s="2" t="s">
        <v>752</v>
      </c>
      <c r="N1273" s="7">
        <v>36.6</v>
      </c>
      <c r="O1273" s="4">
        <v>146.4</v>
      </c>
      <c r="P1273" s="4">
        <v>146.4</v>
      </c>
      <c r="Q1273" s="6">
        <v>0</v>
      </c>
    </row>
    <row r="1274" spans="1:17" x14ac:dyDescent="0.25">
      <c r="A1274" s="2" t="s">
        <v>288</v>
      </c>
      <c r="B1274" s="2" t="s">
        <v>87</v>
      </c>
      <c r="C1274" s="2" t="s">
        <v>88</v>
      </c>
      <c r="D1274" s="2" t="s">
        <v>758</v>
      </c>
      <c r="E1274" s="2" t="s">
        <v>904</v>
      </c>
      <c r="F1274" s="2" t="s">
        <v>903</v>
      </c>
      <c r="G1274" s="3">
        <v>46147</v>
      </c>
      <c r="H1274" s="2" t="s">
        <v>753</v>
      </c>
      <c r="I1274" s="2" t="s">
        <v>755</v>
      </c>
      <c r="J1274" s="2" t="s">
        <v>754</v>
      </c>
      <c r="K1274" s="2" t="s">
        <v>753</v>
      </c>
      <c r="L1274" s="6">
        <v>8</v>
      </c>
      <c r="M1274" s="2" t="s">
        <v>752</v>
      </c>
      <c r="N1274" s="7">
        <v>40.22</v>
      </c>
      <c r="O1274" s="4">
        <v>321.76</v>
      </c>
      <c r="P1274" s="4">
        <v>321.76</v>
      </c>
      <c r="Q1274" s="6">
        <v>0</v>
      </c>
    </row>
    <row r="1275" spans="1:17" x14ac:dyDescent="0.25">
      <c r="A1275" s="2" t="s">
        <v>288</v>
      </c>
      <c r="B1275" s="2" t="s">
        <v>87</v>
      </c>
      <c r="C1275" s="2" t="s">
        <v>88</v>
      </c>
      <c r="D1275" s="2" t="s">
        <v>758</v>
      </c>
      <c r="E1275" s="2" t="s">
        <v>855</v>
      </c>
      <c r="F1275" s="2" t="s">
        <v>854</v>
      </c>
      <c r="G1275" s="3">
        <v>46147</v>
      </c>
      <c r="H1275" s="2" t="s">
        <v>753</v>
      </c>
      <c r="I1275" s="2" t="s">
        <v>755</v>
      </c>
      <c r="J1275" s="2" t="s">
        <v>754</v>
      </c>
      <c r="K1275" s="2" t="s">
        <v>753</v>
      </c>
      <c r="L1275" s="6">
        <v>72</v>
      </c>
      <c r="M1275" s="2" t="s">
        <v>752</v>
      </c>
      <c r="N1275" s="7">
        <v>42.37</v>
      </c>
      <c r="O1275" s="4">
        <v>3050.64</v>
      </c>
      <c r="P1275" s="4">
        <v>3050.64</v>
      </c>
      <c r="Q1275" s="6">
        <v>0</v>
      </c>
    </row>
    <row r="1276" spans="1:17" x14ac:dyDescent="0.25">
      <c r="A1276" s="2" t="s">
        <v>288</v>
      </c>
      <c r="B1276" s="2" t="s">
        <v>87</v>
      </c>
      <c r="C1276" s="2" t="s">
        <v>88</v>
      </c>
      <c r="D1276" s="2" t="s">
        <v>758</v>
      </c>
      <c r="E1276" s="2" t="s">
        <v>902</v>
      </c>
      <c r="F1276" s="2" t="s">
        <v>901</v>
      </c>
      <c r="G1276" s="3">
        <v>46147</v>
      </c>
      <c r="H1276" s="2" t="s">
        <v>753</v>
      </c>
      <c r="I1276" s="2" t="s">
        <v>755</v>
      </c>
      <c r="J1276" s="2" t="s">
        <v>754</v>
      </c>
      <c r="K1276" s="2" t="s">
        <v>753</v>
      </c>
      <c r="L1276" s="6">
        <v>16</v>
      </c>
      <c r="M1276" s="2" t="s">
        <v>752</v>
      </c>
      <c r="N1276" s="7">
        <v>42.22</v>
      </c>
      <c r="O1276" s="4">
        <v>675.52</v>
      </c>
      <c r="P1276" s="4">
        <v>675.52</v>
      </c>
      <c r="Q1276" s="6">
        <v>0</v>
      </c>
    </row>
    <row r="1277" spans="1:17" x14ac:dyDescent="0.25">
      <c r="A1277" s="2" t="s">
        <v>288</v>
      </c>
      <c r="B1277" s="2" t="s">
        <v>87</v>
      </c>
      <c r="C1277" s="2" t="s">
        <v>88</v>
      </c>
      <c r="D1277" s="2" t="s">
        <v>758</v>
      </c>
      <c r="E1277" s="2" t="s">
        <v>954</v>
      </c>
      <c r="F1277" s="2" t="s">
        <v>953</v>
      </c>
      <c r="G1277" s="3">
        <v>46147</v>
      </c>
      <c r="H1277" s="2" t="s">
        <v>753</v>
      </c>
      <c r="I1277" s="2" t="s">
        <v>755</v>
      </c>
      <c r="J1277" s="2" t="s">
        <v>754</v>
      </c>
      <c r="K1277" s="2" t="s">
        <v>753</v>
      </c>
      <c r="L1277" s="6">
        <v>8</v>
      </c>
      <c r="M1277" s="2" t="s">
        <v>752</v>
      </c>
      <c r="N1277" s="7">
        <v>36.24</v>
      </c>
      <c r="O1277" s="4">
        <v>289.92</v>
      </c>
      <c r="P1277" s="4">
        <v>289.92</v>
      </c>
      <c r="Q1277" s="6">
        <v>0</v>
      </c>
    </row>
    <row r="1278" spans="1:17" x14ac:dyDescent="0.25">
      <c r="A1278" s="2" t="s">
        <v>288</v>
      </c>
      <c r="B1278" s="2" t="s">
        <v>87</v>
      </c>
      <c r="C1278" s="2" t="s">
        <v>88</v>
      </c>
      <c r="D1278" s="2" t="s">
        <v>758</v>
      </c>
      <c r="E1278" s="2" t="s">
        <v>900</v>
      </c>
      <c r="F1278" s="2" t="s">
        <v>899</v>
      </c>
      <c r="G1278" s="3">
        <v>46147</v>
      </c>
      <c r="H1278" s="2" t="s">
        <v>753</v>
      </c>
      <c r="I1278" s="2" t="s">
        <v>755</v>
      </c>
      <c r="J1278" s="2" t="s">
        <v>754</v>
      </c>
      <c r="K1278" s="2" t="s">
        <v>753</v>
      </c>
      <c r="L1278" s="6">
        <v>56</v>
      </c>
      <c r="M1278" s="2" t="s">
        <v>752</v>
      </c>
      <c r="N1278" s="7">
        <v>32.549999999999997</v>
      </c>
      <c r="O1278" s="4">
        <v>1822.8</v>
      </c>
      <c r="P1278" s="4">
        <v>1822.8</v>
      </c>
      <c r="Q1278" s="6">
        <v>0</v>
      </c>
    </row>
    <row r="1279" spans="1:17" x14ac:dyDescent="0.25">
      <c r="A1279" s="2" t="s">
        <v>288</v>
      </c>
      <c r="B1279" s="2" t="s">
        <v>87</v>
      </c>
      <c r="C1279" s="2" t="s">
        <v>88</v>
      </c>
      <c r="D1279" s="2" t="s">
        <v>758</v>
      </c>
      <c r="E1279" s="2" t="s">
        <v>780</v>
      </c>
      <c r="F1279" s="2" t="s">
        <v>779</v>
      </c>
      <c r="G1279" s="3">
        <v>46147</v>
      </c>
      <c r="H1279" s="2" t="s">
        <v>753</v>
      </c>
      <c r="I1279" s="2" t="s">
        <v>755</v>
      </c>
      <c r="J1279" s="2" t="s">
        <v>754</v>
      </c>
      <c r="K1279" s="2" t="s">
        <v>753</v>
      </c>
      <c r="L1279" s="6">
        <v>8</v>
      </c>
      <c r="M1279" s="2" t="s">
        <v>752</v>
      </c>
      <c r="N1279" s="7">
        <v>35.57</v>
      </c>
      <c r="O1279" s="4">
        <v>284.56</v>
      </c>
      <c r="P1279" s="4">
        <v>284.56</v>
      </c>
      <c r="Q1279" s="6">
        <v>0</v>
      </c>
    </row>
    <row r="1280" spans="1:17" x14ac:dyDescent="0.25">
      <c r="A1280" s="2" t="s">
        <v>288</v>
      </c>
      <c r="B1280" s="2" t="s">
        <v>87</v>
      </c>
      <c r="C1280" s="2" t="s">
        <v>88</v>
      </c>
      <c r="D1280" s="2" t="s">
        <v>758</v>
      </c>
      <c r="E1280" s="2" t="s">
        <v>898</v>
      </c>
      <c r="F1280" s="2" t="s">
        <v>897</v>
      </c>
      <c r="G1280" s="3">
        <v>46147</v>
      </c>
      <c r="H1280" s="2" t="s">
        <v>753</v>
      </c>
      <c r="I1280" s="2" t="s">
        <v>755</v>
      </c>
      <c r="J1280" s="2" t="s">
        <v>754</v>
      </c>
      <c r="K1280" s="2" t="s">
        <v>753</v>
      </c>
      <c r="L1280" s="6">
        <v>28</v>
      </c>
      <c r="M1280" s="2" t="s">
        <v>752</v>
      </c>
      <c r="N1280" s="7">
        <v>41.25</v>
      </c>
      <c r="O1280" s="4">
        <v>1155</v>
      </c>
      <c r="P1280" s="4">
        <v>1155</v>
      </c>
      <c r="Q1280" s="6">
        <v>0</v>
      </c>
    </row>
    <row r="1281" spans="1:17" x14ac:dyDescent="0.25">
      <c r="A1281" s="2" t="s">
        <v>288</v>
      </c>
      <c r="B1281" s="2" t="s">
        <v>87</v>
      </c>
      <c r="C1281" s="2" t="s">
        <v>88</v>
      </c>
      <c r="D1281" s="2" t="s">
        <v>758</v>
      </c>
      <c r="E1281" s="2" t="s">
        <v>819</v>
      </c>
      <c r="F1281" s="2" t="s">
        <v>818</v>
      </c>
      <c r="G1281" s="3">
        <v>46147</v>
      </c>
      <c r="H1281" s="2" t="s">
        <v>753</v>
      </c>
      <c r="I1281" s="2" t="s">
        <v>755</v>
      </c>
      <c r="J1281" s="2" t="s">
        <v>754</v>
      </c>
      <c r="K1281" s="2" t="s">
        <v>753</v>
      </c>
      <c r="L1281" s="6">
        <v>28</v>
      </c>
      <c r="M1281" s="2" t="s">
        <v>752</v>
      </c>
      <c r="N1281" s="7">
        <v>40.22</v>
      </c>
      <c r="O1281" s="4">
        <v>1126.1600000000001</v>
      </c>
      <c r="P1281" s="4">
        <v>1126.1600000000001</v>
      </c>
      <c r="Q1281" s="6">
        <v>0</v>
      </c>
    </row>
    <row r="1282" spans="1:17" x14ac:dyDescent="0.25">
      <c r="A1282" s="2" t="s">
        <v>302</v>
      </c>
      <c r="B1282" s="2" t="s">
        <v>29</v>
      </c>
      <c r="C1282" s="2" t="s">
        <v>30</v>
      </c>
      <c r="D1282" s="2" t="s">
        <v>758</v>
      </c>
      <c r="E1282" s="2" t="s">
        <v>780</v>
      </c>
      <c r="F1282" s="2" t="s">
        <v>779</v>
      </c>
      <c r="G1282" s="3">
        <v>46142</v>
      </c>
      <c r="H1282" s="2" t="s">
        <v>753</v>
      </c>
      <c r="I1282" s="2" t="s">
        <v>755</v>
      </c>
      <c r="J1282" s="2" t="s">
        <v>754</v>
      </c>
      <c r="K1282" s="2" t="s">
        <v>753</v>
      </c>
      <c r="L1282" s="6">
        <v>12</v>
      </c>
      <c r="M1282" s="2" t="s">
        <v>752</v>
      </c>
      <c r="N1282" s="7">
        <v>36.5</v>
      </c>
      <c r="O1282" s="4">
        <v>438</v>
      </c>
      <c r="P1282" s="4">
        <v>438</v>
      </c>
      <c r="Q1282" s="6">
        <v>0</v>
      </c>
    </row>
    <row r="1283" spans="1:17" x14ac:dyDescent="0.25">
      <c r="A1283" s="2" t="s">
        <v>302</v>
      </c>
      <c r="B1283" s="2" t="s">
        <v>29</v>
      </c>
      <c r="C1283" s="2" t="s">
        <v>30</v>
      </c>
      <c r="D1283" s="2" t="s">
        <v>758</v>
      </c>
      <c r="E1283" s="2" t="s">
        <v>815</v>
      </c>
      <c r="F1283" s="2" t="s">
        <v>814</v>
      </c>
      <c r="G1283" s="3">
        <v>46142</v>
      </c>
      <c r="H1283" s="2" t="s">
        <v>753</v>
      </c>
      <c r="I1283" s="2" t="s">
        <v>755</v>
      </c>
      <c r="J1283" s="2" t="s">
        <v>754</v>
      </c>
      <c r="K1283" s="2" t="s">
        <v>753</v>
      </c>
      <c r="L1283" s="6">
        <v>252</v>
      </c>
      <c r="M1283" s="2" t="s">
        <v>752</v>
      </c>
      <c r="N1283" s="7">
        <v>34</v>
      </c>
      <c r="O1283" s="4">
        <v>8568</v>
      </c>
      <c r="P1283" s="4">
        <v>8568</v>
      </c>
      <c r="Q1283" s="6">
        <v>0</v>
      </c>
    </row>
    <row r="1284" spans="1:17" x14ac:dyDescent="0.25">
      <c r="A1284" s="2" t="s">
        <v>302</v>
      </c>
      <c r="B1284" s="2" t="s">
        <v>29</v>
      </c>
      <c r="C1284" s="2" t="s">
        <v>30</v>
      </c>
      <c r="D1284" s="2" t="s">
        <v>758</v>
      </c>
      <c r="E1284" s="2" t="s">
        <v>813</v>
      </c>
      <c r="F1284" s="2" t="s">
        <v>812</v>
      </c>
      <c r="G1284" s="3">
        <v>46142</v>
      </c>
      <c r="H1284" s="2" t="s">
        <v>753</v>
      </c>
      <c r="I1284" s="2" t="s">
        <v>755</v>
      </c>
      <c r="J1284" s="2" t="s">
        <v>754</v>
      </c>
      <c r="K1284" s="2" t="s">
        <v>753</v>
      </c>
      <c r="L1284" s="6">
        <v>12</v>
      </c>
      <c r="M1284" s="2" t="s">
        <v>752</v>
      </c>
      <c r="N1284" s="7">
        <v>43.26</v>
      </c>
      <c r="O1284" s="4">
        <v>519.12</v>
      </c>
      <c r="P1284" s="4">
        <v>519.12</v>
      </c>
      <c r="Q1284" s="6">
        <v>0</v>
      </c>
    </row>
    <row r="1285" spans="1:17" x14ac:dyDescent="0.25">
      <c r="A1285" s="2" t="s">
        <v>302</v>
      </c>
      <c r="B1285" s="2" t="s">
        <v>29</v>
      </c>
      <c r="C1285" s="2" t="s">
        <v>30</v>
      </c>
      <c r="D1285" s="2" t="s">
        <v>758</v>
      </c>
      <c r="E1285" s="2" t="s">
        <v>952</v>
      </c>
      <c r="F1285" s="2" t="s">
        <v>951</v>
      </c>
      <c r="G1285" s="3">
        <v>46142</v>
      </c>
      <c r="H1285" s="2" t="s">
        <v>753</v>
      </c>
      <c r="I1285" s="2" t="s">
        <v>755</v>
      </c>
      <c r="J1285" s="2" t="s">
        <v>754</v>
      </c>
      <c r="K1285" s="2" t="s">
        <v>753</v>
      </c>
      <c r="L1285" s="6">
        <v>5</v>
      </c>
      <c r="M1285" s="2" t="s">
        <v>752</v>
      </c>
      <c r="N1285" s="7">
        <v>44.77</v>
      </c>
      <c r="O1285" s="4">
        <v>223.85</v>
      </c>
      <c r="P1285" s="4">
        <v>223.85</v>
      </c>
      <c r="Q1285" s="6">
        <v>0</v>
      </c>
    </row>
    <row r="1286" spans="1:17" x14ac:dyDescent="0.25">
      <c r="A1286" s="2" t="s">
        <v>302</v>
      </c>
      <c r="B1286" s="2" t="s">
        <v>29</v>
      </c>
      <c r="C1286" s="2" t="s">
        <v>30</v>
      </c>
      <c r="D1286" s="2" t="s">
        <v>758</v>
      </c>
      <c r="E1286" s="2" t="s">
        <v>805</v>
      </c>
      <c r="F1286" s="2" t="s">
        <v>804</v>
      </c>
      <c r="G1286" s="3">
        <v>46142</v>
      </c>
      <c r="H1286" s="2" t="s">
        <v>753</v>
      </c>
      <c r="I1286" s="2" t="s">
        <v>755</v>
      </c>
      <c r="J1286" s="2" t="s">
        <v>754</v>
      </c>
      <c r="K1286" s="2" t="s">
        <v>753</v>
      </c>
      <c r="L1286" s="6">
        <v>20</v>
      </c>
      <c r="M1286" s="2" t="s">
        <v>752</v>
      </c>
      <c r="N1286" s="7">
        <v>41</v>
      </c>
      <c r="O1286" s="4">
        <v>820</v>
      </c>
      <c r="P1286" s="4">
        <v>820</v>
      </c>
      <c r="Q1286" s="6">
        <v>0</v>
      </c>
    </row>
    <row r="1287" spans="1:17" x14ac:dyDescent="0.25">
      <c r="A1287" s="2" t="s">
        <v>308</v>
      </c>
      <c r="B1287" s="2" t="s">
        <v>227</v>
      </c>
      <c r="C1287" s="2" t="s">
        <v>228</v>
      </c>
      <c r="D1287" s="2" t="s">
        <v>758</v>
      </c>
      <c r="E1287" s="2" t="s">
        <v>813</v>
      </c>
      <c r="F1287" s="2" t="s">
        <v>812</v>
      </c>
      <c r="G1287" s="3">
        <v>46141</v>
      </c>
      <c r="H1287" s="2" t="s">
        <v>753</v>
      </c>
      <c r="I1287" s="2" t="s">
        <v>755</v>
      </c>
      <c r="J1287" s="2" t="s">
        <v>754</v>
      </c>
      <c r="K1287" s="2" t="s">
        <v>753</v>
      </c>
      <c r="L1287" s="6">
        <v>12</v>
      </c>
      <c r="M1287" s="2" t="s">
        <v>752</v>
      </c>
      <c r="N1287" s="7">
        <v>45</v>
      </c>
      <c r="O1287" s="4">
        <v>540</v>
      </c>
      <c r="P1287" s="4">
        <v>540</v>
      </c>
      <c r="Q1287" s="6">
        <v>0</v>
      </c>
    </row>
    <row r="1288" spans="1:17" x14ac:dyDescent="0.25">
      <c r="A1288" s="2" t="s">
        <v>308</v>
      </c>
      <c r="B1288" s="2" t="s">
        <v>227</v>
      </c>
      <c r="C1288" s="2" t="s">
        <v>228</v>
      </c>
      <c r="D1288" s="2" t="s">
        <v>758</v>
      </c>
      <c r="E1288" s="2" t="s">
        <v>763</v>
      </c>
      <c r="F1288" s="2" t="s">
        <v>762</v>
      </c>
      <c r="G1288" s="3">
        <v>46141</v>
      </c>
      <c r="H1288" s="2" t="s">
        <v>753</v>
      </c>
      <c r="I1288" s="2" t="s">
        <v>755</v>
      </c>
      <c r="J1288" s="2" t="s">
        <v>754</v>
      </c>
      <c r="K1288" s="2" t="s">
        <v>753</v>
      </c>
      <c r="L1288" s="6">
        <v>96</v>
      </c>
      <c r="M1288" s="2" t="s">
        <v>752</v>
      </c>
      <c r="N1288" s="7">
        <v>42.6</v>
      </c>
      <c r="O1288" s="4">
        <v>4089.6</v>
      </c>
      <c r="P1288" s="4">
        <v>4089.6</v>
      </c>
      <c r="Q1288" s="6">
        <v>0</v>
      </c>
    </row>
    <row r="1289" spans="1:17" x14ac:dyDescent="0.25">
      <c r="A1289" s="2" t="s">
        <v>308</v>
      </c>
      <c r="B1289" s="2" t="s">
        <v>227</v>
      </c>
      <c r="C1289" s="2" t="s">
        <v>228</v>
      </c>
      <c r="D1289" s="2" t="s">
        <v>758</v>
      </c>
      <c r="E1289" s="2" t="s">
        <v>847</v>
      </c>
      <c r="F1289" s="2" t="s">
        <v>846</v>
      </c>
      <c r="G1289" s="3">
        <v>46141</v>
      </c>
      <c r="H1289" s="2" t="s">
        <v>753</v>
      </c>
      <c r="I1289" s="2" t="s">
        <v>755</v>
      </c>
      <c r="J1289" s="2" t="s">
        <v>754</v>
      </c>
      <c r="K1289" s="2" t="s">
        <v>753</v>
      </c>
      <c r="L1289" s="6">
        <v>180</v>
      </c>
      <c r="M1289" s="2" t="s">
        <v>752</v>
      </c>
      <c r="N1289" s="7">
        <v>40</v>
      </c>
      <c r="O1289" s="4">
        <v>7200</v>
      </c>
      <c r="P1289" s="4">
        <v>7200</v>
      </c>
      <c r="Q1289" s="6">
        <v>0</v>
      </c>
    </row>
    <row r="1290" spans="1:17" x14ac:dyDescent="0.25">
      <c r="A1290" s="2" t="s">
        <v>264</v>
      </c>
      <c r="B1290" s="2" t="s">
        <v>37</v>
      </c>
      <c r="C1290" s="2" t="s">
        <v>38</v>
      </c>
      <c r="D1290" s="2" t="s">
        <v>758</v>
      </c>
      <c r="E1290" s="2" t="s">
        <v>865</v>
      </c>
      <c r="F1290" s="2" t="s">
        <v>864</v>
      </c>
      <c r="G1290" s="3">
        <v>46153</v>
      </c>
      <c r="H1290" s="2" t="s">
        <v>753</v>
      </c>
      <c r="I1290" s="2" t="s">
        <v>755</v>
      </c>
      <c r="J1290" s="2" t="s">
        <v>754</v>
      </c>
      <c r="K1290" s="2" t="s">
        <v>753</v>
      </c>
      <c r="L1290" s="6">
        <v>84</v>
      </c>
      <c r="M1290" s="2" t="s">
        <v>752</v>
      </c>
      <c r="N1290" s="7">
        <v>37</v>
      </c>
      <c r="O1290" s="4">
        <v>3108</v>
      </c>
      <c r="P1290" s="4">
        <v>3108</v>
      </c>
      <c r="Q1290" s="6">
        <v>0</v>
      </c>
    </row>
    <row r="1291" spans="1:17" x14ac:dyDescent="0.25">
      <c r="A1291" s="2" t="s">
        <v>264</v>
      </c>
      <c r="B1291" s="2" t="s">
        <v>37</v>
      </c>
      <c r="C1291" s="2" t="s">
        <v>38</v>
      </c>
      <c r="D1291" s="2" t="s">
        <v>758</v>
      </c>
      <c r="E1291" s="2" t="s">
        <v>827</v>
      </c>
      <c r="F1291" s="2" t="s">
        <v>826</v>
      </c>
      <c r="G1291" s="3">
        <v>46153</v>
      </c>
      <c r="H1291" s="2" t="s">
        <v>753</v>
      </c>
      <c r="I1291" s="2" t="s">
        <v>755</v>
      </c>
      <c r="J1291" s="2" t="s">
        <v>754</v>
      </c>
      <c r="K1291" s="2" t="s">
        <v>753</v>
      </c>
      <c r="L1291" s="6">
        <v>112</v>
      </c>
      <c r="M1291" s="2" t="s">
        <v>752</v>
      </c>
      <c r="N1291" s="7">
        <v>42</v>
      </c>
      <c r="O1291" s="4">
        <v>4704</v>
      </c>
      <c r="P1291" s="4">
        <v>4704</v>
      </c>
      <c r="Q1291" s="6">
        <v>0</v>
      </c>
    </row>
    <row r="1292" spans="1:17" x14ac:dyDescent="0.25">
      <c r="A1292" s="2" t="s">
        <v>264</v>
      </c>
      <c r="B1292" s="2" t="s">
        <v>37</v>
      </c>
      <c r="C1292" s="2" t="s">
        <v>38</v>
      </c>
      <c r="D1292" s="2" t="s">
        <v>758</v>
      </c>
      <c r="E1292" s="2" t="s">
        <v>763</v>
      </c>
      <c r="F1292" s="2" t="s">
        <v>762</v>
      </c>
      <c r="G1292" s="3">
        <v>46153</v>
      </c>
      <c r="H1292" s="2" t="s">
        <v>753</v>
      </c>
      <c r="I1292" s="2" t="s">
        <v>755</v>
      </c>
      <c r="J1292" s="2" t="s">
        <v>754</v>
      </c>
      <c r="K1292" s="2" t="s">
        <v>753</v>
      </c>
      <c r="L1292" s="6">
        <v>140</v>
      </c>
      <c r="M1292" s="2" t="s">
        <v>752</v>
      </c>
      <c r="N1292" s="7">
        <v>42</v>
      </c>
      <c r="O1292" s="4">
        <v>5880</v>
      </c>
      <c r="P1292" s="4">
        <v>5880</v>
      </c>
      <c r="Q1292" s="6">
        <v>0</v>
      </c>
    </row>
    <row r="1293" spans="1:17" x14ac:dyDescent="0.25">
      <c r="A1293" s="2" t="s">
        <v>264</v>
      </c>
      <c r="B1293" s="2" t="s">
        <v>37</v>
      </c>
      <c r="C1293" s="2" t="s">
        <v>38</v>
      </c>
      <c r="D1293" s="2" t="s">
        <v>758</v>
      </c>
      <c r="E1293" s="2" t="s">
        <v>847</v>
      </c>
      <c r="F1293" s="2" t="s">
        <v>846</v>
      </c>
      <c r="G1293" s="3">
        <v>46153</v>
      </c>
      <c r="H1293" s="2" t="s">
        <v>753</v>
      </c>
      <c r="I1293" s="2" t="s">
        <v>755</v>
      </c>
      <c r="J1293" s="2" t="s">
        <v>754</v>
      </c>
      <c r="K1293" s="2" t="s">
        <v>753</v>
      </c>
      <c r="L1293" s="6">
        <v>224</v>
      </c>
      <c r="M1293" s="2" t="s">
        <v>752</v>
      </c>
      <c r="N1293" s="7">
        <v>38.08</v>
      </c>
      <c r="O1293" s="4">
        <v>8529.92</v>
      </c>
      <c r="P1293" s="4">
        <v>8529.92</v>
      </c>
      <c r="Q1293" s="6">
        <v>0</v>
      </c>
    </row>
    <row r="1294" spans="1:17" x14ac:dyDescent="0.25">
      <c r="A1294" s="2" t="s">
        <v>282</v>
      </c>
      <c r="B1294" s="2" t="s">
        <v>145</v>
      </c>
      <c r="C1294" s="2" t="s">
        <v>146</v>
      </c>
      <c r="D1294" s="2" t="s">
        <v>758</v>
      </c>
      <c r="E1294" s="2" t="s">
        <v>782</v>
      </c>
      <c r="F1294" s="2" t="s">
        <v>781</v>
      </c>
      <c r="G1294" s="3">
        <v>46148</v>
      </c>
      <c r="H1294" s="2" t="s">
        <v>753</v>
      </c>
      <c r="I1294" s="2" t="s">
        <v>755</v>
      </c>
      <c r="J1294" s="2" t="s">
        <v>754</v>
      </c>
      <c r="K1294" s="2" t="s">
        <v>753</v>
      </c>
      <c r="L1294" s="6">
        <v>12</v>
      </c>
      <c r="M1294" s="2" t="s">
        <v>752</v>
      </c>
      <c r="N1294" s="7">
        <v>36.6</v>
      </c>
      <c r="O1294" s="4">
        <v>439.2</v>
      </c>
      <c r="P1294" s="4">
        <v>439.2</v>
      </c>
      <c r="Q1294" s="6">
        <v>0</v>
      </c>
    </row>
    <row r="1295" spans="1:17" x14ac:dyDescent="0.25">
      <c r="A1295" s="2" t="s">
        <v>282</v>
      </c>
      <c r="B1295" s="2" t="s">
        <v>145</v>
      </c>
      <c r="C1295" s="2" t="s">
        <v>146</v>
      </c>
      <c r="D1295" s="2" t="s">
        <v>758</v>
      </c>
      <c r="E1295" s="2" t="s">
        <v>813</v>
      </c>
      <c r="F1295" s="2" t="s">
        <v>812</v>
      </c>
      <c r="G1295" s="3">
        <v>46148</v>
      </c>
      <c r="H1295" s="2" t="s">
        <v>753</v>
      </c>
      <c r="I1295" s="2" t="s">
        <v>755</v>
      </c>
      <c r="J1295" s="2" t="s">
        <v>754</v>
      </c>
      <c r="K1295" s="2" t="s">
        <v>753</v>
      </c>
      <c r="L1295" s="6">
        <v>56</v>
      </c>
      <c r="M1295" s="2" t="s">
        <v>752</v>
      </c>
      <c r="N1295" s="7">
        <v>54</v>
      </c>
      <c r="O1295" s="4">
        <v>3024</v>
      </c>
      <c r="P1295" s="4">
        <v>3024</v>
      </c>
      <c r="Q1295" s="6">
        <v>0</v>
      </c>
    </row>
    <row r="1296" spans="1:17" x14ac:dyDescent="0.25">
      <c r="A1296" s="2" t="s">
        <v>282</v>
      </c>
      <c r="B1296" s="2" t="s">
        <v>145</v>
      </c>
      <c r="C1296" s="2" t="s">
        <v>146</v>
      </c>
      <c r="D1296" s="2" t="s">
        <v>758</v>
      </c>
      <c r="E1296" s="2" t="s">
        <v>763</v>
      </c>
      <c r="F1296" s="2" t="s">
        <v>762</v>
      </c>
      <c r="G1296" s="3">
        <v>46148</v>
      </c>
      <c r="H1296" s="2" t="s">
        <v>753</v>
      </c>
      <c r="I1296" s="2" t="s">
        <v>755</v>
      </c>
      <c r="J1296" s="2" t="s">
        <v>754</v>
      </c>
      <c r="K1296" s="2" t="s">
        <v>753</v>
      </c>
      <c r="L1296" s="6">
        <v>112</v>
      </c>
      <c r="M1296" s="2" t="s">
        <v>752</v>
      </c>
      <c r="N1296" s="7">
        <v>50.6</v>
      </c>
      <c r="O1296" s="4">
        <v>5667.2</v>
      </c>
      <c r="P1296" s="4">
        <v>5667.2</v>
      </c>
      <c r="Q1296" s="6">
        <v>0</v>
      </c>
    </row>
    <row r="1297" spans="1:17" x14ac:dyDescent="0.25">
      <c r="A1297" s="2" t="s">
        <v>282</v>
      </c>
      <c r="B1297" s="2" t="s">
        <v>145</v>
      </c>
      <c r="C1297" s="2" t="s">
        <v>146</v>
      </c>
      <c r="D1297" s="2" t="s">
        <v>758</v>
      </c>
      <c r="E1297" s="2" t="s">
        <v>847</v>
      </c>
      <c r="F1297" s="2" t="s">
        <v>846</v>
      </c>
      <c r="G1297" s="3">
        <v>46148</v>
      </c>
      <c r="H1297" s="2" t="s">
        <v>753</v>
      </c>
      <c r="I1297" s="2" t="s">
        <v>755</v>
      </c>
      <c r="J1297" s="2" t="s">
        <v>754</v>
      </c>
      <c r="K1297" s="2" t="s">
        <v>753</v>
      </c>
      <c r="L1297" s="6">
        <v>196</v>
      </c>
      <c r="M1297" s="2" t="s">
        <v>752</v>
      </c>
      <c r="N1297" s="7">
        <v>40.799999999999997</v>
      </c>
      <c r="O1297" s="4">
        <v>7996.8</v>
      </c>
      <c r="P1297" s="4">
        <v>7996.8</v>
      </c>
      <c r="Q1297" s="6">
        <v>0</v>
      </c>
    </row>
    <row r="1298" spans="1:17" x14ac:dyDescent="0.25">
      <c r="A1298" s="2" t="s">
        <v>282</v>
      </c>
      <c r="B1298" s="2" t="s">
        <v>145</v>
      </c>
      <c r="C1298" s="2" t="s">
        <v>146</v>
      </c>
      <c r="D1298" s="2" t="s">
        <v>758</v>
      </c>
      <c r="E1298" s="2" t="s">
        <v>794</v>
      </c>
      <c r="F1298" s="2" t="s">
        <v>793</v>
      </c>
      <c r="G1298" s="3">
        <v>46148</v>
      </c>
      <c r="H1298" s="2" t="s">
        <v>753</v>
      </c>
      <c r="I1298" s="2" t="s">
        <v>755</v>
      </c>
      <c r="J1298" s="2" t="s">
        <v>754</v>
      </c>
      <c r="K1298" s="2" t="s">
        <v>753</v>
      </c>
      <c r="L1298" s="6">
        <v>84</v>
      </c>
      <c r="M1298" s="2" t="s">
        <v>752</v>
      </c>
      <c r="N1298" s="7">
        <v>39.9</v>
      </c>
      <c r="O1298" s="4">
        <v>3351.6</v>
      </c>
      <c r="P1298" s="4">
        <v>3351.6</v>
      </c>
      <c r="Q1298" s="6">
        <v>0</v>
      </c>
    </row>
    <row r="1299" spans="1:17" x14ac:dyDescent="0.25">
      <c r="A1299" s="2" t="s">
        <v>280</v>
      </c>
      <c r="B1299" s="2" t="s">
        <v>81</v>
      </c>
      <c r="C1299" s="2" t="s">
        <v>82</v>
      </c>
      <c r="D1299" s="2" t="s">
        <v>758</v>
      </c>
      <c r="E1299" s="2" t="s">
        <v>763</v>
      </c>
      <c r="F1299" s="2" t="s">
        <v>762</v>
      </c>
      <c r="G1299" s="3">
        <v>46148</v>
      </c>
      <c r="H1299" s="2" t="s">
        <v>753</v>
      </c>
      <c r="I1299" s="2" t="s">
        <v>755</v>
      </c>
      <c r="J1299" s="2" t="s">
        <v>754</v>
      </c>
      <c r="K1299" s="2" t="s">
        <v>753</v>
      </c>
      <c r="L1299" s="6">
        <v>364</v>
      </c>
      <c r="M1299" s="2" t="s">
        <v>752</v>
      </c>
      <c r="N1299" s="7">
        <v>46</v>
      </c>
      <c r="O1299" s="4">
        <v>16744</v>
      </c>
      <c r="P1299" s="4">
        <v>16744</v>
      </c>
      <c r="Q1299" s="6">
        <v>0</v>
      </c>
    </row>
    <row r="1300" spans="1:17" x14ac:dyDescent="0.25">
      <c r="A1300" s="2" t="s">
        <v>280</v>
      </c>
      <c r="B1300" s="2" t="s">
        <v>81</v>
      </c>
      <c r="C1300" s="2" t="s">
        <v>82</v>
      </c>
      <c r="D1300" s="2" t="s">
        <v>758</v>
      </c>
      <c r="E1300" s="2" t="s">
        <v>766</v>
      </c>
      <c r="F1300" s="2" t="s">
        <v>765</v>
      </c>
      <c r="G1300" s="3">
        <v>46148</v>
      </c>
      <c r="H1300" s="2" t="s">
        <v>753</v>
      </c>
      <c r="I1300" s="2" t="s">
        <v>755</v>
      </c>
      <c r="J1300" s="2" t="s">
        <v>754</v>
      </c>
      <c r="K1300" s="2" t="s">
        <v>753</v>
      </c>
      <c r="L1300" s="6">
        <v>49</v>
      </c>
      <c r="M1300" s="2" t="s">
        <v>752</v>
      </c>
      <c r="N1300" s="7">
        <v>40</v>
      </c>
      <c r="O1300" s="4">
        <v>1960</v>
      </c>
      <c r="P1300" s="4">
        <v>1960</v>
      </c>
      <c r="Q1300" s="6">
        <v>0</v>
      </c>
    </row>
    <row r="1301" spans="1:17" x14ac:dyDescent="0.25">
      <c r="A1301" s="2" t="s">
        <v>280</v>
      </c>
      <c r="B1301" s="2" t="s">
        <v>81</v>
      </c>
      <c r="C1301" s="2" t="s">
        <v>82</v>
      </c>
      <c r="D1301" s="2" t="s">
        <v>758</v>
      </c>
      <c r="E1301" s="2" t="s">
        <v>780</v>
      </c>
      <c r="F1301" s="2" t="s">
        <v>779</v>
      </c>
      <c r="G1301" s="3">
        <v>46148</v>
      </c>
      <c r="H1301" s="2" t="s">
        <v>753</v>
      </c>
      <c r="I1301" s="2" t="s">
        <v>755</v>
      </c>
      <c r="J1301" s="2" t="s">
        <v>754</v>
      </c>
      <c r="K1301" s="2" t="s">
        <v>753</v>
      </c>
      <c r="L1301" s="6">
        <v>28</v>
      </c>
      <c r="M1301" s="2" t="s">
        <v>752</v>
      </c>
      <c r="N1301" s="7">
        <v>38</v>
      </c>
      <c r="O1301" s="4">
        <v>1064</v>
      </c>
      <c r="P1301" s="4">
        <v>1064</v>
      </c>
      <c r="Q1301" s="6">
        <v>0</v>
      </c>
    </row>
    <row r="1302" spans="1:17" x14ac:dyDescent="0.25">
      <c r="A1302" s="2" t="s">
        <v>300</v>
      </c>
      <c r="B1302" s="2" t="s">
        <v>73</v>
      </c>
      <c r="C1302" s="2" t="s">
        <v>74</v>
      </c>
      <c r="D1302" s="2" t="s">
        <v>758</v>
      </c>
      <c r="E1302" s="2" t="s">
        <v>881</v>
      </c>
      <c r="F1302" s="2" t="s">
        <v>880</v>
      </c>
      <c r="G1302" s="3">
        <v>46142</v>
      </c>
      <c r="H1302" s="2" t="s">
        <v>753</v>
      </c>
      <c r="I1302" s="2" t="s">
        <v>755</v>
      </c>
      <c r="J1302" s="2" t="s">
        <v>754</v>
      </c>
      <c r="K1302" s="2" t="s">
        <v>753</v>
      </c>
      <c r="L1302" s="6">
        <v>28</v>
      </c>
      <c r="M1302" s="2" t="s">
        <v>752</v>
      </c>
      <c r="N1302" s="7">
        <v>50.05</v>
      </c>
      <c r="O1302" s="4">
        <v>1401.4</v>
      </c>
      <c r="P1302" s="4">
        <v>1401.4</v>
      </c>
      <c r="Q1302" s="6">
        <v>0</v>
      </c>
    </row>
    <row r="1303" spans="1:17" x14ac:dyDescent="0.25">
      <c r="A1303" s="2" t="s">
        <v>300</v>
      </c>
      <c r="B1303" s="2" t="s">
        <v>73</v>
      </c>
      <c r="C1303" s="2" t="s">
        <v>74</v>
      </c>
      <c r="D1303" s="2" t="s">
        <v>758</v>
      </c>
      <c r="E1303" s="2" t="s">
        <v>794</v>
      </c>
      <c r="F1303" s="2" t="s">
        <v>793</v>
      </c>
      <c r="G1303" s="3">
        <v>46142</v>
      </c>
      <c r="H1303" s="2" t="s">
        <v>753</v>
      </c>
      <c r="I1303" s="2" t="s">
        <v>755</v>
      </c>
      <c r="J1303" s="2" t="s">
        <v>754</v>
      </c>
      <c r="K1303" s="2" t="s">
        <v>753</v>
      </c>
      <c r="L1303" s="6">
        <v>364</v>
      </c>
      <c r="M1303" s="2" t="s">
        <v>752</v>
      </c>
      <c r="N1303" s="7">
        <v>36</v>
      </c>
      <c r="O1303" s="4">
        <v>13104</v>
      </c>
      <c r="P1303" s="4">
        <v>13104</v>
      </c>
      <c r="Q1303" s="6">
        <v>0</v>
      </c>
    </row>
    <row r="1304" spans="1:17" x14ac:dyDescent="0.25">
      <c r="A1304" s="2" t="s">
        <v>300</v>
      </c>
      <c r="B1304" s="2" t="s">
        <v>73</v>
      </c>
      <c r="C1304" s="2" t="s">
        <v>74</v>
      </c>
      <c r="D1304" s="2" t="s">
        <v>758</v>
      </c>
      <c r="E1304" s="2" t="s">
        <v>879</v>
      </c>
      <c r="F1304" s="2" t="s">
        <v>878</v>
      </c>
      <c r="G1304" s="3">
        <v>46142</v>
      </c>
      <c r="H1304" s="2" t="s">
        <v>753</v>
      </c>
      <c r="I1304" s="2" t="s">
        <v>755</v>
      </c>
      <c r="J1304" s="2" t="s">
        <v>754</v>
      </c>
      <c r="K1304" s="2" t="s">
        <v>753</v>
      </c>
      <c r="L1304" s="6">
        <v>56</v>
      </c>
      <c r="M1304" s="2" t="s">
        <v>752</v>
      </c>
      <c r="N1304" s="7">
        <v>30</v>
      </c>
      <c r="O1304" s="4">
        <v>1680</v>
      </c>
      <c r="P1304" s="4">
        <v>1680</v>
      </c>
      <c r="Q1304" s="6">
        <v>0</v>
      </c>
    </row>
    <row r="1305" spans="1:17" x14ac:dyDescent="0.25">
      <c r="A1305" s="2" t="s">
        <v>300</v>
      </c>
      <c r="B1305" s="2" t="s">
        <v>73</v>
      </c>
      <c r="C1305" s="2" t="s">
        <v>74</v>
      </c>
      <c r="D1305" s="2" t="s">
        <v>758</v>
      </c>
      <c r="E1305" s="2" t="s">
        <v>815</v>
      </c>
      <c r="F1305" s="2" t="s">
        <v>814</v>
      </c>
      <c r="G1305" s="3">
        <v>46142</v>
      </c>
      <c r="H1305" s="2" t="s">
        <v>753</v>
      </c>
      <c r="I1305" s="2" t="s">
        <v>755</v>
      </c>
      <c r="J1305" s="2" t="s">
        <v>754</v>
      </c>
      <c r="K1305" s="2" t="s">
        <v>753</v>
      </c>
      <c r="L1305" s="6">
        <v>56</v>
      </c>
      <c r="M1305" s="2" t="s">
        <v>752</v>
      </c>
      <c r="N1305" s="7">
        <v>40</v>
      </c>
      <c r="O1305" s="4">
        <v>2240</v>
      </c>
      <c r="P1305" s="4">
        <v>2240</v>
      </c>
      <c r="Q1305" s="6">
        <v>0</v>
      </c>
    </row>
    <row r="1306" spans="1:17" x14ac:dyDescent="0.25">
      <c r="A1306" s="2" t="s">
        <v>298</v>
      </c>
      <c r="B1306" s="2" t="s">
        <v>21</v>
      </c>
      <c r="C1306" s="2" t="s">
        <v>22</v>
      </c>
      <c r="D1306" s="2" t="s">
        <v>758</v>
      </c>
      <c r="E1306" s="2" t="s">
        <v>763</v>
      </c>
      <c r="F1306" s="2" t="s">
        <v>762</v>
      </c>
      <c r="G1306" s="3">
        <v>46142</v>
      </c>
      <c r="H1306" s="2" t="s">
        <v>753</v>
      </c>
      <c r="I1306" s="2" t="s">
        <v>755</v>
      </c>
      <c r="J1306" s="2" t="s">
        <v>754</v>
      </c>
      <c r="K1306" s="2" t="s">
        <v>753</v>
      </c>
      <c r="L1306" s="6">
        <v>504</v>
      </c>
      <c r="M1306" s="2" t="s">
        <v>752</v>
      </c>
      <c r="N1306" s="7">
        <v>42.6</v>
      </c>
      <c r="O1306" s="4">
        <v>21470.400000000001</v>
      </c>
      <c r="P1306" s="4">
        <v>21470.400000000001</v>
      </c>
      <c r="Q1306" s="6">
        <v>0</v>
      </c>
    </row>
    <row r="1307" spans="1:17" x14ac:dyDescent="0.25">
      <c r="A1307" s="2" t="s">
        <v>298</v>
      </c>
      <c r="B1307" s="2" t="s">
        <v>21</v>
      </c>
      <c r="C1307" s="2" t="s">
        <v>22</v>
      </c>
      <c r="D1307" s="2" t="s">
        <v>758</v>
      </c>
      <c r="E1307" s="2" t="s">
        <v>796</v>
      </c>
      <c r="F1307" s="2" t="s">
        <v>795</v>
      </c>
      <c r="G1307" s="3">
        <v>46142</v>
      </c>
      <c r="H1307" s="2" t="s">
        <v>753</v>
      </c>
      <c r="I1307" s="2" t="s">
        <v>755</v>
      </c>
      <c r="J1307" s="2" t="s">
        <v>754</v>
      </c>
      <c r="K1307" s="2" t="s">
        <v>753</v>
      </c>
      <c r="L1307" s="6">
        <v>4</v>
      </c>
      <c r="M1307" s="2" t="s">
        <v>752</v>
      </c>
      <c r="N1307" s="7">
        <v>35.65</v>
      </c>
      <c r="O1307" s="4">
        <v>142.6</v>
      </c>
      <c r="P1307" s="4">
        <v>142.6</v>
      </c>
      <c r="Q1307" s="6">
        <v>0</v>
      </c>
    </row>
    <row r="1308" spans="1:17" x14ac:dyDescent="0.25">
      <c r="A1308" s="2" t="s">
        <v>298</v>
      </c>
      <c r="B1308" s="2" t="s">
        <v>21</v>
      </c>
      <c r="C1308" s="2" t="s">
        <v>22</v>
      </c>
      <c r="D1308" s="2" t="s">
        <v>758</v>
      </c>
      <c r="E1308" s="2" t="s">
        <v>774</v>
      </c>
      <c r="F1308" s="2" t="s">
        <v>773</v>
      </c>
      <c r="G1308" s="3">
        <v>46142</v>
      </c>
      <c r="H1308" s="2" t="s">
        <v>753</v>
      </c>
      <c r="I1308" s="2" t="s">
        <v>755</v>
      </c>
      <c r="J1308" s="2" t="s">
        <v>754</v>
      </c>
      <c r="K1308" s="2" t="s">
        <v>753</v>
      </c>
      <c r="L1308" s="6">
        <v>8</v>
      </c>
      <c r="M1308" s="2" t="s">
        <v>752</v>
      </c>
      <c r="N1308" s="7">
        <v>38.299999999999997</v>
      </c>
      <c r="O1308" s="4">
        <v>306.39999999999998</v>
      </c>
      <c r="P1308" s="4">
        <v>306.39999999999998</v>
      </c>
      <c r="Q1308" s="6">
        <v>0</v>
      </c>
    </row>
    <row r="1309" spans="1:17" x14ac:dyDescent="0.25">
      <c r="A1309" s="2" t="s">
        <v>298</v>
      </c>
      <c r="B1309" s="2" t="s">
        <v>21</v>
      </c>
      <c r="C1309" s="2" t="s">
        <v>22</v>
      </c>
      <c r="D1309" s="2" t="s">
        <v>758</v>
      </c>
      <c r="E1309" s="2" t="s">
        <v>794</v>
      </c>
      <c r="F1309" s="2" t="s">
        <v>793</v>
      </c>
      <c r="G1309" s="3">
        <v>46142</v>
      </c>
      <c r="H1309" s="2" t="s">
        <v>753</v>
      </c>
      <c r="I1309" s="2" t="s">
        <v>755</v>
      </c>
      <c r="J1309" s="2" t="s">
        <v>754</v>
      </c>
      <c r="K1309" s="2" t="s">
        <v>753</v>
      </c>
      <c r="L1309" s="6">
        <v>32</v>
      </c>
      <c r="M1309" s="2" t="s">
        <v>752</v>
      </c>
      <c r="N1309" s="7">
        <v>40.619999999999997</v>
      </c>
      <c r="O1309" s="4">
        <v>1299.8399999999999</v>
      </c>
      <c r="P1309" s="4">
        <v>1299.8399999999999</v>
      </c>
      <c r="Q1309" s="6">
        <v>0</v>
      </c>
    </row>
    <row r="1310" spans="1:17" x14ac:dyDescent="0.25">
      <c r="A1310" s="2" t="s">
        <v>298</v>
      </c>
      <c r="B1310" s="2" t="s">
        <v>21</v>
      </c>
      <c r="C1310" s="2" t="s">
        <v>22</v>
      </c>
      <c r="D1310" s="2" t="s">
        <v>758</v>
      </c>
      <c r="E1310" s="2" t="s">
        <v>792</v>
      </c>
      <c r="F1310" s="2" t="s">
        <v>943</v>
      </c>
      <c r="G1310" s="3">
        <v>46142</v>
      </c>
      <c r="H1310" s="2" t="s">
        <v>753</v>
      </c>
      <c r="I1310" s="2" t="s">
        <v>755</v>
      </c>
      <c r="J1310" s="2" t="s">
        <v>754</v>
      </c>
      <c r="K1310" s="2" t="s">
        <v>753</v>
      </c>
      <c r="L1310" s="6">
        <v>4</v>
      </c>
      <c r="M1310" s="2" t="s">
        <v>752</v>
      </c>
      <c r="N1310" s="7">
        <v>35</v>
      </c>
      <c r="O1310" s="4">
        <v>140</v>
      </c>
      <c r="P1310" s="4">
        <v>140</v>
      </c>
      <c r="Q1310" s="6">
        <v>0</v>
      </c>
    </row>
    <row r="1311" spans="1:17" x14ac:dyDescent="0.25">
      <c r="A1311" s="2" t="s">
        <v>298</v>
      </c>
      <c r="B1311" s="2" t="s">
        <v>21</v>
      </c>
      <c r="C1311" s="2" t="s">
        <v>22</v>
      </c>
      <c r="D1311" s="2" t="s">
        <v>758</v>
      </c>
      <c r="E1311" s="2" t="s">
        <v>790</v>
      </c>
      <c r="F1311" s="2" t="s">
        <v>789</v>
      </c>
      <c r="G1311" s="3">
        <v>46142</v>
      </c>
      <c r="H1311" s="2" t="s">
        <v>753</v>
      </c>
      <c r="I1311" s="2" t="s">
        <v>755</v>
      </c>
      <c r="J1311" s="2" t="s">
        <v>754</v>
      </c>
      <c r="K1311" s="2" t="s">
        <v>753</v>
      </c>
      <c r="L1311" s="6">
        <v>56</v>
      </c>
      <c r="M1311" s="2" t="s">
        <v>752</v>
      </c>
      <c r="N1311" s="7">
        <v>39.25</v>
      </c>
      <c r="O1311" s="4">
        <v>2198</v>
      </c>
      <c r="P1311" s="4">
        <v>2198</v>
      </c>
      <c r="Q1311" s="6">
        <v>0</v>
      </c>
    </row>
    <row r="1312" spans="1:17" x14ac:dyDescent="0.25">
      <c r="A1312" s="2" t="s">
        <v>298</v>
      </c>
      <c r="B1312" s="2" t="s">
        <v>21</v>
      </c>
      <c r="C1312" s="2" t="s">
        <v>22</v>
      </c>
      <c r="D1312" s="2" t="s">
        <v>758</v>
      </c>
      <c r="E1312" s="2" t="s">
        <v>772</v>
      </c>
      <c r="F1312" s="2" t="s">
        <v>771</v>
      </c>
      <c r="G1312" s="3">
        <v>46142</v>
      </c>
      <c r="H1312" s="2" t="s">
        <v>753</v>
      </c>
      <c r="I1312" s="2" t="s">
        <v>755</v>
      </c>
      <c r="J1312" s="2" t="s">
        <v>754</v>
      </c>
      <c r="K1312" s="2" t="s">
        <v>753</v>
      </c>
      <c r="L1312" s="6">
        <v>0</v>
      </c>
      <c r="M1312" s="2" t="s">
        <v>752</v>
      </c>
      <c r="N1312" s="7">
        <v>34.5</v>
      </c>
      <c r="O1312" s="4">
        <v>0</v>
      </c>
      <c r="P1312" s="4">
        <v>0</v>
      </c>
      <c r="Q1312" s="6">
        <v>0</v>
      </c>
    </row>
    <row r="1313" spans="1:17" x14ac:dyDescent="0.25">
      <c r="A1313" s="2" t="s">
        <v>298</v>
      </c>
      <c r="B1313" s="2" t="s">
        <v>21</v>
      </c>
      <c r="C1313" s="2" t="s">
        <v>22</v>
      </c>
      <c r="D1313" s="2" t="s">
        <v>758</v>
      </c>
      <c r="E1313" s="2" t="s">
        <v>786</v>
      </c>
      <c r="F1313" s="2" t="s">
        <v>785</v>
      </c>
      <c r="G1313" s="3">
        <v>46142</v>
      </c>
      <c r="H1313" s="2" t="s">
        <v>753</v>
      </c>
      <c r="I1313" s="2" t="s">
        <v>755</v>
      </c>
      <c r="J1313" s="2" t="s">
        <v>754</v>
      </c>
      <c r="K1313" s="2" t="s">
        <v>753</v>
      </c>
      <c r="L1313" s="6">
        <v>28</v>
      </c>
      <c r="M1313" s="2" t="s">
        <v>752</v>
      </c>
      <c r="N1313" s="7">
        <v>35</v>
      </c>
      <c r="O1313" s="4">
        <v>980</v>
      </c>
      <c r="P1313" s="4">
        <v>980</v>
      </c>
      <c r="Q1313" s="6">
        <v>0</v>
      </c>
    </row>
    <row r="1314" spans="1:17" x14ac:dyDescent="0.25">
      <c r="A1314" s="2" t="s">
        <v>298</v>
      </c>
      <c r="B1314" s="2" t="s">
        <v>21</v>
      </c>
      <c r="C1314" s="2" t="s">
        <v>22</v>
      </c>
      <c r="D1314" s="2" t="s">
        <v>758</v>
      </c>
      <c r="E1314" s="2" t="s">
        <v>851</v>
      </c>
      <c r="F1314" s="2" t="s">
        <v>850</v>
      </c>
      <c r="G1314" s="3">
        <v>46142</v>
      </c>
      <c r="H1314" s="2" t="s">
        <v>753</v>
      </c>
      <c r="I1314" s="2" t="s">
        <v>755</v>
      </c>
      <c r="J1314" s="2" t="s">
        <v>754</v>
      </c>
      <c r="K1314" s="2" t="s">
        <v>753</v>
      </c>
      <c r="L1314" s="6">
        <v>16</v>
      </c>
      <c r="M1314" s="2" t="s">
        <v>752</v>
      </c>
      <c r="N1314" s="7">
        <v>43.82</v>
      </c>
      <c r="O1314" s="4">
        <v>701.12</v>
      </c>
      <c r="P1314" s="4">
        <v>701.12</v>
      </c>
      <c r="Q1314" s="6">
        <v>0</v>
      </c>
    </row>
    <row r="1315" spans="1:17" x14ac:dyDescent="0.25">
      <c r="A1315" s="2" t="s">
        <v>298</v>
      </c>
      <c r="B1315" s="2" t="s">
        <v>21</v>
      </c>
      <c r="C1315" s="2" t="s">
        <v>22</v>
      </c>
      <c r="D1315" s="2" t="s">
        <v>758</v>
      </c>
      <c r="E1315" s="2" t="s">
        <v>784</v>
      </c>
      <c r="F1315" s="2" t="s">
        <v>783</v>
      </c>
      <c r="G1315" s="3">
        <v>46142</v>
      </c>
      <c r="H1315" s="2" t="s">
        <v>753</v>
      </c>
      <c r="I1315" s="2" t="s">
        <v>755</v>
      </c>
      <c r="J1315" s="2" t="s">
        <v>754</v>
      </c>
      <c r="K1315" s="2" t="s">
        <v>753</v>
      </c>
      <c r="L1315" s="6">
        <v>4</v>
      </c>
      <c r="M1315" s="2" t="s">
        <v>752</v>
      </c>
      <c r="N1315" s="7">
        <v>38.07</v>
      </c>
      <c r="O1315" s="4">
        <v>152.28</v>
      </c>
      <c r="P1315" s="4">
        <v>152.28</v>
      </c>
      <c r="Q1315" s="6">
        <v>0</v>
      </c>
    </row>
    <row r="1316" spans="1:17" x14ac:dyDescent="0.25">
      <c r="A1316" s="2" t="s">
        <v>298</v>
      </c>
      <c r="B1316" s="2" t="s">
        <v>21</v>
      </c>
      <c r="C1316" s="2" t="s">
        <v>22</v>
      </c>
      <c r="D1316" s="2" t="s">
        <v>758</v>
      </c>
      <c r="E1316" s="2" t="s">
        <v>782</v>
      </c>
      <c r="F1316" s="2" t="s">
        <v>781</v>
      </c>
      <c r="G1316" s="3">
        <v>46142</v>
      </c>
      <c r="H1316" s="2" t="s">
        <v>753</v>
      </c>
      <c r="I1316" s="2" t="s">
        <v>755</v>
      </c>
      <c r="J1316" s="2" t="s">
        <v>754</v>
      </c>
      <c r="K1316" s="2" t="s">
        <v>753</v>
      </c>
      <c r="L1316" s="6">
        <v>10</v>
      </c>
      <c r="M1316" s="2" t="s">
        <v>752</v>
      </c>
      <c r="N1316" s="7">
        <v>36.18</v>
      </c>
      <c r="O1316" s="4">
        <v>361.8</v>
      </c>
      <c r="P1316" s="4">
        <v>361.8</v>
      </c>
      <c r="Q1316" s="6">
        <v>0</v>
      </c>
    </row>
    <row r="1317" spans="1:17" x14ac:dyDescent="0.25">
      <c r="A1317" s="2" t="s">
        <v>298</v>
      </c>
      <c r="B1317" s="2" t="s">
        <v>21</v>
      </c>
      <c r="C1317" s="2" t="s">
        <v>22</v>
      </c>
      <c r="D1317" s="2" t="s">
        <v>758</v>
      </c>
      <c r="E1317" s="2" t="s">
        <v>780</v>
      </c>
      <c r="F1317" s="2" t="s">
        <v>779</v>
      </c>
      <c r="G1317" s="3">
        <v>46142</v>
      </c>
      <c r="H1317" s="2" t="s">
        <v>753</v>
      </c>
      <c r="I1317" s="2" t="s">
        <v>755</v>
      </c>
      <c r="J1317" s="2" t="s">
        <v>754</v>
      </c>
      <c r="K1317" s="2" t="s">
        <v>753</v>
      </c>
      <c r="L1317" s="6">
        <v>4</v>
      </c>
      <c r="M1317" s="2" t="s">
        <v>752</v>
      </c>
      <c r="N1317" s="7">
        <v>36.07</v>
      </c>
      <c r="O1317" s="4">
        <v>144.28</v>
      </c>
      <c r="P1317" s="4">
        <v>144.28</v>
      </c>
      <c r="Q1317" s="6">
        <v>0</v>
      </c>
    </row>
    <row r="1318" spans="1:17" x14ac:dyDescent="0.25">
      <c r="A1318" s="2" t="s">
        <v>298</v>
      </c>
      <c r="B1318" s="2" t="s">
        <v>21</v>
      </c>
      <c r="C1318" s="2" t="s">
        <v>22</v>
      </c>
      <c r="D1318" s="2" t="s">
        <v>758</v>
      </c>
      <c r="E1318" s="2" t="s">
        <v>776</v>
      </c>
      <c r="F1318" s="2" t="s">
        <v>775</v>
      </c>
      <c r="G1318" s="3">
        <v>46142</v>
      </c>
      <c r="H1318" s="2" t="s">
        <v>753</v>
      </c>
      <c r="I1318" s="2" t="s">
        <v>755</v>
      </c>
      <c r="J1318" s="2" t="s">
        <v>754</v>
      </c>
      <c r="K1318" s="2" t="s">
        <v>753</v>
      </c>
      <c r="L1318" s="6">
        <v>32</v>
      </c>
      <c r="M1318" s="2" t="s">
        <v>752</v>
      </c>
      <c r="N1318" s="7">
        <v>43.82</v>
      </c>
      <c r="O1318" s="4">
        <v>1402.24</v>
      </c>
      <c r="P1318" s="4">
        <v>1402.24</v>
      </c>
      <c r="Q1318" s="6">
        <v>0</v>
      </c>
    </row>
    <row r="1319" spans="1:17" x14ac:dyDescent="0.25">
      <c r="A1319" s="2" t="s">
        <v>298</v>
      </c>
      <c r="B1319" s="2" t="s">
        <v>21</v>
      </c>
      <c r="C1319" s="2" t="s">
        <v>22</v>
      </c>
      <c r="D1319" s="2" t="s">
        <v>758</v>
      </c>
      <c r="E1319" s="2" t="s">
        <v>950</v>
      </c>
      <c r="F1319" s="2" t="s">
        <v>949</v>
      </c>
      <c r="G1319" s="3">
        <v>46142</v>
      </c>
      <c r="H1319" s="2" t="s">
        <v>753</v>
      </c>
      <c r="I1319" s="2" t="s">
        <v>755</v>
      </c>
      <c r="J1319" s="2" t="s">
        <v>754</v>
      </c>
      <c r="K1319" s="2" t="s">
        <v>753</v>
      </c>
      <c r="L1319" s="6">
        <v>16</v>
      </c>
      <c r="M1319" s="2" t="s">
        <v>752</v>
      </c>
      <c r="N1319" s="7">
        <v>49</v>
      </c>
      <c r="O1319" s="4">
        <v>784</v>
      </c>
      <c r="P1319" s="4">
        <v>784</v>
      </c>
      <c r="Q1319" s="6">
        <v>0</v>
      </c>
    </row>
    <row r="1320" spans="1:17" x14ac:dyDescent="0.25">
      <c r="A1320" s="2" t="s">
        <v>274</v>
      </c>
      <c r="B1320" s="2" t="s">
        <v>123</v>
      </c>
      <c r="C1320" s="2" t="s">
        <v>124</v>
      </c>
      <c r="D1320" s="2" t="s">
        <v>758</v>
      </c>
      <c r="E1320" s="2" t="s">
        <v>817</v>
      </c>
      <c r="F1320" s="2" t="s">
        <v>937</v>
      </c>
      <c r="G1320" s="3">
        <v>46149</v>
      </c>
      <c r="H1320" s="2" t="s">
        <v>753</v>
      </c>
      <c r="I1320" s="2" t="s">
        <v>755</v>
      </c>
      <c r="J1320" s="2" t="s">
        <v>754</v>
      </c>
      <c r="K1320" s="2" t="s">
        <v>753</v>
      </c>
      <c r="L1320" s="6">
        <v>28</v>
      </c>
      <c r="M1320" s="2" t="s">
        <v>752</v>
      </c>
      <c r="N1320" s="7">
        <v>35.75</v>
      </c>
      <c r="O1320" s="4">
        <v>1001</v>
      </c>
      <c r="P1320" s="4">
        <v>1001</v>
      </c>
      <c r="Q1320" s="6">
        <v>0</v>
      </c>
    </row>
    <row r="1321" spans="1:17" x14ac:dyDescent="0.25">
      <c r="A1321" s="2" t="s">
        <v>274</v>
      </c>
      <c r="B1321" s="2" t="s">
        <v>123</v>
      </c>
      <c r="C1321" s="2" t="s">
        <v>124</v>
      </c>
      <c r="D1321" s="2" t="s">
        <v>758</v>
      </c>
      <c r="E1321" s="2" t="s">
        <v>763</v>
      </c>
      <c r="F1321" s="2" t="s">
        <v>762</v>
      </c>
      <c r="G1321" s="3">
        <v>46149</v>
      </c>
      <c r="H1321" s="2" t="s">
        <v>753</v>
      </c>
      <c r="I1321" s="2" t="s">
        <v>755</v>
      </c>
      <c r="J1321" s="2" t="s">
        <v>754</v>
      </c>
      <c r="K1321" s="2" t="s">
        <v>753</v>
      </c>
      <c r="L1321" s="6">
        <v>56</v>
      </c>
      <c r="M1321" s="2" t="s">
        <v>752</v>
      </c>
      <c r="N1321" s="7">
        <v>50.6</v>
      </c>
      <c r="O1321" s="4">
        <v>2833.6</v>
      </c>
      <c r="P1321" s="4">
        <v>2833.6</v>
      </c>
      <c r="Q1321" s="6">
        <v>0</v>
      </c>
    </row>
    <row r="1322" spans="1:17" x14ac:dyDescent="0.25">
      <c r="A1322" s="2" t="s">
        <v>274</v>
      </c>
      <c r="B1322" s="2" t="s">
        <v>123</v>
      </c>
      <c r="C1322" s="2" t="s">
        <v>124</v>
      </c>
      <c r="D1322" s="2" t="s">
        <v>758</v>
      </c>
      <c r="E1322" s="2" t="s">
        <v>920</v>
      </c>
      <c r="F1322" s="2" t="s">
        <v>919</v>
      </c>
      <c r="G1322" s="3">
        <v>46149</v>
      </c>
      <c r="H1322" s="2" t="s">
        <v>753</v>
      </c>
      <c r="I1322" s="2" t="s">
        <v>755</v>
      </c>
      <c r="J1322" s="2" t="s">
        <v>754</v>
      </c>
      <c r="K1322" s="2" t="s">
        <v>753</v>
      </c>
      <c r="L1322" s="6">
        <v>196</v>
      </c>
      <c r="M1322" s="2" t="s">
        <v>752</v>
      </c>
      <c r="N1322" s="7">
        <v>35</v>
      </c>
      <c r="O1322" s="4">
        <v>6860</v>
      </c>
      <c r="P1322" s="4">
        <v>6860</v>
      </c>
      <c r="Q1322" s="6">
        <v>0</v>
      </c>
    </row>
    <row r="1323" spans="1:17" x14ac:dyDescent="0.25">
      <c r="A1323" s="2" t="s">
        <v>306</v>
      </c>
      <c r="B1323" s="2" t="s">
        <v>41</v>
      </c>
      <c r="C1323" s="2" t="s">
        <v>42</v>
      </c>
      <c r="D1323" s="2" t="s">
        <v>758</v>
      </c>
      <c r="E1323" s="2" t="s">
        <v>894</v>
      </c>
      <c r="F1323" s="2" t="s">
        <v>893</v>
      </c>
      <c r="G1323" s="3">
        <v>46141</v>
      </c>
      <c r="H1323" s="2" t="s">
        <v>753</v>
      </c>
      <c r="I1323" s="2" t="s">
        <v>755</v>
      </c>
      <c r="J1323" s="2" t="s">
        <v>754</v>
      </c>
      <c r="K1323" s="2" t="s">
        <v>753</v>
      </c>
      <c r="L1323" s="6">
        <v>252</v>
      </c>
      <c r="M1323" s="2" t="s">
        <v>752</v>
      </c>
      <c r="N1323" s="7">
        <v>28.33</v>
      </c>
      <c r="O1323" s="4">
        <v>7139.16</v>
      </c>
      <c r="P1323" s="4">
        <v>7139.16</v>
      </c>
      <c r="Q1323" s="6">
        <v>0</v>
      </c>
    </row>
    <row r="1324" spans="1:17" x14ac:dyDescent="0.25">
      <c r="A1324" s="2" t="s">
        <v>306</v>
      </c>
      <c r="B1324" s="2" t="s">
        <v>41</v>
      </c>
      <c r="C1324" s="2" t="s">
        <v>42</v>
      </c>
      <c r="D1324" s="2" t="s">
        <v>758</v>
      </c>
      <c r="E1324" s="2" t="s">
        <v>845</v>
      </c>
      <c r="F1324" s="2" t="s">
        <v>844</v>
      </c>
      <c r="G1324" s="3">
        <v>46141</v>
      </c>
      <c r="H1324" s="2" t="s">
        <v>753</v>
      </c>
      <c r="I1324" s="2" t="s">
        <v>755</v>
      </c>
      <c r="J1324" s="2" t="s">
        <v>754</v>
      </c>
      <c r="K1324" s="2" t="s">
        <v>753</v>
      </c>
      <c r="L1324" s="6">
        <v>84</v>
      </c>
      <c r="M1324" s="2" t="s">
        <v>752</v>
      </c>
      <c r="N1324" s="7">
        <v>28.49</v>
      </c>
      <c r="O1324" s="4">
        <v>2393.16</v>
      </c>
      <c r="P1324" s="4">
        <v>2393.16</v>
      </c>
      <c r="Q1324" s="6">
        <v>0</v>
      </c>
    </row>
    <row r="1325" spans="1:17" x14ac:dyDescent="0.25">
      <c r="A1325" s="2" t="s">
        <v>306</v>
      </c>
      <c r="B1325" s="2" t="s">
        <v>41</v>
      </c>
      <c r="C1325" s="2" t="s">
        <v>42</v>
      </c>
      <c r="D1325" s="2" t="s">
        <v>758</v>
      </c>
      <c r="E1325" s="2" t="s">
        <v>841</v>
      </c>
      <c r="F1325" s="2" t="s">
        <v>840</v>
      </c>
      <c r="G1325" s="3">
        <v>46141</v>
      </c>
      <c r="H1325" s="2" t="s">
        <v>753</v>
      </c>
      <c r="I1325" s="2" t="s">
        <v>755</v>
      </c>
      <c r="J1325" s="2" t="s">
        <v>754</v>
      </c>
      <c r="K1325" s="2" t="s">
        <v>753</v>
      </c>
      <c r="L1325" s="6">
        <v>160</v>
      </c>
      <c r="M1325" s="2" t="s">
        <v>752</v>
      </c>
      <c r="N1325" s="7">
        <v>28.49</v>
      </c>
      <c r="O1325" s="4">
        <v>4558.3999999999996</v>
      </c>
      <c r="P1325" s="4">
        <v>4558.3999999999996</v>
      </c>
      <c r="Q1325" s="6">
        <v>0</v>
      </c>
    </row>
    <row r="1326" spans="1:17" x14ac:dyDescent="0.25">
      <c r="A1326" s="2" t="s">
        <v>306</v>
      </c>
      <c r="B1326" s="2" t="s">
        <v>41</v>
      </c>
      <c r="C1326" s="2" t="s">
        <v>42</v>
      </c>
      <c r="D1326" s="2" t="s">
        <v>758</v>
      </c>
      <c r="E1326" s="2" t="s">
        <v>786</v>
      </c>
      <c r="F1326" s="2" t="s">
        <v>785</v>
      </c>
      <c r="G1326" s="3">
        <v>46141</v>
      </c>
      <c r="H1326" s="2" t="s">
        <v>753</v>
      </c>
      <c r="I1326" s="2" t="s">
        <v>755</v>
      </c>
      <c r="J1326" s="2" t="s">
        <v>754</v>
      </c>
      <c r="K1326" s="2" t="s">
        <v>753</v>
      </c>
      <c r="L1326" s="6">
        <v>140</v>
      </c>
      <c r="M1326" s="2" t="s">
        <v>752</v>
      </c>
      <c r="N1326" s="7">
        <v>25.25</v>
      </c>
      <c r="O1326" s="4">
        <v>3535</v>
      </c>
      <c r="P1326" s="4">
        <v>3535</v>
      </c>
      <c r="Q1326" s="6">
        <v>0</v>
      </c>
    </row>
    <row r="1327" spans="1:17" x14ac:dyDescent="0.25">
      <c r="A1327" s="2" t="s">
        <v>306</v>
      </c>
      <c r="B1327" s="2" t="s">
        <v>41</v>
      </c>
      <c r="C1327" s="2" t="s">
        <v>42</v>
      </c>
      <c r="D1327" s="2" t="s">
        <v>758</v>
      </c>
      <c r="E1327" s="2" t="s">
        <v>839</v>
      </c>
      <c r="F1327" s="2" t="s">
        <v>838</v>
      </c>
      <c r="G1327" s="3">
        <v>46141</v>
      </c>
      <c r="H1327" s="2" t="s">
        <v>753</v>
      </c>
      <c r="I1327" s="2" t="s">
        <v>755</v>
      </c>
      <c r="J1327" s="2" t="s">
        <v>754</v>
      </c>
      <c r="K1327" s="2" t="s">
        <v>753</v>
      </c>
      <c r="L1327" s="6">
        <v>32</v>
      </c>
      <c r="M1327" s="2" t="s">
        <v>752</v>
      </c>
      <c r="N1327" s="7">
        <v>36.630000000000003</v>
      </c>
      <c r="O1327" s="4">
        <v>1172.1600000000001</v>
      </c>
      <c r="P1327" s="4">
        <v>1172.1600000000001</v>
      </c>
      <c r="Q1327" s="6">
        <v>0</v>
      </c>
    </row>
    <row r="1328" spans="1:17" x14ac:dyDescent="0.25">
      <c r="A1328" s="2" t="s">
        <v>306</v>
      </c>
      <c r="B1328" s="2" t="s">
        <v>41</v>
      </c>
      <c r="C1328" s="2" t="s">
        <v>42</v>
      </c>
      <c r="D1328" s="2" t="s">
        <v>758</v>
      </c>
      <c r="E1328" s="2" t="s">
        <v>776</v>
      </c>
      <c r="F1328" s="2" t="s">
        <v>775</v>
      </c>
      <c r="G1328" s="3">
        <v>46141</v>
      </c>
      <c r="H1328" s="2" t="s">
        <v>753</v>
      </c>
      <c r="I1328" s="2" t="s">
        <v>755</v>
      </c>
      <c r="J1328" s="2" t="s">
        <v>754</v>
      </c>
      <c r="K1328" s="2" t="s">
        <v>753</v>
      </c>
      <c r="L1328" s="6">
        <v>60</v>
      </c>
      <c r="M1328" s="2" t="s">
        <v>752</v>
      </c>
      <c r="N1328" s="7">
        <v>37.950000000000003</v>
      </c>
      <c r="O1328" s="4">
        <v>2277</v>
      </c>
      <c r="P1328" s="4">
        <v>2277</v>
      </c>
      <c r="Q1328" s="6">
        <v>0</v>
      </c>
    </row>
    <row r="1329" spans="1:17" x14ac:dyDescent="0.25">
      <c r="A1329" s="2" t="s">
        <v>306</v>
      </c>
      <c r="B1329" s="2" t="s">
        <v>41</v>
      </c>
      <c r="C1329" s="2" t="s">
        <v>42</v>
      </c>
      <c r="D1329" s="2" t="s">
        <v>758</v>
      </c>
      <c r="E1329" s="2" t="s">
        <v>763</v>
      </c>
      <c r="F1329" s="2" t="s">
        <v>762</v>
      </c>
      <c r="G1329" s="3">
        <v>46141</v>
      </c>
      <c r="H1329" s="2" t="s">
        <v>753</v>
      </c>
      <c r="I1329" s="2" t="s">
        <v>755</v>
      </c>
      <c r="J1329" s="2" t="s">
        <v>754</v>
      </c>
      <c r="K1329" s="2" t="s">
        <v>753</v>
      </c>
      <c r="L1329" s="6">
        <v>112</v>
      </c>
      <c r="M1329" s="2" t="s">
        <v>752</v>
      </c>
      <c r="N1329" s="7">
        <v>40.43</v>
      </c>
      <c r="O1329" s="4">
        <v>4528.16</v>
      </c>
      <c r="P1329" s="4">
        <v>4528.16</v>
      </c>
      <c r="Q1329" s="6">
        <v>0</v>
      </c>
    </row>
    <row r="1330" spans="1:17" x14ac:dyDescent="0.25">
      <c r="A1330" s="2" t="s">
        <v>290</v>
      </c>
      <c r="B1330" s="2" t="s">
        <v>99</v>
      </c>
      <c r="C1330" s="2" t="s">
        <v>100</v>
      </c>
      <c r="D1330" s="2" t="s">
        <v>758</v>
      </c>
      <c r="E1330" s="2" t="s">
        <v>763</v>
      </c>
      <c r="F1330" s="2" t="s">
        <v>762</v>
      </c>
      <c r="G1330" s="3">
        <v>46146</v>
      </c>
      <c r="H1330" s="2" t="s">
        <v>770</v>
      </c>
      <c r="I1330" s="2" t="s">
        <v>755</v>
      </c>
      <c r="J1330" s="2" t="s">
        <v>754</v>
      </c>
      <c r="K1330" s="2" t="s">
        <v>753</v>
      </c>
      <c r="L1330" s="6">
        <v>144</v>
      </c>
      <c r="M1330" s="2" t="s">
        <v>752</v>
      </c>
      <c r="N1330" s="7">
        <v>36.82</v>
      </c>
      <c r="O1330" s="4">
        <v>5302.08</v>
      </c>
      <c r="P1330" s="4">
        <v>5302.08</v>
      </c>
      <c r="Q1330" s="6">
        <v>0</v>
      </c>
    </row>
    <row r="1331" spans="1:17" x14ac:dyDescent="0.25">
      <c r="A1331" s="2" t="s">
        <v>290</v>
      </c>
      <c r="B1331" s="2" t="s">
        <v>99</v>
      </c>
      <c r="C1331" s="2" t="s">
        <v>100</v>
      </c>
      <c r="D1331" s="2" t="s">
        <v>758</v>
      </c>
      <c r="E1331" s="2" t="s">
        <v>861</v>
      </c>
      <c r="F1331" s="2" t="s">
        <v>860</v>
      </c>
      <c r="G1331" s="3">
        <v>46146</v>
      </c>
      <c r="H1331" s="2" t="s">
        <v>770</v>
      </c>
      <c r="I1331" s="2" t="s">
        <v>755</v>
      </c>
      <c r="J1331" s="2" t="s">
        <v>754</v>
      </c>
      <c r="K1331" s="2" t="s">
        <v>753</v>
      </c>
      <c r="L1331" s="6">
        <v>32</v>
      </c>
      <c r="M1331" s="2" t="s">
        <v>752</v>
      </c>
      <c r="N1331" s="7">
        <v>39.700000000000003</v>
      </c>
      <c r="O1331" s="4">
        <v>1270.4000000000001</v>
      </c>
      <c r="P1331" s="4">
        <v>1270.4000000000001</v>
      </c>
      <c r="Q1331" s="6">
        <v>0</v>
      </c>
    </row>
    <row r="1332" spans="1:17" x14ac:dyDescent="0.25">
      <c r="A1332" s="2" t="s">
        <v>290</v>
      </c>
      <c r="B1332" s="2" t="s">
        <v>99</v>
      </c>
      <c r="C1332" s="2" t="s">
        <v>100</v>
      </c>
      <c r="D1332" s="2" t="s">
        <v>758</v>
      </c>
      <c r="E1332" s="2" t="s">
        <v>757</v>
      </c>
      <c r="F1332" s="2" t="s">
        <v>756</v>
      </c>
      <c r="G1332" s="3">
        <v>46146</v>
      </c>
      <c r="H1332" s="2" t="s">
        <v>770</v>
      </c>
      <c r="I1332" s="2" t="s">
        <v>755</v>
      </c>
      <c r="J1332" s="2" t="s">
        <v>754</v>
      </c>
      <c r="K1332" s="2" t="s">
        <v>753</v>
      </c>
      <c r="L1332" s="6">
        <v>672</v>
      </c>
      <c r="M1332" s="2" t="s">
        <v>752</v>
      </c>
      <c r="N1332" s="7">
        <v>39.700000000000003</v>
      </c>
      <c r="O1332" s="4">
        <v>26678.400000000001</v>
      </c>
      <c r="P1332" s="4">
        <v>26678.400000000001</v>
      </c>
      <c r="Q1332" s="6">
        <v>0</v>
      </c>
    </row>
    <row r="1333" spans="1:17" x14ac:dyDescent="0.25">
      <c r="A1333" s="2" t="s">
        <v>948</v>
      </c>
      <c r="B1333" s="2" t="s">
        <v>947</v>
      </c>
      <c r="C1333" s="2" t="s">
        <v>946</v>
      </c>
      <c r="D1333" s="2" t="s">
        <v>758</v>
      </c>
      <c r="E1333" s="2" t="s">
        <v>763</v>
      </c>
      <c r="F1333" s="2" t="s">
        <v>762</v>
      </c>
      <c r="G1333" s="3">
        <v>46136</v>
      </c>
      <c r="H1333" s="2" t="s">
        <v>753</v>
      </c>
      <c r="I1333" s="2" t="s">
        <v>755</v>
      </c>
      <c r="J1333" s="2" t="s">
        <v>754</v>
      </c>
      <c r="K1333" s="2" t="s">
        <v>753</v>
      </c>
      <c r="L1333" s="6">
        <v>2</v>
      </c>
      <c r="M1333" s="2" t="s">
        <v>752</v>
      </c>
      <c r="N1333" s="7">
        <v>0</v>
      </c>
      <c r="O1333" s="4">
        <v>0</v>
      </c>
      <c r="P1333" s="4">
        <v>0</v>
      </c>
      <c r="Q1333" s="6">
        <v>0</v>
      </c>
    </row>
    <row r="1334" spans="1:17" x14ac:dyDescent="0.25">
      <c r="A1334" s="2" t="s">
        <v>948</v>
      </c>
      <c r="B1334" s="2" t="s">
        <v>947</v>
      </c>
      <c r="C1334" s="2" t="s">
        <v>946</v>
      </c>
      <c r="D1334" s="2" t="s">
        <v>758</v>
      </c>
      <c r="E1334" s="2" t="s">
        <v>817</v>
      </c>
      <c r="F1334" s="2" t="s">
        <v>937</v>
      </c>
      <c r="G1334" s="3">
        <v>46136</v>
      </c>
      <c r="H1334" s="2" t="s">
        <v>753</v>
      </c>
      <c r="I1334" s="2" t="s">
        <v>755</v>
      </c>
      <c r="J1334" s="2" t="s">
        <v>754</v>
      </c>
      <c r="K1334" s="2" t="s">
        <v>753</v>
      </c>
      <c r="L1334" s="6">
        <v>2</v>
      </c>
      <c r="M1334" s="2" t="s">
        <v>752</v>
      </c>
      <c r="N1334" s="7">
        <v>0</v>
      </c>
      <c r="O1334" s="4">
        <v>0</v>
      </c>
      <c r="P1334" s="4">
        <v>0</v>
      </c>
      <c r="Q1334" s="6">
        <v>0</v>
      </c>
    </row>
    <row r="1335" spans="1:17" x14ac:dyDescent="0.25">
      <c r="A1335" s="2" t="s">
        <v>948</v>
      </c>
      <c r="B1335" s="2" t="s">
        <v>947</v>
      </c>
      <c r="C1335" s="2" t="s">
        <v>946</v>
      </c>
      <c r="D1335" s="2" t="s">
        <v>758</v>
      </c>
      <c r="E1335" s="2" t="s">
        <v>879</v>
      </c>
      <c r="F1335" s="2" t="s">
        <v>878</v>
      </c>
      <c r="G1335" s="3">
        <v>46136</v>
      </c>
      <c r="H1335" s="2" t="s">
        <v>753</v>
      </c>
      <c r="I1335" s="2" t="s">
        <v>755</v>
      </c>
      <c r="J1335" s="2" t="s">
        <v>754</v>
      </c>
      <c r="K1335" s="2" t="s">
        <v>753</v>
      </c>
      <c r="L1335" s="6">
        <v>2</v>
      </c>
      <c r="M1335" s="2" t="s">
        <v>752</v>
      </c>
      <c r="N1335" s="7">
        <v>0</v>
      </c>
      <c r="O1335" s="4">
        <v>0</v>
      </c>
      <c r="P1335" s="4">
        <v>0</v>
      </c>
      <c r="Q1335" s="6">
        <v>0</v>
      </c>
    </row>
    <row r="1336" spans="1:17" x14ac:dyDescent="0.25">
      <c r="A1336" s="2" t="s">
        <v>286</v>
      </c>
      <c r="B1336" s="2" t="s">
        <v>33</v>
      </c>
      <c r="C1336" s="2" t="s">
        <v>34</v>
      </c>
      <c r="D1336" s="2" t="s">
        <v>758</v>
      </c>
      <c r="E1336" s="2" t="s">
        <v>784</v>
      </c>
      <c r="F1336" s="2" t="s">
        <v>783</v>
      </c>
      <c r="G1336" s="3">
        <v>46147</v>
      </c>
      <c r="H1336" s="2" t="s">
        <v>753</v>
      </c>
      <c r="I1336" s="2" t="s">
        <v>755</v>
      </c>
      <c r="J1336" s="2" t="s">
        <v>754</v>
      </c>
      <c r="K1336" s="2" t="s">
        <v>753</v>
      </c>
      <c r="L1336" s="6">
        <v>16</v>
      </c>
      <c r="M1336" s="2" t="s">
        <v>752</v>
      </c>
      <c r="N1336" s="7">
        <v>37.049999999999997</v>
      </c>
      <c r="O1336" s="4">
        <v>592.79999999999995</v>
      </c>
      <c r="P1336" s="4">
        <v>592.79999999999995</v>
      </c>
      <c r="Q1336" s="6">
        <v>0</v>
      </c>
    </row>
    <row r="1337" spans="1:17" x14ac:dyDescent="0.25">
      <c r="A1337" s="2" t="s">
        <v>286</v>
      </c>
      <c r="B1337" s="2" t="s">
        <v>33</v>
      </c>
      <c r="C1337" s="2" t="s">
        <v>34</v>
      </c>
      <c r="D1337" s="2" t="s">
        <v>758</v>
      </c>
      <c r="E1337" s="2" t="s">
        <v>837</v>
      </c>
      <c r="F1337" s="2" t="s">
        <v>836</v>
      </c>
      <c r="G1337" s="3">
        <v>46147</v>
      </c>
      <c r="H1337" s="2" t="s">
        <v>753</v>
      </c>
      <c r="I1337" s="2" t="s">
        <v>755</v>
      </c>
      <c r="J1337" s="2" t="s">
        <v>754</v>
      </c>
      <c r="K1337" s="2" t="s">
        <v>753</v>
      </c>
      <c r="L1337" s="6">
        <v>32</v>
      </c>
      <c r="M1337" s="2" t="s">
        <v>752</v>
      </c>
      <c r="N1337" s="7">
        <v>60.07</v>
      </c>
      <c r="O1337" s="4">
        <v>1922.24</v>
      </c>
      <c r="P1337" s="4">
        <v>1922.24</v>
      </c>
      <c r="Q1337" s="6">
        <v>0</v>
      </c>
    </row>
    <row r="1338" spans="1:17" x14ac:dyDescent="0.25">
      <c r="A1338" s="2" t="s">
        <v>286</v>
      </c>
      <c r="B1338" s="2" t="s">
        <v>33</v>
      </c>
      <c r="C1338" s="2" t="s">
        <v>34</v>
      </c>
      <c r="D1338" s="2" t="s">
        <v>758</v>
      </c>
      <c r="E1338" s="2" t="s">
        <v>763</v>
      </c>
      <c r="F1338" s="2" t="s">
        <v>762</v>
      </c>
      <c r="G1338" s="3">
        <v>46147</v>
      </c>
      <c r="H1338" s="2" t="s">
        <v>753</v>
      </c>
      <c r="I1338" s="2" t="s">
        <v>755</v>
      </c>
      <c r="J1338" s="2" t="s">
        <v>754</v>
      </c>
      <c r="K1338" s="2" t="s">
        <v>753</v>
      </c>
      <c r="L1338" s="6">
        <v>288</v>
      </c>
      <c r="M1338" s="2" t="s">
        <v>752</v>
      </c>
      <c r="N1338" s="7">
        <v>46.1</v>
      </c>
      <c r="O1338" s="4">
        <v>13276.8</v>
      </c>
      <c r="P1338" s="4">
        <v>13276.8</v>
      </c>
      <c r="Q1338" s="6">
        <v>0</v>
      </c>
    </row>
    <row r="1339" spans="1:17" x14ac:dyDescent="0.25">
      <c r="A1339" s="2" t="s">
        <v>286</v>
      </c>
      <c r="B1339" s="2" t="s">
        <v>33</v>
      </c>
      <c r="C1339" s="2" t="s">
        <v>34</v>
      </c>
      <c r="D1339" s="2" t="s">
        <v>758</v>
      </c>
      <c r="E1339" s="2" t="s">
        <v>817</v>
      </c>
      <c r="F1339" s="2" t="s">
        <v>937</v>
      </c>
      <c r="G1339" s="3">
        <v>46147</v>
      </c>
      <c r="H1339" s="2" t="s">
        <v>753</v>
      </c>
      <c r="I1339" s="2" t="s">
        <v>755</v>
      </c>
      <c r="J1339" s="2" t="s">
        <v>754</v>
      </c>
      <c r="K1339" s="2" t="s">
        <v>753</v>
      </c>
      <c r="L1339" s="6">
        <v>128</v>
      </c>
      <c r="M1339" s="2" t="s">
        <v>752</v>
      </c>
      <c r="N1339" s="7">
        <v>38</v>
      </c>
      <c r="O1339" s="4">
        <v>4864</v>
      </c>
      <c r="P1339" s="4">
        <v>4864</v>
      </c>
      <c r="Q1339" s="6">
        <v>0</v>
      </c>
    </row>
    <row r="1340" spans="1:17" x14ac:dyDescent="0.25">
      <c r="A1340" s="2" t="s">
        <v>286</v>
      </c>
      <c r="B1340" s="2" t="s">
        <v>33</v>
      </c>
      <c r="C1340" s="2" t="s">
        <v>34</v>
      </c>
      <c r="D1340" s="2" t="s">
        <v>758</v>
      </c>
      <c r="E1340" s="2" t="s">
        <v>833</v>
      </c>
      <c r="F1340" s="2" t="s">
        <v>832</v>
      </c>
      <c r="G1340" s="3">
        <v>46147</v>
      </c>
      <c r="H1340" s="2" t="s">
        <v>753</v>
      </c>
      <c r="I1340" s="2" t="s">
        <v>755</v>
      </c>
      <c r="J1340" s="2" t="s">
        <v>754</v>
      </c>
      <c r="K1340" s="2" t="s">
        <v>753</v>
      </c>
      <c r="L1340" s="6">
        <v>112</v>
      </c>
      <c r="M1340" s="2" t="s">
        <v>752</v>
      </c>
      <c r="N1340" s="7">
        <v>45</v>
      </c>
      <c r="O1340" s="4">
        <v>5040</v>
      </c>
      <c r="P1340" s="4">
        <v>5040</v>
      </c>
      <c r="Q1340" s="6">
        <v>0</v>
      </c>
    </row>
    <row r="1341" spans="1:17" x14ac:dyDescent="0.25">
      <c r="A1341" s="2" t="s">
        <v>278</v>
      </c>
      <c r="B1341" s="2" t="s">
        <v>25</v>
      </c>
      <c r="C1341" s="2" t="s">
        <v>26</v>
      </c>
      <c r="D1341" s="2" t="s">
        <v>758</v>
      </c>
      <c r="E1341" s="2" t="s">
        <v>831</v>
      </c>
      <c r="F1341" s="2" t="s">
        <v>830</v>
      </c>
      <c r="G1341" s="3">
        <v>46148</v>
      </c>
      <c r="H1341" s="2" t="s">
        <v>753</v>
      </c>
      <c r="I1341" s="2" t="s">
        <v>755</v>
      </c>
      <c r="J1341" s="2" t="s">
        <v>754</v>
      </c>
      <c r="K1341" s="2" t="s">
        <v>753</v>
      </c>
      <c r="L1341" s="6">
        <v>32</v>
      </c>
      <c r="M1341" s="2" t="s">
        <v>752</v>
      </c>
      <c r="N1341" s="7">
        <v>56</v>
      </c>
      <c r="O1341" s="4">
        <v>1792</v>
      </c>
      <c r="P1341" s="4">
        <v>1792</v>
      </c>
      <c r="Q1341" s="6">
        <v>0</v>
      </c>
    </row>
    <row r="1342" spans="1:17" x14ac:dyDescent="0.25">
      <c r="A1342" s="2" t="s">
        <v>278</v>
      </c>
      <c r="B1342" s="2" t="s">
        <v>25</v>
      </c>
      <c r="C1342" s="2" t="s">
        <v>26</v>
      </c>
      <c r="D1342" s="2" t="s">
        <v>758</v>
      </c>
      <c r="E1342" s="2" t="s">
        <v>890</v>
      </c>
      <c r="F1342" s="2" t="s">
        <v>889</v>
      </c>
      <c r="G1342" s="3">
        <v>46148</v>
      </c>
      <c r="H1342" s="2" t="s">
        <v>753</v>
      </c>
      <c r="I1342" s="2" t="s">
        <v>755</v>
      </c>
      <c r="J1342" s="2" t="s">
        <v>754</v>
      </c>
      <c r="K1342" s="2" t="s">
        <v>753</v>
      </c>
      <c r="L1342" s="6">
        <v>48</v>
      </c>
      <c r="M1342" s="2" t="s">
        <v>752</v>
      </c>
      <c r="N1342" s="7">
        <v>46</v>
      </c>
      <c r="O1342" s="4">
        <v>2208</v>
      </c>
      <c r="P1342" s="4">
        <v>2208</v>
      </c>
      <c r="Q1342" s="6">
        <v>0</v>
      </c>
    </row>
    <row r="1343" spans="1:17" x14ac:dyDescent="0.25">
      <c r="A1343" s="2" t="s">
        <v>278</v>
      </c>
      <c r="B1343" s="2" t="s">
        <v>25</v>
      </c>
      <c r="C1343" s="2" t="s">
        <v>26</v>
      </c>
      <c r="D1343" s="2" t="s">
        <v>758</v>
      </c>
      <c r="E1343" s="2" t="s">
        <v>829</v>
      </c>
      <c r="F1343" s="2" t="s">
        <v>828</v>
      </c>
      <c r="G1343" s="3">
        <v>46148</v>
      </c>
      <c r="H1343" s="2" t="s">
        <v>753</v>
      </c>
      <c r="I1343" s="2" t="s">
        <v>755</v>
      </c>
      <c r="J1343" s="2" t="s">
        <v>754</v>
      </c>
      <c r="K1343" s="2" t="s">
        <v>753</v>
      </c>
      <c r="L1343" s="6">
        <v>32</v>
      </c>
      <c r="M1343" s="2" t="s">
        <v>752</v>
      </c>
      <c r="N1343" s="7">
        <v>40</v>
      </c>
      <c r="O1343" s="4">
        <v>1280</v>
      </c>
      <c r="P1343" s="4">
        <v>1280</v>
      </c>
      <c r="Q1343" s="6">
        <v>0</v>
      </c>
    </row>
    <row r="1344" spans="1:17" x14ac:dyDescent="0.25">
      <c r="A1344" s="2" t="s">
        <v>278</v>
      </c>
      <c r="B1344" s="2" t="s">
        <v>25</v>
      </c>
      <c r="C1344" s="2" t="s">
        <v>26</v>
      </c>
      <c r="D1344" s="2" t="s">
        <v>758</v>
      </c>
      <c r="E1344" s="2" t="s">
        <v>825</v>
      </c>
      <c r="F1344" s="2" t="s">
        <v>824</v>
      </c>
      <c r="G1344" s="3">
        <v>46148</v>
      </c>
      <c r="H1344" s="2" t="s">
        <v>753</v>
      </c>
      <c r="I1344" s="2" t="s">
        <v>755</v>
      </c>
      <c r="J1344" s="2" t="s">
        <v>754</v>
      </c>
      <c r="K1344" s="2" t="s">
        <v>753</v>
      </c>
      <c r="L1344" s="6">
        <v>4</v>
      </c>
      <c r="M1344" s="2" t="s">
        <v>752</v>
      </c>
      <c r="N1344" s="7">
        <v>47.2</v>
      </c>
      <c r="O1344" s="4">
        <v>188.8</v>
      </c>
      <c r="P1344" s="4">
        <v>188.8</v>
      </c>
      <c r="Q1344" s="6">
        <v>0</v>
      </c>
    </row>
    <row r="1345" spans="1:17" x14ac:dyDescent="0.25">
      <c r="A1345" s="2" t="s">
        <v>278</v>
      </c>
      <c r="B1345" s="2" t="s">
        <v>25</v>
      </c>
      <c r="C1345" s="2" t="s">
        <v>26</v>
      </c>
      <c r="D1345" s="2" t="s">
        <v>758</v>
      </c>
      <c r="E1345" s="2" t="s">
        <v>823</v>
      </c>
      <c r="F1345" s="2" t="s">
        <v>822</v>
      </c>
      <c r="G1345" s="3">
        <v>46148</v>
      </c>
      <c r="H1345" s="2" t="s">
        <v>753</v>
      </c>
      <c r="I1345" s="2" t="s">
        <v>755</v>
      </c>
      <c r="J1345" s="2" t="s">
        <v>754</v>
      </c>
      <c r="K1345" s="2" t="s">
        <v>753</v>
      </c>
      <c r="L1345" s="6">
        <v>96</v>
      </c>
      <c r="M1345" s="2" t="s">
        <v>752</v>
      </c>
      <c r="N1345" s="7">
        <v>52</v>
      </c>
      <c r="O1345" s="4">
        <v>4992</v>
      </c>
      <c r="P1345" s="4">
        <v>4992</v>
      </c>
      <c r="Q1345" s="6">
        <v>0</v>
      </c>
    </row>
    <row r="1346" spans="1:17" x14ac:dyDescent="0.25">
      <c r="A1346" s="2" t="s">
        <v>278</v>
      </c>
      <c r="B1346" s="2" t="s">
        <v>25</v>
      </c>
      <c r="C1346" s="2" t="s">
        <v>26</v>
      </c>
      <c r="D1346" s="2" t="s">
        <v>758</v>
      </c>
      <c r="E1346" s="2" t="s">
        <v>879</v>
      </c>
      <c r="F1346" s="2" t="s">
        <v>878</v>
      </c>
      <c r="G1346" s="3">
        <v>46148</v>
      </c>
      <c r="H1346" s="2" t="s">
        <v>753</v>
      </c>
      <c r="I1346" s="2" t="s">
        <v>755</v>
      </c>
      <c r="J1346" s="2" t="s">
        <v>754</v>
      </c>
      <c r="K1346" s="2" t="s">
        <v>753</v>
      </c>
      <c r="L1346" s="6">
        <v>1</v>
      </c>
      <c r="M1346" s="2" t="s">
        <v>752</v>
      </c>
      <c r="N1346" s="7">
        <v>38.9</v>
      </c>
      <c r="O1346" s="4">
        <v>38.9</v>
      </c>
      <c r="P1346" s="4">
        <v>38.9</v>
      </c>
      <c r="Q1346" s="6">
        <v>0</v>
      </c>
    </row>
    <row r="1347" spans="1:17" x14ac:dyDescent="0.25">
      <c r="A1347" s="2" t="s">
        <v>278</v>
      </c>
      <c r="B1347" s="2" t="s">
        <v>25</v>
      </c>
      <c r="C1347" s="2" t="s">
        <v>26</v>
      </c>
      <c r="D1347" s="2" t="s">
        <v>758</v>
      </c>
      <c r="E1347" s="2" t="s">
        <v>945</v>
      </c>
      <c r="F1347" s="2" t="s">
        <v>944</v>
      </c>
      <c r="G1347" s="3">
        <v>46148</v>
      </c>
      <c r="H1347" s="2" t="s">
        <v>753</v>
      </c>
      <c r="I1347" s="2" t="s">
        <v>755</v>
      </c>
      <c r="J1347" s="2" t="s">
        <v>754</v>
      </c>
      <c r="K1347" s="2" t="s">
        <v>753</v>
      </c>
      <c r="L1347" s="6">
        <v>8</v>
      </c>
      <c r="M1347" s="2" t="s">
        <v>752</v>
      </c>
      <c r="N1347" s="7">
        <v>48.06</v>
      </c>
      <c r="O1347" s="4">
        <v>384.48</v>
      </c>
      <c r="P1347" s="4">
        <v>384.48</v>
      </c>
      <c r="Q1347" s="6">
        <v>0</v>
      </c>
    </row>
    <row r="1348" spans="1:17" x14ac:dyDescent="0.25">
      <c r="A1348" s="2" t="s">
        <v>278</v>
      </c>
      <c r="B1348" s="2" t="s">
        <v>25</v>
      </c>
      <c r="C1348" s="2" t="s">
        <v>26</v>
      </c>
      <c r="D1348" s="2" t="s">
        <v>758</v>
      </c>
      <c r="E1348" s="2" t="s">
        <v>813</v>
      </c>
      <c r="F1348" s="2" t="s">
        <v>812</v>
      </c>
      <c r="G1348" s="3">
        <v>46148</v>
      </c>
      <c r="H1348" s="2" t="s">
        <v>753</v>
      </c>
      <c r="I1348" s="2" t="s">
        <v>755</v>
      </c>
      <c r="J1348" s="2" t="s">
        <v>754</v>
      </c>
      <c r="K1348" s="2" t="s">
        <v>753</v>
      </c>
      <c r="L1348" s="6">
        <v>1</v>
      </c>
      <c r="M1348" s="2" t="s">
        <v>752</v>
      </c>
      <c r="N1348" s="7">
        <v>54</v>
      </c>
      <c r="O1348" s="4">
        <v>54</v>
      </c>
      <c r="P1348" s="4">
        <v>54</v>
      </c>
      <c r="Q1348" s="6">
        <v>0</v>
      </c>
    </row>
    <row r="1349" spans="1:17" x14ac:dyDescent="0.25">
      <c r="A1349" s="2" t="s">
        <v>278</v>
      </c>
      <c r="B1349" s="2" t="s">
        <v>25</v>
      </c>
      <c r="C1349" s="2" t="s">
        <v>26</v>
      </c>
      <c r="D1349" s="2" t="s">
        <v>758</v>
      </c>
      <c r="E1349" s="2" t="s">
        <v>847</v>
      </c>
      <c r="F1349" s="2" t="s">
        <v>846</v>
      </c>
      <c r="G1349" s="3">
        <v>46148</v>
      </c>
      <c r="H1349" s="2" t="s">
        <v>753</v>
      </c>
      <c r="I1349" s="2" t="s">
        <v>755</v>
      </c>
      <c r="J1349" s="2" t="s">
        <v>754</v>
      </c>
      <c r="K1349" s="2" t="s">
        <v>753</v>
      </c>
      <c r="L1349" s="6">
        <v>4</v>
      </c>
      <c r="M1349" s="2" t="s">
        <v>752</v>
      </c>
      <c r="N1349" s="7">
        <v>38.08</v>
      </c>
      <c r="O1349" s="4">
        <v>152.32</v>
      </c>
      <c r="P1349" s="4">
        <v>152.32</v>
      </c>
      <c r="Q1349" s="6">
        <v>0</v>
      </c>
    </row>
    <row r="1350" spans="1:17" x14ac:dyDescent="0.25">
      <c r="A1350" s="2" t="s">
        <v>278</v>
      </c>
      <c r="B1350" s="2" t="s">
        <v>25</v>
      </c>
      <c r="C1350" s="2" t="s">
        <v>26</v>
      </c>
      <c r="D1350" s="2" t="s">
        <v>758</v>
      </c>
      <c r="E1350" s="2" t="s">
        <v>821</v>
      </c>
      <c r="F1350" s="2" t="s">
        <v>820</v>
      </c>
      <c r="G1350" s="3">
        <v>46148</v>
      </c>
      <c r="H1350" s="2" t="s">
        <v>753</v>
      </c>
      <c r="I1350" s="2" t="s">
        <v>755</v>
      </c>
      <c r="J1350" s="2" t="s">
        <v>754</v>
      </c>
      <c r="K1350" s="2" t="s">
        <v>753</v>
      </c>
      <c r="L1350" s="6">
        <v>24</v>
      </c>
      <c r="M1350" s="2" t="s">
        <v>752</v>
      </c>
      <c r="N1350" s="7">
        <v>52</v>
      </c>
      <c r="O1350" s="4">
        <v>1248</v>
      </c>
      <c r="P1350" s="4">
        <v>1248</v>
      </c>
      <c r="Q1350" s="6">
        <v>0</v>
      </c>
    </row>
    <row r="1351" spans="1:17" x14ac:dyDescent="0.25">
      <c r="A1351" s="2" t="s">
        <v>278</v>
      </c>
      <c r="B1351" s="2" t="s">
        <v>25</v>
      </c>
      <c r="C1351" s="2" t="s">
        <v>26</v>
      </c>
      <c r="D1351" s="2" t="s">
        <v>758</v>
      </c>
      <c r="E1351" s="2" t="s">
        <v>819</v>
      </c>
      <c r="F1351" s="2" t="s">
        <v>818</v>
      </c>
      <c r="G1351" s="3">
        <v>46148</v>
      </c>
      <c r="H1351" s="2" t="s">
        <v>753</v>
      </c>
      <c r="I1351" s="2" t="s">
        <v>755</v>
      </c>
      <c r="J1351" s="2" t="s">
        <v>754</v>
      </c>
      <c r="K1351" s="2" t="s">
        <v>753</v>
      </c>
      <c r="L1351" s="6">
        <v>36</v>
      </c>
      <c r="M1351" s="2" t="s">
        <v>752</v>
      </c>
      <c r="N1351" s="7">
        <v>38.25</v>
      </c>
      <c r="O1351" s="4">
        <v>1377</v>
      </c>
      <c r="P1351" s="4">
        <v>1377</v>
      </c>
      <c r="Q1351" s="6">
        <v>0</v>
      </c>
    </row>
    <row r="1352" spans="1:17" x14ac:dyDescent="0.25">
      <c r="A1352" s="2" t="s">
        <v>260</v>
      </c>
      <c r="B1352" s="2" t="s">
        <v>171</v>
      </c>
      <c r="C1352" s="2" t="s">
        <v>172</v>
      </c>
      <c r="D1352" s="2" t="s">
        <v>758</v>
      </c>
      <c r="E1352" s="2" t="s">
        <v>780</v>
      </c>
      <c r="F1352" s="2" t="s">
        <v>779</v>
      </c>
      <c r="G1352" s="3">
        <v>46154</v>
      </c>
      <c r="H1352" s="2" t="s">
        <v>753</v>
      </c>
      <c r="I1352" s="2" t="s">
        <v>755</v>
      </c>
      <c r="J1352" s="2" t="s">
        <v>754</v>
      </c>
      <c r="K1352" s="2" t="s">
        <v>753</v>
      </c>
      <c r="L1352" s="6">
        <v>960</v>
      </c>
      <c r="M1352" s="2" t="s">
        <v>752</v>
      </c>
      <c r="N1352" s="7">
        <v>26.25</v>
      </c>
      <c r="O1352" s="4">
        <v>25200</v>
      </c>
      <c r="P1352" s="4">
        <v>25200</v>
      </c>
      <c r="Q1352" s="6">
        <v>0</v>
      </c>
    </row>
    <row r="1353" spans="1:17" x14ac:dyDescent="0.25">
      <c r="A1353" s="2" t="s">
        <v>272</v>
      </c>
      <c r="B1353" s="2" t="s">
        <v>21</v>
      </c>
      <c r="C1353" s="2" t="s">
        <v>22</v>
      </c>
      <c r="D1353" s="2" t="s">
        <v>758</v>
      </c>
      <c r="E1353" s="2" t="s">
        <v>763</v>
      </c>
      <c r="F1353" s="2" t="s">
        <v>762</v>
      </c>
      <c r="G1353" s="3">
        <v>46149</v>
      </c>
      <c r="H1353" s="2" t="s">
        <v>753</v>
      </c>
      <c r="I1353" s="2" t="s">
        <v>755</v>
      </c>
      <c r="J1353" s="2" t="s">
        <v>754</v>
      </c>
      <c r="K1353" s="2" t="s">
        <v>753</v>
      </c>
      <c r="L1353" s="6">
        <v>196</v>
      </c>
      <c r="M1353" s="2" t="s">
        <v>752</v>
      </c>
      <c r="N1353" s="7">
        <v>42.6</v>
      </c>
      <c r="O1353" s="4">
        <v>8349.6</v>
      </c>
      <c r="P1353" s="4">
        <v>8349.6</v>
      </c>
      <c r="Q1353" s="6">
        <v>0</v>
      </c>
    </row>
    <row r="1354" spans="1:17" x14ac:dyDescent="0.25">
      <c r="A1354" s="2" t="s">
        <v>272</v>
      </c>
      <c r="B1354" s="2" t="s">
        <v>21</v>
      </c>
      <c r="C1354" s="2" t="s">
        <v>22</v>
      </c>
      <c r="D1354" s="2" t="s">
        <v>758</v>
      </c>
      <c r="E1354" s="2" t="s">
        <v>796</v>
      </c>
      <c r="F1354" s="2" t="s">
        <v>795</v>
      </c>
      <c r="G1354" s="3">
        <v>46149</v>
      </c>
      <c r="H1354" s="2" t="s">
        <v>753</v>
      </c>
      <c r="I1354" s="2" t="s">
        <v>755</v>
      </c>
      <c r="J1354" s="2" t="s">
        <v>754</v>
      </c>
      <c r="K1354" s="2" t="s">
        <v>753</v>
      </c>
      <c r="L1354" s="6">
        <v>0</v>
      </c>
      <c r="M1354" s="2" t="s">
        <v>752</v>
      </c>
      <c r="N1354" s="7">
        <v>35.65</v>
      </c>
      <c r="O1354" s="4">
        <v>0</v>
      </c>
      <c r="P1354" s="4">
        <v>0</v>
      </c>
      <c r="Q1354" s="6">
        <v>0</v>
      </c>
    </row>
    <row r="1355" spans="1:17" x14ac:dyDescent="0.25">
      <c r="A1355" s="2" t="s">
        <v>272</v>
      </c>
      <c r="B1355" s="2" t="s">
        <v>21</v>
      </c>
      <c r="C1355" s="2" t="s">
        <v>22</v>
      </c>
      <c r="D1355" s="2" t="s">
        <v>758</v>
      </c>
      <c r="E1355" s="2" t="s">
        <v>774</v>
      </c>
      <c r="F1355" s="2" t="s">
        <v>773</v>
      </c>
      <c r="G1355" s="3">
        <v>46149</v>
      </c>
      <c r="H1355" s="2" t="s">
        <v>753</v>
      </c>
      <c r="I1355" s="2" t="s">
        <v>755</v>
      </c>
      <c r="J1355" s="2" t="s">
        <v>754</v>
      </c>
      <c r="K1355" s="2" t="s">
        <v>753</v>
      </c>
      <c r="L1355" s="6">
        <v>28</v>
      </c>
      <c r="M1355" s="2" t="s">
        <v>752</v>
      </c>
      <c r="N1355" s="7">
        <v>38.299999999999997</v>
      </c>
      <c r="O1355" s="4">
        <v>1072.4000000000001</v>
      </c>
      <c r="P1355" s="4">
        <v>1072.4000000000001</v>
      </c>
      <c r="Q1355" s="6">
        <v>0</v>
      </c>
    </row>
    <row r="1356" spans="1:17" x14ac:dyDescent="0.25">
      <c r="A1356" s="2" t="s">
        <v>272</v>
      </c>
      <c r="B1356" s="2" t="s">
        <v>21</v>
      </c>
      <c r="C1356" s="2" t="s">
        <v>22</v>
      </c>
      <c r="D1356" s="2" t="s">
        <v>758</v>
      </c>
      <c r="E1356" s="2" t="s">
        <v>794</v>
      </c>
      <c r="F1356" s="2" t="s">
        <v>793</v>
      </c>
      <c r="G1356" s="3">
        <v>46149</v>
      </c>
      <c r="H1356" s="2" t="s">
        <v>753</v>
      </c>
      <c r="I1356" s="2" t="s">
        <v>755</v>
      </c>
      <c r="J1356" s="2" t="s">
        <v>754</v>
      </c>
      <c r="K1356" s="2" t="s">
        <v>753</v>
      </c>
      <c r="L1356" s="6">
        <v>0</v>
      </c>
      <c r="M1356" s="2" t="s">
        <v>752</v>
      </c>
      <c r="N1356" s="7">
        <v>40.619999999999997</v>
      </c>
      <c r="O1356" s="4">
        <v>0</v>
      </c>
      <c r="P1356" s="4">
        <v>0</v>
      </c>
      <c r="Q1356" s="6">
        <v>0</v>
      </c>
    </row>
    <row r="1357" spans="1:17" x14ac:dyDescent="0.25">
      <c r="A1357" s="2" t="s">
        <v>272</v>
      </c>
      <c r="B1357" s="2" t="s">
        <v>21</v>
      </c>
      <c r="C1357" s="2" t="s">
        <v>22</v>
      </c>
      <c r="D1357" s="2" t="s">
        <v>758</v>
      </c>
      <c r="E1357" s="2" t="s">
        <v>792</v>
      </c>
      <c r="F1357" s="2" t="s">
        <v>943</v>
      </c>
      <c r="G1357" s="3">
        <v>46149</v>
      </c>
      <c r="H1357" s="2" t="s">
        <v>753</v>
      </c>
      <c r="I1357" s="2" t="s">
        <v>755</v>
      </c>
      <c r="J1357" s="2" t="s">
        <v>754</v>
      </c>
      <c r="K1357" s="2" t="s">
        <v>753</v>
      </c>
      <c r="L1357" s="6">
        <v>12</v>
      </c>
      <c r="M1357" s="2" t="s">
        <v>752</v>
      </c>
      <c r="N1357" s="7">
        <v>35</v>
      </c>
      <c r="O1357" s="4">
        <v>420</v>
      </c>
      <c r="P1357" s="4">
        <v>420</v>
      </c>
      <c r="Q1357" s="6">
        <v>0</v>
      </c>
    </row>
    <row r="1358" spans="1:17" x14ac:dyDescent="0.25">
      <c r="A1358" s="2" t="s">
        <v>272</v>
      </c>
      <c r="B1358" s="2" t="s">
        <v>21</v>
      </c>
      <c r="C1358" s="2" t="s">
        <v>22</v>
      </c>
      <c r="D1358" s="2" t="s">
        <v>758</v>
      </c>
      <c r="E1358" s="2" t="s">
        <v>790</v>
      </c>
      <c r="F1358" s="2" t="s">
        <v>789</v>
      </c>
      <c r="G1358" s="3">
        <v>46149</v>
      </c>
      <c r="H1358" s="2" t="s">
        <v>753</v>
      </c>
      <c r="I1358" s="2" t="s">
        <v>755</v>
      </c>
      <c r="J1358" s="2" t="s">
        <v>754</v>
      </c>
      <c r="K1358" s="2" t="s">
        <v>753</v>
      </c>
      <c r="L1358" s="6">
        <v>0</v>
      </c>
      <c r="M1358" s="2" t="s">
        <v>752</v>
      </c>
      <c r="N1358" s="7">
        <v>39.25</v>
      </c>
      <c r="O1358" s="4">
        <v>0</v>
      </c>
      <c r="P1358" s="4">
        <v>0</v>
      </c>
      <c r="Q1358" s="6">
        <v>0</v>
      </c>
    </row>
    <row r="1359" spans="1:17" x14ac:dyDescent="0.25">
      <c r="A1359" s="2" t="s">
        <v>272</v>
      </c>
      <c r="B1359" s="2" t="s">
        <v>21</v>
      </c>
      <c r="C1359" s="2" t="s">
        <v>22</v>
      </c>
      <c r="D1359" s="2" t="s">
        <v>758</v>
      </c>
      <c r="E1359" s="2" t="s">
        <v>788</v>
      </c>
      <c r="F1359" s="2" t="s">
        <v>787</v>
      </c>
      <c r="G1359" s="3">
        <v>46149</v>
      </c>
      <c r="H1359" s="2" t="s">
        <v>753</v>
      </c>
      <c r="I1359" s="2" t="s">
        <v>755</v>
      </c>
      <c r="J1359" s="2" t="s">
        <v>754</v>
      </c>
      <c r="K1359" s="2" t="s">
        <v>753</v>
      </c>
      <c r="L1359" s="6">
        <v>24</v>
      </c>
      <c r="M1359" s="2" t="s">
        <v>752</v>
      </c>
      <c r="N1359" s="7">
        <v>38.299999999999997</v>
      </c>
      <c r="O1359" s="4">
        <v>919.2</v>
      </c>
      <c r="P1359" s="4">
        <v>919.2</v>
      </c>
      <c r="Q1359" s="6">
        <v>0</v>
      </c>
    </row>
    <row r="1360" spans="1:17" x14ac:dyDescent="0.25">
      <c r="A1360" s="2" t="s">
        <v>272</v>
      </c>
      <c r="B1360" s="2" t="s">
        <v>21</v>
      </c>
      <c r="C1360" s="2" t="s">
        <v>22</v>
      </c>
      <c r="D1360" s="2" t="s">
        <v>758</v>
      </c>
      <c r="E1360" s="2" t="s">
        <v>772</v>
      </c>
      <c r="F1360" s="2" t="s">
        <v>771</v>
      </c>
      <c r="G1360" s="3">
        <v>46149</v>
      </c>
      <c r="H1360" s="2" t="s">
        <v>753</v>
      </c>
      <c r="I1360" s="2" t="s">
        <v>755</v>
      </c>
      <c r="J1360" s="2" t="s">
        <v>754</v>
      </c>
      <c r="K1360" s="2" t="s">
        <v>753</v>
      </c>
      <c r="L1360" s="6">
        <v>196</v>
      </c>
      <c r="M1360" s="2" t="s">
        <v>752</v>
      </c>
      <c r="N1360" s="7">
        <v>34.5</v>
      </c>
      <c r="O1360" s="4">
        <v>6762</v>
      </c>
      <c r="P1360" s="4">
        <v>6762</v>
      </c>
      <c r="Q1360" s="6">
        <v>0</v>
      </c>
    </row>
    <row r="1361" spans="1:17" x14ac:dyDescent="0.25">
      <c r="A1361" s="2" t="s">
        <v>272</v>
      </c>
      <c r="B1361" s="2" t="s">
        <v>21</v>
      </c>
      <c r="C1361" s="2" t="s">
        <v>22</v>
      </c>
      <c r="D1361" s="2" t="s">
        <v>758</v>
      </c>
      <c r="E1361" s="2" t="s">
        <v>786</v>
      </c>
      <c r="F1361" s="2" t="s">
        <v>785</v>
      </c>
      <c r="G1361" s="3">
        <v>46149</v>
      </c>
      <c r="H1361" s="2" t="s">
        <v>753</v>
      </c>
      <c r="I1361" s="2" t="s">
        <v>755</v>
      </c>
      <c r="J1361" s="2" t="s">
        <v>754</v>
      </c>
      <c r="K1361" s="2" t="s">
        <v>753</v>
      </c>
      <c r="L1361" s="6">
        <v>28</v>
      </c>
      <c r="M1361" s="2" t="s">
        <v>752</v>
      </c>
      <c r="N1361" s="7">
        <v>35</v>
      </c>
      <c r="O1361" s="4">
        <v>980</v>
      </c>
      <c r="P1361" s="4">
        <v>980</v>
      </c>
      <c r="Q1361" s="6">
        <v>0</v>
      </c>
    </row>
    <row r="1362" spans="1:17" x14ac:dyDescent="0.25">
      <c r="A1362" s="2" t="s">
        <v>272</v>
      </c>
      <c r="B1362" s="2" t="s">
        <v>21</v>
      </c>
      <c r="C1362" s="2" t="s">
        <v>22</v>
      </c>
      <c r="D1362" s="2" t="s">
        <v>758</v>
      </c>
      <c r="E1362" s="2" t="s">
        <v>851</v>
      </c>
      <c r="F1362" s="2" t="s">
        <v>850</v>
      </c>
      <c r="G1362" s="3">
        <v>46149</v>
      </c>
      <c r="H1362" s="2" t="s">
        <v>753</v>
      </c>
      <c r="I1362" s="2" t="s">
        <v>755</v>
      </c>
      <c r="J1362" s="2" t="s">
        <v>754</v>
      </c>
      <c r="K1362" s="2" t="s">
        <v>753</v>
      </c>
      <c r="L1362" s="6">
        <v>28</v>
      </c>
      <c r="M1362" s="2" t="s">
        <v>752</v>
      </c>
      <c r="N1362" s="7">
        <v>43.82</v>
      </c>
      <c r="O1362" s="4">
        <v>1226.96</v>
      </c>
      <c r="P1362" s="4">
        <v>1226.96</v>
      </c>
      <c r="Q1362" s="6">
        <v>0</v>
      </c>
    </row>
    <row r="1363" spans="1:17" x14ac:dyDescent="0.25">
      <c r="A1363" s="2" t="s">
        <v>272</v>
      </c>
      <c r="B1363" s="2" t="s">
        <v>21</v>
      </c>
      <c r="C1363" s="2" t="s">
        <v>22</v>
      </c>
      <c r="D1363" s="2" t="s">
        <v>758</v>
      </c>
      <c r="E1363" s="2" t="s">
        <v>784</v>
      </c>
      <c r="F1363" s="2" t="s">
        <v>783</v>
      </c>
      <c r="G1363" s="3">
        <v>46149</v>
      </c>
      <c r="H1363" s="2" t="s">
        <v>753</v>
      </c>
      <c r="I1363" s="2" t="s">
        <v>755</v>
      </c>
      <c r="J1363" s="2" t="s">
        <v>754</v>
      </c>
      <c r="K1363" s="2" t="s">
        <v>753</v>
      </c>
      <c r="L1363" s="6">
        <v>20</v>
      </c>
      <c r="M1363" s="2" t="s">
        <v>752</v>
      </c>
      <c r="N1363" s="7">
        <v>38.07</v>
      </c>
      <c r="O1363" s="4">
        <v>761.4</v>
      </c>
      <c r="P1363" s="4">
        <v>761.4</v>
      </c>
      <c r="Q1363" s="6">
        <v>0</v>
      </c>
    </row>
    <row r="1364" spans="1:17" x14ac:dyDescent="0.25">
      <c r="A1364" s="2" t="s">
        <v>272</v>
      </c>
      <c r="B1364" s="2" t="s">
        <v>21</v>
      </c>
      <c r="C1364" s="2" t="s">
        <v>22</v>
      </c>
      <c r="D1364" s="2" t="s">
        <v>758</v>
      </c>
      <c r="E1364" s="2" t="s">
        <v>782</v>
      </c>
      <c r="F1364" s="2" t="s">
        <v>781</v>
      </c>
      <c r="G1364" s="3">
        <v>46149</v>
      </c>
      <c r="H1364" s="2" t="s">
        <v>753</v>
      </c>
      <c r="I1364" s="2" t="s">
        <v>755</v>
      </c>
      <c r="J1364" s="2" t="s">
        <v>754</v>
      </c>
      <c r="K1364" s="2" t="s">
        <v>753</v>
      </c>
      <c r="L1364" s="6">
        <v>40</v>
      </c>
      <c r="M1364" s="2" t="s">
        <v>752</v>
      </c>
      <c r="N1364" s="7">
        <v>36.18</v>
      </c>
      <c r="O1364" s="4">
        <v>1447.2</v>
      </c>
      <c r="P1364" s="4">
        <v>1447.2</v>
      </c>
      <c r="Q1364" s="6">
        <v>0</v>
      </c>
    </row>
    <row r="1365" spans="1:17" x14ac:dyDescent="0.25">
      <c r="A1365" s="2" t="s">
        <v>272</v>
      </c>
      <c r="B1365" s="2" t="s">
        <v>21</v>
      </c>
      <c r="C1365" s="2" t="s">
        <v>22</v>
      </c>
      <c r="D1365" s="2" t="s">
        <v>758</v>
      </c>
      <c r="E1365" s="2" t="s">
        <v>780</v>
      </c>
      <c r="F1365" s="2" t="s">
        <v>779</v>
      </c>
      <c r="G1365" s="3">
        <v>46149</v>
      </c>
      <c r="H1365" s="2" t="s">
        <v>753</v>
      </c>
      <c r="I1365" s="2" t="s">
        <v>755</v>
      </c>
      <c r="J1365" s="2" t="s">
        <v>754</v>
      </c>
      <c r="K1365" s="2" t="s">
        <v>753</v>
      </c>
      <c r="L1365" s="6">
        <v>8</v>
      </c>
      <c r="M1365" s="2" t="s">
        <v>752</v>
      </c>
      <c r="N1365" s="7">
        <v>36.07</v>
      </c>
      <c r="O1365" s="4">
        <v>288.56</v>
      </c>
      <c r="P1365" s="4">
        <v>288.56</v>
      </c>
      <c r="Q1365" s="6">
        <v>0</v>
      </c>
    </row>
    <row r="1366" spans="1:17" x14ac:dyDescent="0.25">
      <c r="A1366" s="2" t="s">
        <v>272</v>
      </c>
      <c r="B1366" s="2" t="s">
        <v>21</v>
      </c>
      <c r="C1366" s="2" t="s">
        <v>22</v>
      </c>
      <c r="D1366" s="2" t="s">
        <v>758</v>
      </c>
      <c r="E1366" s="2" t="s">
        <v>776</v>
      </c>
      <c r="F1366" s="2" t="s">
        <v>775</v>
      </c>
      <c r="G1366" s="3">
        <v>46149</v>
      </c>
      <c r="H1366" s="2" t="s">
        <v>753</v>
      </c>
      <c r="I1366" s="2" t="s">
        <v>755</v>
      </c>
      <c r="J1366" s="2" t="s">
        <v>754</v>
      </c>
      <c r="K1366" s="2" t="s">
        <v>753</v>
      </c>
      <c r="L1366" s="6">
        <v>112</v>
      </c>
      <c r="M1366" s="2" t="s">
        <v>752</v>
      </c>
      <c r="N1366" s="7">
        <v>43.82</v>
      </c>
      <c r="O1366" s="4">
        <v>4907.84</v>
      </c>
      <c r="P1366" s="4">
        <v>4907.84</v>
      </c>
      <c r="Q1366" s="6">
        <v>0</v>
      </c>
    </row>
    <row r="1367" spans="1:17" x14ac:dyDescent="0.25">
      <c r="A1367" s="2" t="s">
        <v>258</v>
      </c>
      <c r="B1367" s="2" t="s">
        <v>139</v>
      </c>
      <c r="C1367" s="2" t="s">
        <v>140</v>
      </c>
      <c r="D1367" s="2" t="s">
        <v>758</v>
      </c>
      <c r="E1367" s="2" t="s">
        <v>865</v>
      </c>
      <c r="F1367" s="2" t="s">
        <v>864</v>
      </c>
      <c r="G1367" s="3">
        <v>46154</v>
      </c>
      <c r="H1367" s="2" t="s">
        <v>753</v>
      </c>
      <c r="I1367" s="2" t="s">
        <v>755</v>
      </c>
      <c r="J1367" s="2" t="s">
        <v>754</v>
      </c>
      <c r="K1367" s="2" t="s">
        <v>753</v>
      </c>
      <c r="L1367" s="6">
        <v>48</v>
      </c>
      <c r="M1367" s="2" t="s">
        <v>752</v>
      </c>
      <c r="N1367" s="7">
        <v>40.11</v>
      </c>
      <c r="O1367" s="4">
        <v>1925.28</v>
      </c>
      <c r="P1367" s="4">
        <v>1925.28</v>
      </c>
      <c r="Q1367" s="6">
        <v>0</v>
      </c>
    </row>
    <row r="1368" spans="1:17" x14ac:dyDescent="0.25">
      <c r="A1368" s="2" t="s">
        <v>258</v>
      </c>
      <c r="B1368" s="2" t="s">
        <v>139</v>
      </c>
      <c r="C1368" s="2" t="s">
        <v>140</v>
      </c>
      <c r="D1368" s="2" t="s">
        <v>758</v>
      </c>
      <c r="E1368" s="2" t="s">
        <v>922</v>
      </c>
      <c r="F1368" s="2" t="s">
        <v>921</v>
      </c>
      <c r="G1368" s="3">
        <v>46154</v>
      </c>
      <c r="H1368" s="2" t="s">
        <v>753</v>
      </c>
      <c r="I1368" s="2" t="s">
        <v>755</v>
      </c>
      <c r="J1368" s="2" t="s">
        <v>754</v>
      </c>
      <c r="K1368" s="2" t="s">
        <v>753</v>
      </c>
      <c r="L1368" s="6">
        <v>6</v>
      </c>
      <c r="M1368" s="2" t="s">
        <v>752</v>
      </c>
      <c r="N1368" s="7">
        <v>48.57</v>
      </c>
      <c r="O1368" s="4">
        <v>291.42</v>
      </c>
      <c r="P1368" s="4">
        <v>291.42</v>
      </c>
      <c r="Q1368" s="6">
        <v>0</v>
      </c>
    </row>
    <row r="1369" spans="1:17" x14ac:dyDescent="0.25">
      <c r="A1369" s="2" t="s">
        <v>258</v>
      </c>
      <c r="B1369" s="2" t="s">
        <v>139</v>
      </c>
      <c r="C1369" s="2" t="s">
        <v>140</v>
      </c>
      <c r="D1369" s="2" t="s">
        <v>758</v>
      </c>
      <c r="E1369" s="2" t="s">
        <v>827</v>
      </c>
      <c r="F1369" s="2" t="s">
        <v>826</v>
      </c>
      <c r="G1369" s="3">
        <v>46154</v>
      </c>
      <c r="H1369" s="2" t="s">
        <v>753</v>
      </c>
      <c r="I1369" s="2" t="s">
        <v>755</v>
      </c>
      <c r="J1369" s="2" t="s">
        <v>754</v>
      </c>
      <c r="K1369" s="2" t="s">
        <v>753</v>
      </c>
      <c r="L1369" s="6">
        <v>36</v>
      </c>
      <c r="M1369" s="2" t="s">
        <v>752</v>
      </c>
      <c r="N1369" s="7">
        <v>40.85</v>
      </c>
      <c r="O1369" s="4">
        <v>1470.6</v>
      </c>
      <c r="P1369" s="4">
        <v>1470.6</v>
      </c>
      <c r="Q1369" s="6">
        <v>0</v>
      </c>
    </row>
    <row r="1370" spans="1:17" x14ac:dyDescent="0.25">
      <c r="A1370" s="2" t="s">
        <v>258</v>
      </c>
      <c r="B1370" s="2" t="s">
        <v>139</v>
      </c>
      <c r="C1370" s="2" t="s">
        <v>140</v>
      </c>
      <c r="D1370" s="2" t="s">
        <v>758</v>
      </c>
      <c r="E1370" s="2" t="s">
        <v>879</v>
      </c>
      <c r="F1370" s="2" t="s">
        <v>878</v>
      </c>
      <c r="G1370" s="3">
        <v>46154</v>
      </c>
      <c r="H1370" s="2" t="s">
        <v>753</v>
      </c>
      <c r="I1370" s="2" t="s">
        <v>755</v>
      </c>
      <c r="J1370" s="2" t="s">
        <v>754</v>
      </c>
      <c r="K1370" s="2" t="s">
        <v>753</v>
      </c>
      <c r="L1370" s="6">
        <v>128</v>
      </c>
      <c r="M1370" s="2" t="s">
        <v>752</v>
      </c>
      <c r="N1370" s="7">
        <v>40.9</v>
      </c>
      <c r="O1370" s="4">
        <v>5235.2</v>
      </c>
      <c r="P1370" s="4">
        <v>5235.2</v>
      </c>
      <c r="Q1370" s="6">
        <v>0</v>
      </c>
    </row>
    <row r="1371" spans="1:17" x14ac:dyDescent="0.25">
      <c r="A1371" s="2" t="s">
        <v>258</v>
      </c>
      <c r="B1371" s="2" t="s">
        <v>139</v>
      </c>
      <c r="C1371" s="2" t="s">
        <v>140</v>
      </c>
      <c r="D1371" s="2" t="s">
        <v>758</v>
      </c>
      <c r="E1371" s="2" t="s">
        <v>847</v>
      </c>
      <c r="F1371" s="2" t="s">
        <v>846</v>
      </c>
      <c r="G1371" s="3">
        <v>46154</v>
      </c>
      <c r="H1371" s="2" t="s">
        <v>753</v>
      </c>
      <c r="I1371" s="2" t="s">
        <v>755</v>
      </c>
      <c r="J1371" s="2" t="s">
        <v>754</v>
      </c>
      <c r="K1371" s="2" t="s">
        <v>753</v>
      </c>
      <c r="L1371" s="6">
        <v>64</v>
      </c>
      <c r="M1371" s="2" t="s">
        <v>752</v>
      </c>
      <c r="N1371" s="7">
        <v>38.08</v>
      </c>
      <c r="O1371" s="4">
        <v>2437.12</v>
      </c>
      <c r="P1371" s="4">
        <v>2437.12</v>
      </c>
      <c r="Q1371" s="6">
        <v>0</v>
      </c>
    </row>
    <row r="1372" spans="1:17" x14ac:dyDescent="0.25">
      <c r="A1372" s="2" t="s">
        <v>258</v>
      </c>
      <c r="B1372" s="2" t="s">
        <v>139</v>
      </c>
      <c r="C1372" s="2" t="s">
        <v>140</v>
      </c>
      <c r="D1372" s="2" t="s">
        <v>758</v>
      </c>
      <c r="E1372" s="2" t="s">
        <v>819</v>
      </c>
      <c r="F1372" s="2" t="s">
        <v>818</v>
      </c>
      <c r="G1372" s="3">
        <v>46154</v>
      </c>
      <c r="H1372" s="2" t="s">
        <v>753</v>
      </c>
      <c r="I1372" s="2" t="s">
        <v>755</v>
      </c>
      <c r="J1372" s="2" t="s">
        <v>754</v>
      </c>
      <c r="K1372" s="2" t="s">
        <v>753</v>
      </c>
      <c r="L1372" s="6">
        <v>64</v>
      </c>
      <c r="M1372" s="2" t="s">
        <v>752</v>
      </c>
      <c r="N1372" s="7">
        <v>40.22</v>
      </c>
      <c r="O1372" s="4">
        <v>2574.08</v>
      </c>
      <c r="P1372" s="4">
        <v>2574.08</v>
      </c>
      <c r="Q1372" s="6">
        <v>0</v>
      </c>
    </row>
    <row r="1373" spans="1:17" x14ac:dyDescent="0.25">
      <c r="A1373" s="2" t="s">
        <v>262</v>
      </c>
      <c r="B1373" s="2" t="s">
        <v>195</v>
      </c>
      <c r="C1373" s="2" t="s">
        <v>196</v>
      </c>
      <c r="D1373" s="2" t="s">
        <v>758</v>
      </c>
      <c r="E1373" s="2" t="s">
        <v>942</v>
      </c>
      <c r="F1373" s="2" t="s">
        <v>941</v>
      </c>
      <c r="G1373" s="3">
        <v>46153</v>
      </c>
      <c r="H1373" s="2" t="s">
        <v>753</v>
      </c>
      <c r="I1373" s="2" t="s">
        <v>755</v>
      </c>
      <c r="J1373" s="2" t="s">
        <v>754</v>
      </c>
      <c r="K1373" s="2" t="s">
        <v>753</v>
      </c>
      <c r="L1373" s="6">
        <v>24</v>
      </c>
      <c r="M1373" s="2" t="s">
        <v>752</v>
      </c>
      <c r="N1373" s="7">
        <v>46.38</v>
      </c>
      <c r="O1373" s="4">
        <v>1113.1199999999999</v>
      </c>
      <c r="P1373" s="4">
        <v>1113.1199999999999</v>
      </c>
      <c r="Q1373" s="6">
        <v>0</v>
      </c>
    </row>
    <row r="1374" spans="1:17" x14ac:dyDescent="0.25">
      <c r="A1374" s="2" t="s">
        <v>262</v>
      </c>
      <c r="B1374" s="2" t="s">
        <v>195</v>
      </c>
      <c r="C1374" s="2" t="s">
        <v>196</v>
      </c>
      <c r="D1374" s="2" t="s">
        <v>758</v>
      </c>
      <c r="E1374" s="2" t="s">
        <v>869</v>
      </c>
      <c r="F1374" s="2" t="s">
        <v>868</v>
      </c>
      <c r="G1374" s="3">
        <v>46153</v>
      </c>
      <c r="H1374" s="2" t="s">
        <v>753</v>
      </c>
      <c r="I1374" s="2" t="s">
        <v>755</v>
      </c>
      <c r="J1374" s="2" t="s">
        <v>754</v>
      </c>
      <c r="K1374" s="2" t="s">
        <v>753</v>
      </c>
      <c r="L1374" s="6">
        <v>320</v>
      </c>
      <c r="M1374" s="2" t="s">
        <v>752</v>
      </c>
      <c r="N1374" s="7">
        <v>51.38</v>
      </c>
      <c r="O1374" s="4">
        <v>16441.599999999999</v>
      </c>
      <c r="P1374" s="4">
        <v>16441.599999999999</v>
      </c>
      <c r="Q1374" s="6">
        <v>0</v>
      </c>
    </row>
    <row r="1375" spans="1:17" x14ac:dyDescent="0.25">
      <c r="A1375" s="2" t="s">
        <v>262</v>
      </c>
      <c r="B1375" s="2" t="s">
        <v>195</v>
      </c>
      <c r="C1375" s="2" t="s">
        <v>196</v>
      </c>
      <c r="D1375" s="2" t="s">
        <v>758</v>
      </c>
      <c r="E1375" s="2" t="s">
        <v>831</v>
      </c>
      <c r="F1375" s="2" t="s">
        <v>830</v>
      </c>
      <c r="G1375" s="3">
        <v>46153</v>
      </c>
      <c r="H1375" s="2" t="s">
        <v>753</v>
      </c>
      <c r="I1375" s="2" t="s">
        <v>755</v>
      </c>
      <c r="J1375" s="2" t="s">
        <v>754</v>
      </c>
      <c r="K1375" s="2" t="s">
        <v>753</v>
      </c>
      <c r="L1375" s="6">
        <v>84</v>
      </c>
      <c r="M1375" s="2" t="s">
        <v>752</v>
      </c>
      <c r="N1375" s="7">
        <v>54.38</v>
      </c>
      <c r="O1375" s="4">
        <v>4567.92</v>
      </c>
      <c r="P1375" s="4">
        <v>4567.92</v>
      </c>
      <c r="Q1375" s="6">
        <v>0</v>
      </c>
    </row>
    <row r="1376" spans="1:17" x14ac:dyDescent="0.25">
      <c r="A1376" s="2" t="s">
        <v>262</v>
      </c>
      <c r="B1376" s="2" t="s">
        <v>195</v>
      </c>
      <c r="C1376" s="2" t="s">
        <v>196</v>
      </c>
      <c r="D1376" s="2" t="s">
        <v>758</v>
      </c>
      <c r="E1376" s="2" t="s">
        <v>829</v>
      </c>
      <c r="F1376" s="2" t="s">
        <v>828</v>
      </c>
      <c r="G1376" s="3">
        <v>46153</v>
      </c>
      <c r="H1376" s="2" t="s">
        <v>753</v>
      </c>
      <c r="I1376" s="2" t="s">
        <v>755</v>
      </c>
      <c r="J1376" s="2" t="s">
        <v>754</v>
      </c>
      <c r="K1376" s="2" t="s">
        <v>753</v>
      </c>
      <c r="L1376" s="6">
        <v>21</v>
      </c>
      <c r="M1376" s="2" t="s">
        <v>752</v>
      </c>
      <c r="N1376" s="7">
        <v>28.5</v>
      </c>
      <c r="O1376" s="4">
        <v>598.5</v>
      </c>
      <c r="P1376" s="4">
        <v>598.5</v>
      </c>
      <c r="Q1376" s="6">
        <v>0</v>
      </c>
    </row>
    <row r="1377" spans="1:17" x14ac:dyDescent="0.25">
      <c r="A1377" s="2" t="s">
        <v>276</v>
      </c>
      <c r="B1377" s="2" t="s">
        <v>45</v>
      </c>
      <c r="C1377" s="2" t="s">
        <v>46</v>
      </c>
      <c r="D1377" s="2" t="s">
        <v>758</v>
      </c>
      <c r="E1377" s="2" t="s">
        <v>786</v>
      </c>
      <c r="F1377" s="2" t="s">
        <v>785</v>
      </c>
      <c r="G1377" s="3">
        <v>46148</v>
      </c>
      <c r="H1377" s="2" t="s">
        <v>753</v>
      </c>
      <c r="I1377" s="2" t="s">
        <v>755</v>
      </c>
      <c r="J1377" s="2" t="s">
        <v>754</v>
      </c>
      <c r="K1377" s="2" t="s">
        <v>753</v>
      </c>
      <c r="L1377" s="6">
        <v>84</v>
      </c>
      <c r="M1377" s="2" t="s">
        <v>752</v>
      </c>
      <c r="N1377" s="7">
        <v>35</v>
      </c>
      <c r="O1377" s="4">
        <v>2940</v>
      </c>
      <c r="P1377" s="4">
        <v>2940</v>
      </c>
      <c r="Q1377" s="6">
        <v>0</v>
      </c>
    </row>
    <row r="1378" spans="1:17" x14ac:dyDescent="0.25">
      <c r="A1378" s="2" t="s">
        <v>276</v>
      </c>
      <c r="B1378" s="2" t="s">
        <v>45</v>
      </c>
      <c r="C1378" s="2" t="s">
        <v>46</v>
      </c>
      <c r="D1378" s="2" t="s">
        <v>758</v>
      </c>
      <c r="E1378" s="2" t="s">
        <v>772</v>
      </c>
      <c r="F1378" s="2" t="s">
        <v>771</v>
      </c>
      <c r="G1378" s="3">
        <v>46148</v>
      </c>
      <c r="H1378" s="2" t="s">
        <v>753</v>
      </c>
      <c r="I1378" s="2" t="s">
        <v>755</v>
      </c>
      <c r="J1378" s="2" t="s">
        <v>754</v>
      </c>
      <c r="K1378" s="2" t="s">
        <v>753</v>
      </c>
      <c r="L1378" s="6">
        <v>280</v>
      </c>
      <c r="M1378" s="2" t="s">
        <v>752</v>
      </c>
      <c r="N1378" s="7">
        <v>34.5</v>
      </c>
      <c r="O1378" s="4">
        <v>9660</v>
      </c>
      <c r="P1378" s="4">
        <v>9660</v>
      </c>
      <c r="Q1378" s="6">
        <v>0</v>
      </c>
    </row>
    <row r="1379" spans="1:17" x14ac:dyDescent="0.25">
      <c r="A1379" s="2" t="s">
        <v>276</v>
      </c>
      <c r="B1379" s="2" t="s">
        <v>45</v>
      </c>
      <c r="C1379" s="2" t="s">
        <v>46</v>
      </c>
      <c r="D1379" s="2" t="s">
        <v>758</v>
      </c>
      <c r="E1379" s="2" t="s">
        <v>763</v>
      </c>
      <c r="F1379" s="2" t="s">
        <v>762</v>
      </c>
      <c r="G1379" s="3">
        <v>46148</v>
      </c>
      <c r="H1379" s="2" t="s">
        <v>753</v>
      </c>
      <c r="I1379" s="2" t="s">
        <v>755</v>
      </c>
      <c r="J1379" s="2" t="s">
        <v>754</v>
      </c>
      <c r="K1379" s="2" t="s">
        <v>753</v>
      </c>
      <c r="L1379" s="6">
        <v>280</v>
      </c>
      <c r="M1379" s="2" t="s">
        <v>752</v>
      </c>
      <c r="N1379" s="7">
        <v>42.6</v>
      </c>
      <c r="O1379" s="4">
        <v>11928</v>
      </c>
      <c r="P1379" s="4">
        <v>11928</v>
      </c>
      <c r="Q1379" s="6">
        <v>0</v>
      </c>
    </row>
    <row r="1380" spans="1:17" x14ac:dyDescent="0.25">
      <c r="A1380" s="2" t="s">
        <v>276</v>
      </c>
      <c r="B1380" s="2" t="s">
        <v>45</v>
      </c>
      <c r="C1380" s="2" t="s">
        <v>46</v>
      </c>
      <c r="D1380" s="2" t="s">
        <v>758</v>
      </c>
      <c r="E1380" s="2" t="s">
        <v>827</v>
      </c>
      <c r="F1380" s="2" t="s">
        <v>826</v>
      </c>
      <c r="G1380" s="3">
        <v>46148</v>
      </c>
      <c r="H1380" s="2" t="s">
        <v>753</v>
      </c>
      <c r="I1380" s="2" t="s">
        <v>755</v>
      </c>
      <c r="J1380" s="2" t="s">
        <v>754</v>
      </c>
      <c r="K1380" s="2" t="s">
        <v>753</v>
      </c>
      <c r="L1380" s="6">
        <v>84</v>
      </c>
      <c r="M1380" s="2" t="s">
        <v>752</v>
      </c>
      <c r="N1380" s="7">
        <v>44</v>
      </c>
      <c r="O1380" s="4">
        <v>3696</v>
      </c>
      <c r="P1380" s="4">
        <v>3696</v>
      </c>
      <c r="Q1380" s="6">
        <v>0</v>
      </c>
    </row>
    <row r="1381" spans="1:17" x14ac:dyDescent="0.25">
      <c r="A1381" s="2" t="s">
        <v>284</v>
      </c>
      <c r="B1381" s="2" t="s">
        <v>135</v>
      </c>
      <c r="C1381" s="2" t="s">
        <v>136</v>
      </c>
      <c r="D1381" s="2" t="s">
        <v>758</v>
      </c>
      <c r="E1381" s="2" t="s">
        <v>763</v>
      </c>
      <c r="F1381" s="2" t="s">
        <v>762</v>
      </c>
      <c r="G1381" s="3">
        <v>46147</v>
      </c>
      <c r="H1381" s="2" t="s">
        <v>753</v>
      </c>
      <c r="I1381" s="2" t="s">
        <v>755</v>
      </c>
      <c r="J1381" s="2" t="s">
        <v>754</v>
      </c>
      <c r="K1381" s="2" t="s">
        <v>753</v>
      </c>
      <c r="L1381" s="6">
        <v>324</v>
      </c>
      <c r="M1381" s="2" t="s">
        <v>752</v>
      </c>
      <c r="N1381" s="7">
        <v>42</v>
      </c>
      <c r="O1381" s="4">
        <v>13608</v>
      </c>
      <c r="P1381" s="4">
        <v>13608</v>
      </c>
      <c r="Q1381" s="6">
        <v>0</v>
      </c>
    </row>
    <row r="1382" spans="1:17" x14ac:dyDescent="0.25">
      <c r="A1382" s="2" t="s">
        <v>284</v>
      </c>
      <c r="B1382" s="2" t="s">
        <v>135</v>
      </c>
      <c r="C1382" s="2" t="s">
        <v>136</v>
      </c>
      <c r="D1382" s="2" t="s">
        <v>758</v>
      </c>
      <c r="E1382" s="2" t="s">
        <v>788</v>
      </c>
      <c r="F1382" s="2" t="s">
        <v>787</v>
      </c>
      <c r="G1382" s="3">
        <v>46147</v>
      </c>
      <c r="H1382" s="2" t="s">
        <v>753</v>
      </c>
      <c r="I1382" s="2" t="s">
        <v>755</v>
      </c>
      <c r="J1382" s="2" t="s">
        <v>754</v>
      </c>
      <c r="K1382" s="2" t="s">
        <v>753</v>
      </c>
      <c r="L1382" s="6">
        <v>140</v>
      </c>
      <c r="M1382" s="2" t="s">
        <v>752</v>
      </c>
      <c r="N1382" s="7">
        <v>38.299999999999997</v>
      </c>
      <c r="O1382" s="4">
        <v>5362</v>
      </c>
      <c r="P1382" s="4">
        <v>5362</v>
      </c>
      <c r="Q1382" s="6">
        <v>0</v>
      </c>
    </row>
    <row r="1383" spans="1:17" x14ac:dyDescent="0.25">
      <c r="A1383" s="2" t="s">
        <v>284</v>
      </c>
      <c r="B1383" s="2" t="s">
        <v>135</v>
      </c>
      <c r="C1383" s="2" t="s">
        <v>136</v>
      </c>
      <c r="D1383" s="2" t="s">
        <v>758</v>
      </c>
      <c r="E1383" s="2" t="s">
        <v>894</v>
      </c>
      <c r="F1383" s="2" t="s">
        <v>893</v>
      </c>
      <c r="G1383" s="3">
        <v>46147</v>
      </c>
      <c r="H1383" s="2" t="s">
        <v>753</v>
      </c>
      <c r="I1383" s="2" t="s">
        <v>755</v>
      </c>
      <c r="J1383" s="2" t="s">
        <v>754</v>
      </c>
      <c r="K1383" s="2" t="s">
        <v>753</v>
      </c>
      <c r="L1383" s="6">
        <v>36</v>
      </c>
      <c r="M1383" s="2" t="s">
        <v>752</v>
      </c>
      <c r="N1383" s="7">
        <v>33.25</v>
      </c>
      <c r="O1383" s="4">
        <v>1197</v>
      </c>
      <c r="P1383" s="4">
        <v>1197</v>
      </c>
      <c r="Q1383" s="6">
        <v>0</v>
      </c>
    </row>
    <row r="1384" spans="1:17" x14ac:dyDescent="0.25">
      <c r="A1384" s="2" t="s">
        <v>284</v>
      </c>
      <c r="B1384" s="2" t="s">
        <v>135</v>
      </c>
      <c r="C1384" s="2" t="s">
        <v>136</v>
      </c>
      <c r="D1384" s="2" t="s">
        <v>758</v>
      </c>
      <c r="E1384" s="2" t="s">
        <v>925</v>
      </c>
      <c r="F1384" s="2" t="s">
        <v>924</v>
      </c>
      <c r="G1384" s="3">
        <v>46147</v>
      </c>
      <c r="H1384" s="2" t="s">
        <v>753</v>
      </c>
      <c r="I1384" s="2" t="s">
        <v>755</v>
      </c>
      <c r="J1384" s="2" t="s">
        <v>754</v>
      </c>
      <c r="K1384" s="2" t="s">
        <v>753</v>
      </c>
      <c r="L1384" s="6">
        <v>48</v>
      </c>
      <c r="M1384" s="2" t="s">
        <v>752</v>
      </c>
      <c r="N1384" s="7">
        <v>35.75</v>
      </c>
      <c r="O1384" s="4">
        <v>1716</v>
      </c>
      <c r="P1384" s="4">
        <v>1716</v>
      </c>
      <c r="Q1384" s="6">
        <v>0</v>
      </c>
    </row>
    <row r="1385" spans="1:17" x14ac:dyDescent="0.25">
      <c r="A1385" s="2" t="s">
        <v>284</v>
      </c>
      <c r="B1385" s="2" t="s">
        <v>135</v>
      </c>
      <c r="C1385" s="2" t="s">
        <v>136</v>
      </c>
      <c r="D1385" s="2" t="s">
        <v>758</v>
      </c>
      <c r="E1385" s="2" t="s">
        <v>940</v>
      </c>
      <c r="F1385" s="2" t="s">
        <v>939</v>
      </c>
      <c r="G1385" s="3">
        <v>46147</v>
      </c>
      <c r="H1385" s="2" t="s">
        <v>753</v>
      </c>
      <c r="I1385" s="2" t="s">
        <v>755</v>
      </c>
      <c r="J1385" s="2" t="s">
        <v>754</v>
      </c>
      <c r="K1385" s="2" t="s">
        <v>753</v>
      </c>
      <c r="L1385" s="6">
        <v>48</v>
      </c>
      <c r="M1385" s="2" t="s">
        <v>752</v>
      </c>
      <c r="N1385" s="7">
        <v>56</v>
      </c>
      <c r="O1385" s="4">
        <v>2688</v>
      </c>
      <c r="P1385" s="4">
        <v>2688</v>
      </c>
      <c r="Q1385" s="6">
        <v>0</v>
      </c>
    </row>
    <row r="1386" spans="1:17" x14ac:dyDescent="0.25">
      <c r="A1386" s="2" t="s">
        <v>284</v>
      </c>
      <c r="B1386" s="2" t="s">
        <v>135</v>
      </c>
      <c r="C1386" s="2" t="s">
        <v>136</v>
      </c>
      <c r="D1386" s="2" t="s">
        <v>758</v>
      </c>
      <c r="E1386" s="2" t="s">
        <v>890</v>
      </c>
      <c r="F1386" s="2" t="s">
        <v>889</v>
      </c>
      <c r="G1386" s="3">
        <v>46147</v>
      </c>
      <c r="H1386" s="2" t="s">
        <v>753</v>
      </c>
      <c r="I1386" s="2" t="s">
        <v>755</v>
      </c>
      <c r="J1386" s="2" t="s">
        <v>754</v>
      </c>
      <c r="K1386" s="2" t="s">
        <v>753</v>
      </c>
      <c r="L1386" s="6">
        <v>2</v>
      </c>
      <c r="M1386" s="2" t="s">
        <v>752</v>
      </c>
      <c r="N1386" s="7">
        <v>46</v>
      </c>
      <c r="O1386" s="4">
        <v>92</v>
      </c>
      <c r="P1386" s="4">
        <v>92</v>
      </c>
      <c r="Q1386" s="6">
        <v>0</v>
      </c>
    </row>
    <row r="1387" spans="1:17" x14ac:dyDescent="0.25">
      <c r="A1387" s="2" t="s">
        <v>270</v>
      </c>
      <c r="B1387" s="2" t="s">
        <v>29</v>
      </c>
      <c r="C1387" s="2" t="s">
        <v>30</v>
      </c>
      <c r="D1387" s="2" t="s">
        <v>758</v>
      </c>
      <c r="E1387" s="2" t="s">
        <v>817</v>
      </c>
      <c r="F1387" s="2" t="s">
        <v>937</v>
      </c>
      <c r="G1387" s="3">
        <v>46149</v>
      </c>
      <c r="H1387" s="2" t="s">
        <v>753</v>
      </c>
      <c r="I1387" s="2" t="s">
        <v>755</v>
      </c>
      <c r="J1387" s="2" t="s">
        <v>754</v>
      </c>
      <c r="K1387" s="2" t="s">
        <v>753</v>
      </c>
      <c r="L1387" s="6">
        <v>28</v>
      </c>
      <c r="M1387" s="2" t="s">
        <v>752</v>
      </c>
      <c r="N1387" s="7">
        <v>31.42</v>
      </c>
      <c r="O1387" s="4">
        <v>879.76</v>
      </c>
      <c r="P1387" s="4">
        <v>879.76</v>
      </c>
      <c r="Q1387" s="6">
        <v>0</v>
      </c>
    </row>
    <row r="1388" spans="1:17" x14ac:dyDescent="0.25">
      <c r="A1388" s="2" t="s">
        <v>270</v>
      </c>
      <c r="B1388" s="2" t="s">
        <v>29</v>
      </c>
      <c r="C1388" s="2" t="s">
        <v>30</v>
      </c>
      <c r="D1388" s="2" t="s">
        <v>758</v>
      </c>
      <c r="E1388" s="2" t="s">
        <v>815</v>
      </c>
      <c r="F1388" s="2" t="s">
        <v>814</v>
      </c>
      <c r="G1388" s="3">
        <v>46149</v>
      </c>
      <c r="H1388" s="2" t="s">
        <v>753</v>
      </c>
      <c r="I1388" s="2" t="s">
        <v>755</v>
      </c>
      <c r="J1388" s="2" t="s">
        <v>754</v>
      </c>
      <c r="K1388" s="2" t="s">
        <v>753</v>
      </c>
      <c r="L1388" s="6">
        <v>112</v>
      </c>
      <c r="M1388" s="2" t="s">
        <v>752</v>
      </c>
      <c r="N1388" s="7">
        <v>34</v>
      </c>
      <c r="O1388" s="4">
        <v>3808</v>
      </c>
      <c r="P1388" s="4">
        <v>3808</v>
      </c>
      <c r="Q1388" s="6">
        <v>0</v>
      </c>
    </row>
    <row r="1389" spans="1:17" x14ac:dyDescent="0.25">
      <c r="A1389" s="2" t="s">
        <v>270</v>
      </c>
      <c r="B1389" s="2" t="s">
        <v>29</v>
      </c>
      <c r="C1389" s="2" t="s">
        <v>30</v>
      </c>
      <c r="D1389" s="2" t="s">
        <v>758</v>
      </c>
      <c r="E1389" s="2" t="s">
        <v>813</v>
      </c>
      <c r="F1389" s="2" t="s">
        <v>812</v>
      </c>
      <c r="G1389" s="3">
        <v>46149</v>
      </c>
      <c r="H1389" s="2" t="s">
        <v>753</v>
      </c>
      <c r="I1389" s="2" t="s">
        <v>755</v>
      </c>
      <c r="J1389" s="2" t="s">
        <v>754</v>
      </c>
      <c r="K1389" s="2" t="s">
        <v>753</v>
      </c>
      <c r="L1389" s="6">
        <v>12</v>
      </c>
      <c r="M1389" s="2" t="s">
        <v>752</v>
      </c>
      <c r="N1389" s="7">
        <v>43.26</v>
      </c>
      <c r="O1389" s="4">
        <v>519.12</v>
      </c>
      <c r="P1389" s="4">
        <v>519.12</v>
      </c>
      <c r="Q1389" s="6">
        <v>0</v>
      </c>
    </row>
    <row r="1390" spans="1:17" x14ac:dyDescent="0.25">
      <c r="A1390" s="2" t="s">
        <v>270</v>
      </c>
      <c r="B1390" s="2" t="s">
        <v>29</v>
      </c>
      <c r="C1390" s="2" t="s">
        <v>30</v>
      </c>
      <c r="D1390" s="2" t="s">
        <v>758</v>
      </c>
      <c r="E1390" s="2" t="s">
        <v>811</v>
      </c>
      <c r="F1390" s="2" t="s">
        <v>810</v>
      </c>
      <c r="G1390" s="3">
        <v>46149</v>
      </c>
      <c r="H1390" s="2" t="s">
        <v>753</v>
      </c>
      <c r="I1390" s="2" t="s">
        <v>755</v>
      </c>
      <c r="J1390" s="2" t="s">
        <v>754</v>
      </c>
      <c r="K1390" s="2" t="s">
        <v>753</v>
      </c>
      <c r="L1390" s="6">
        <v>20</v>
      </c>
      <c r="M1390" s="2" t="s">
        <v>752</v>
      </c>
      <c r="N1390" s="7">
        <v>43.26</v>
      </c>
      <c r="O1390" s="4">
        <v>865.2</v>
      </c>
      <c r="P1390" s="4">
        <v>865.2</v>
      </c>
      <c r="Q1390" s="6">
        <v>0</v>
      </c>
    </row>
    <row r="1391" spans="1:17" x14ac:dyDescent="0.25">
      <c r="A1391" s="2" t="s">
        <v>270</v>
      </c>
      <c r="B1391" s="2" t="s">
        <v>29</v>
      </c>
      <c r="C1391" s="2" t="s">
        <v>30</v>
      </c>
      <c r="D1391" s="2" t="s">
        <v>758</v>
      </c>
      <c r="E1391" s="2" t="s">
        <v>763</v>
      </c>
      <c r="F1391" s="2" t="s">
        <v>762</v>
      </c>
      <c r="G1391" s="3">
        <v>46149</v>
      </c>
      <c r="H1391" s="2" t="s">
        <v>753</v>
      </c>
      <c r="I1391" s="2" t="s">
        <v>755</v>
      </c>
      <c r="J1391" s="2" t="s">
        <v>754</v>
      </c>
      <c r="K1391" s="2" t="s">
        <v>753</v>
      </c>
      <c r="L1391" s="6">
        <v>56</v>
      </c>
      <c r="M1391" s="2" t="s">
        <v>752</v>
      </c>
      <c r="N1391" s="7">
        <v>43.36</v>
      </c>
      <c r="O1391" s="4">
        <v>2428.16</v>
      </c>
      <c r="P1391" s="4">
        <v>2428.16</v>
      </c>
      <c r="Q1391" s="6">
        <v>0</v>
      </c>
    </row>
    <row r="1392" spans="1:17" x14ac:dyDescent="0.25">
      <c r="A1392" s="2" t="s">
        <v>270</v>
      </c>
      <c r="B1392" s="2" t="s">
        <v>29</v>
      </c>
      <c r="C1392" s="2" t="s">
        <v>30</v>
      </c>
      <c r="D1392" s="2" t="s">
        <v>758</v>
      </c>
      <c r="E1392" s="2" t="s">
        <v>776</v>
      </c>
      <c r="F1392" s="2" t="s">
        <v>775</v>
      </c>
      <c r="G1392" s="3">
        <v>46149</v>
      </c>
      <c r="H1392" s="2" t="s">
        <v>753</v>
      </c>
      <c r="I1392" s="2" t="s">
        <v>755</v>
      </c>
      <c r="J1392" s="2" t="s">
        <v>754</v>
      </c>
      <c r="K1392" s="2" t="s">
        <v>753</v>
      </c>
      <c r="L1392" s="6">
        <v>20</v>
      </c>
      <c r="M1392" s="2" t="s">
        <v>752</v>
      </c>
      <c r="N1392" s="7">
        <v>41.2</v>
      </c>
      <c r="O1392" s="4">
        <v>824</v>
      </c>
      <c r="P1392" s="4">
        <v>824</v>
      </c>
      <c r="Q1392" s="6">
        <v>0</v>
      </c>
    </row>
    <row r="1393" spans="1:17" x14ac:dyDescent="0.25">
      <c r="A1393" s="2" t="s">
        <v>270</v>
      </c>
      <c r="B1393" s="2" t="s">
        <v>29</v>
      </c>
      <c r="C1393" s="2" t="s">
        <v>30</v>
      </c>
      <c r="D1393" s="2" t="s">
        <v>758</v>
      </c>
      <c r="E1393" s="2" t="s">
        <v>807</v>
      </c>
      <c r="F1393" s="2" t="s">
        <v>806</v>
      </c>
      <c r="G1393" s="3">
        <v>46149</v>
      </c>
      <c r="H1393" s="2" t="s">
        <v>753</v>
      </c>
      <c r="I1393" s="2" t="s">
        <v>755</v>
      </c>
      <c r="J1393" s="2" t="s">
        <v>754</v>
      </c>
      <c r="K1393" s="2" t="s">
        <v>753</v>
      </c>
      <c r="L1393" s="6">
        <v>12</v>
      </c>
      <c r="M1393" s="2" t="s">
        <v>752</v>
      </c>
      <c r="N1393" s="7">
        <v>42.02</v>
      </c>
      <c r="O1393" s="4">
        <v>504.24</v>
      </c>
      <c r="P1393" s="4">
        <v>504.24</v>
      </c>
      <c r="Q1393" s="6">
        <v>0</v>
      </c>
    </row>
    <row r="1394" spans="1:17" x14ac:dyDescent="0.25">
      <c r="A1394" s="2" t="s">
        <v>270</v>
      </c>
      <c r="B1394" s="2" t="s">
        <v>29</v>
      </c>
      <c r="C1394" s="2" t="s">
        <v>30</v>
      </c>
      <c r="D1394" s="2" t="s">
        <v>758</v>
      </c>
      <c r="E1394" s="2" t="s">
        <v>805</v>
      </c>
      <c r="F1394" s="2" t="s">
        <v>804</v>
      </c>
      <c r="G1394" s="3">
        <v>46149</v>
      </c>
      <c r="H1394" s="2" t="s">
        <v>753</v>
      </c>
      <c r="I1394" s="2" t="s">
        <v>755</v>
      </c>
      <c r="J1394" s="2" t="s">
        <v>754</v>
      </c>
      <c r="K1394" s="2" t="s">
        <v>753</v>
      </c>
      <c r="L1394" s="6">
        <v>40</v>
      </c>
      <c r="M1394" s="2" t="s">
        <v>752</v>
      </c>
      <c r="N1394" s="7">
        <v>41</v>
      </c>
      <c r="O1394" s="4">
        <v>1640</v>
      </c>
      <c r="P1394" s="4">
        <v>1640</v>
      </c>
      <c r="Q1394" s="6">
        <v>0</v>
      </c>
    </row>
    <row r="1395" spans="1:17" x14ac:dyDescent="0.25">
      <c r="A1395" s="2" t="s">
        <v>250</v>
      </c>
      <c r="B1395" s="2" t="s">
        <v>81</v>
      </c>
      <c r="C1395" s="2" t="s">
        <v>82</v>
      </c>
      <c r="D1395" s="2" t="s">
        <v>758</v>
      </c>
      <c r="E1395" s="2" t="s">
        <v>763</v>
      </c>
      <c r="F1395" s="2" t="s">
        <v>762</v>
      </c>
      <c r="G1395" s="3">
        <v>46156</v>
      </c>
      <c r="H1395" s="2" t="s">
        <v>753</v>
      </c>
      <c r="I1395" s="2" t="s">
        <v>755</v>
      </c>
      <c r="J1395" s="2" t="s">
        <v>754</v>
      </c>
      <c r="K1395" s="2" t="s">
        <v>753</v>
      </c>
      <c r="L1395" s="6">
        <v>392</v>
      </c>
      <c r="M1395" s="2" t="s">
        <v>752</v>
      </c>
      <c r="N1395" s="7">
        <v>46</v>
      </c>
      <c r="O1395" s="4">
        <v>18032</v>
      </c>
      <c r="P1395" s="4">
        <v>18032</v>
      </c>
      <c r="Q1395" s="6">
        <v>0</v>
      </c>
    </row>
    <row r="1396" spans="1:17" x14ac:dyDescent="0.25">
      <c r="A1396" s="2" t="s">
        <v>250</v>
      </c>
      <c r="B1396" s="2" t="s">
        <v>81</v>
      </c>
      <c r="C1396" s="2" t="s">
        <v>82</v>
      </c>
      <c r="D1396" s="2" t="s">
        <v>758</v>
      </c>
      <c r="E1396" s="2" t="s">
        <v>766</v>
      </c>
      <c r="F1396" s="2" t="s">
        <v>765</v>
      </c>
      <c r="G1396" s="3">
        <v>46156</v>
      </c>
      <c r="H1396" s="2" t="s">
        <v>753</v>
      </c>
      <c r="I1396" s="2" t="s">
        <v>755</v>
      </c>
      <c r="J1396" s="2" t="s">
        <v>754</v>
      </c>
      <c r="K1396" s="2" t="s">
        <v>753</v>
      </c>
      <c r="L1396" s="6">
        <v>49</v>
      </c>
      <c r="M1396" s="2" t="s">
        <v>752</v>
      </c>
      <c r="N1396" s="7">
        <v>40</v>
      </c>
      <c r="O1396" s="4">
        <v>1960</v>
      </c>
      <c r="P1396" s="4">
        <v>1960</v>
      </c>
      <c r="Q1396" s="6">
        <v>0</v>
      </c>
    </row>
    <row r="1397" spans="1:17" x14ac:dyDescent="0.25">
      <c r="A1397" s="2" t="s">
        <v>250</v>
      </c>
      <c r="B1397" s="2" t="s">
        <v>81</v>
      </c>
      <c r="C1397" s="2" t="s">
        <v>82</v>
      </c>
      <c r="D1397" s="2" t="s">
        <v>758</v>
      </c>
      <c r="E1397" s="2" t="s">
        <v>920</v>
      </c>
      <c r="F1397" s="2" t="s">
        <v>919</v>
      </c>
      <c r="G1397" s="3">
        <v>46156</v>
      </c>
      <c r="H1397" s="2" t="s">
        <v>753</v>
      </c>
      <c r="I1397" s="2" t="s">
        <v>755</v>
      </c>
      <c r="J1397" s="2" t="s">
        <v>754</v>
      </c>
      <c r="K1397" s="2" t="s">
        <v>753</v>
      </c>
      <c r="L1397" s="6">
        <v>138</v>
      </c>
      <c r="M1397" s="2" t="s">
        <v>752</v>
      </c>
      <c r="N1397" s="7">
        <v>35</v>
      </c>
      <c r="O1397" s="4">
        <v>4830</v>
      </c>
      <c r="P1397" s="4">
        <v>4830</v>
      </c>
      <c r="Q1397" s="6">
        <v>0</v>
      </c>
    </row>
    <row r="1398" spans="1:17" x14ac:dyDescent="0.25">
      <c r="A1398" s="2" t="s">
        <v>256</v>
      </c>
      <c r="B1398" s="2" t="s">
        <v>91</v>
      </c>
      <c r="C1398" s="2" t="s">
        <v>92</v>
      </c>
      <c r="D1398" s="2" t="s">
        <v>758</v>
      </c>
      <c r="E1398" s="2" t="s">
        <v>871</v>
      </c>
      <c r="F1398" s="2" t="s">
        <v>870</v>
      </c>
      <c r="G1398" s="3">
        <v>46154</v>
      </c>
      <c r="H1398" s="2" t="s">
        <v>753</v>
      </c>
      <c r="I1398" s="2" t="s">
        <v>755</v>
      </c>
      <c r="J1398" s="2" t="s">
        <v>754</v>
      </c>
      <c r="K1398" s="2" t="s">
        <v>753</v>
      </c>
      <c r="L1398" s="6">
        <v>30</v>
      </c>
      <c r="M1398" s="2" t="s">
        <v>752</v>
      </c>
      <c r="N1398" s="7">
        <v>41.7</v>
      </c>
      <c r="O1398" s="4">
        <v>1251</v>
      </c>
      <c r="P1398" s="4">
        <v>1251</v>
      </c>
      <c r="Q1398" s="6">
        <v>0</v>
      </c>
    </row>
    <row r="1399" spans="1:17" x14ac:dyDescent="0.25">
      <c r="A1399" s="2" t="s">
        <v>256</v>
      </c>
      <c r="B1399" s="2" t="s">
        <v>91</v>
      </c>
      <c r="C1399" s="2" t="s">
        <v>92</v>
      </c>
      <c r="D1399" s="2" t="s">
        <v>758</v>
      </c>
      <c r="E1399" s="2" t="s">
        <v>896</v>
      </c>
      <c r="F1399" s="2" t="s">
        <v>895</v>
      </c>
      <c r="G1399" s="3">
        <v>46154</v>
      </c>
      <c r="H1399" s="2" t="s">
        <v>753</v>
      </c>
      <c r="I1399" s="2" t="s">
        <v>755</v>
      </c>
      <c r="J1399" s="2" t="s">
        <v>754</v>
      </c>
      <c r="K1399" s="2" t="s">
        <v>753</v>
      </c>
      <c r="L1399" s="6">
        <v>30</v>
      </c>
      <c r="M1399" s="2" t="s">
        <v>752</v>
      </c>
      <c r="N1399" s="7">
        <v>41.49</v>
      </c>
      <c r="O1399" s="4">
        <v>1244.7</v>
      </c>
      <c r="P1399" s="4">
        <v>1244.7</v>
      </c>
      <c r="Q1399" s="6">
        <v>0</v>
      </c>
    </row>
    <row r="1400" spans="1:17" x14ac:dyDescent="0.25">
      <c r="A1400" s="2" t="s">
        <v>256</v>
      </c>
      <c r="B1400" s="2" t="s">
        <v>91</v>
      </c>
      <c r="C1400" s="2" t="s">
        <v>92</v>
      </c>
      <c r="D1400" s="2" t="s">
        <v>758</v>
      </c>
      <c r="E1400" s="2" t="s">
        <v>869</v>
      </c>
      <c r="F1400" s="2" t="s">
        <v>868</v>
      </c>
      <c r="G1400" s="3">
        <v>46154</v>
      </c>
      <c r="H1400" s="2" t="s">
        <v>753</v>
      </c>
      <c r="I1400" s="2" t="s">
        <v>755</v>
      </c>
      <c r="J1400" s="2" t="s">
        <v>754</v>
      </c>
      <c r="K1400" s="2" t="s">
        <v>753</v>
      </c>
      <c r="L1400" s="6">
        <v>108</v>
      </c>
      <c r="M1400" s="2" t="s">
        <v>752</v>
      </c>
      <c r="N1400" s="7">
        <v>48.49</v>
      </c>
      <c r="O1400" s="4">
        <v>5236.92</v>
      </c>
      <c r="P1400" s="4">
        <v>5236.92</v>
      </c>
      <c r="Q1400" s="6">
        <v>0</v>
      </c>
    </row>
    <row r="1401" spans="1:17" x14ac:dyDescent="0.25">
      <c r="A1401" s="2" t="s">
        <v>256</v>
      </c>
      <c r="B1401" s="2" t="s">
        <v>91</v>
      </c>
      <c r="C1401" s="2" t="s">
        <v>92</v>
      </c>
      <c r="D1401" s="2" t="s">
        <v>758</v>
      </c>
      <c r="E1401" s="2" t="s">
        <v>867</v>
      </c>
      <c r="F1401" s="2" t="s">
        <v>866</v>
      </c>
      <c r="G1401" s="3">
        <v>46154</v>
      </c>
      <c r="H1401" s="2" t="s">
        <v>753</v>
      </c>
      <c r="I1401" s="2" t="s">
        <v>755</v>
      </c>
      <c r="J1401" s="2" t="s">
        <v>754</v>
      </c>
      <c r="K1401" s="2" t="s">
        <v>753</v>
      </c>
      <c r="L1401" s="6">
        <v>16</v>
      </c>
      <c r="M1401" s="2" t="s">
        <v>752</v>
      </c>
      <c r="N1401" s="7">
        <v>36.299999999999997</v>
      </c>
      <c r="O1401" s="4">
        <v>580.79999999999995</v>
      </c>
      <c r="P1401" s="4">
        <v>580.79999999999995</v>
      </c>
      <c r="Q1401" s="6">
        <v>0</v>
      </c>
    </row>
    <row r="1402" spans="1:17" x14ac:dyDescent="0.25">
      <c r="A1402" s="2" t="s">
        <v>256</v>
      </c>
      <c r="B1402" s="2" t="s">
        <v>91</v>
      </c>
      <c r="C1402" s="2" t="s">
        <v>92</v>
      </c>
      <c r="D1402" s="2" t="s">
        <v>758</v>
      </c>
      <c r="E1402" s="2" t="s">
        <v>763</v>
      </c>
      <c r="F1402" s="2" t="s">
        <v>762</v>
      </c>
      <c r="G1402" s="3">
        <v>46154</v>
      </c>
      <c r="H1402" s="2" t="s">
        <v>753</v>
      </c>
      <c r="I1402" s="2" t="s">
        <v>755</v>
      </c>
      <c r="J1402" s="2" t="s">
        <v>754</v>
      </c>
      <c r="K1402" s="2" t="s">
        <v>753</v>
      </c>
      <c r="L1402" s="6">
        <v>32</v>
      </c>
      <c r="M1402" s="2" t="s">
        <v>752</v>
      </c>
      <c r="N1402" s="7">
        <v>36.82</v>
      </c>
      <c r="O1402" s="4">
        <v>1178.24</v>
      </c>
      <c r="P1402" s="4">
        <v>1178.24</v>
      </c>
      <c r="Q1402" s="6">
        <v>0</v>
      </c>
    </row>
    <row r="1403" spans="1:17" x14ac:dyDescent="0.25">
      <c r="A1403" s="2" t="s">
        <v>256</v>
      </c>
      <c r="B1403" s="2" t="s">
        <v>91</v>
      </c>
      <c r="C1403" s="2" t="s">
        <v>92</v>
      </c>
      <c r="D1403" s="2" t="s">
        <v>758</v>
      </c>
      <c r="E1403" s="2" t="s">
        <v>861</v>
      </c>
      <c r="F1403" s="2" t="s">
        <v>860</v>
      </c>
      <c r="G1403" s="3">
        <v>46154</v>
      </c>
      <c r="H1403" s="2" t="s">
        <v>753</v>
      </c>
      <c r="I1403" s="2" t="s">
        <v>755</v>
      </c>
      <c r="J1403" s="2" t="s">
        <v>754</v>
      </c>
      <c r="K1403" s="2" t="s">
        <v>753</v>
      </c>
      <c r="L1403" s="6">
        <v>24</v>
      </c>
      <c r="M1403" s="2" t="s">
        <v>752</v>
      </c>
      <c r="N1403" s="7">
        <v>39.700000000000003</v>
      </c>
      <c r="O1403" s="4">
        <v>952.8</v>
      </c>
      <c r="P1403" s="4">
        <v>952.8</v>
      </c>
      <c r="Q1403" s="6">
        <v>0</v>
      </c>
    </row>
    <row r="1404" spans="1:17" x14ac:dyDescent="0.25">
      <c r="A1404" s="2" t="s">
        <v>256</v>
      </c>
      <c r="B1404" s="2" t="s">
        <v>91</v>
      </c>
      <c r="C1404" s="2" t="s">
        <v>92</v>
      </c>
      <c r="D1404" s="2" t="s">
        <v>758</v>
      </c>
      <c r="E1404" s="2" t="s">
        <v>757</v>
      </c>
      <c r="F1404" s="2" t="s">
        <v>756</v>
      </c>
      <c r="G1404" s="3">
        <v>46154</v>
      </c>
      <c r="H1404" s="2" t="s">
        <v>753</v>
      </c>
      <c r="I1404" s="2" t="s">
        <v>755</v>
      </c>
      <c r="J1404" s="2" t="s">
        <v>754</v>
      </c>
      <c r="K1404" s="2" t="s">
        <v>753</v>
      </c>
      <c r="L1404" s="6">
        <v>48</v>
      </c>
      <c r="M1404" s="2" t="s">
        <v>752</v>
      </c>
      <c r="N1404" s="7">
        <v>39.700000000000003</v>
      </c>
      <c r="O1404" s="4">
        <v>1905.6</v>
      </c>
      <c r="P1404" s="4">
        <v>1905.6</v>
      </c>
      <c r="Q1404" s="6">
        <v>0</v>
      </c>
    </row>
    <row r="1405" spans="1:17" x14ac:dyDescent="0.25">
      <c r="A1405" s="2" t="s">
        <v>310</v>
      </c>
      <c r="B1405" s="2" t="s">
        <v>81</v>
      </c>
      <c r="C1405" s="2" t="s">
        <v>82</v>
      </c>
      <c r="D1405" s="2" t="s">
        <v>758</v>
      </c>
      <c r="E1405" s="2" t="s">
        <v>807</v>
      </c>
      <c r="F1405" s="2" t="s">
        <v>806</v>
      </c>
      <c r="G1405" s="3">
        <v>46140</v>
      </c>
      <c r="H1405" s="2" t="s">
        <v>753</v>
      </c>
      <c r="I1405" s="2" t="s">
        <v>755</v>
      </c>
      <c r="J1405" s="2" t="s">
        <v>754</v>
      </c>
      <c r="K1405" s="2" t="s">
        <v>753</v>
      </c>
      <c r="L1405" s="6">
        <v>48</v>
      </c>
      <c r="M1405" s="2" t="s">
        <v>752</v>
      </c>
      <c r="N1405" s="7">
        <v>42</v>
      </c>
      <c r="O1405" s="4">
        <v>2016</v>
      </c>
      <c r="P1405" s="4">
        <v>2016</v>
      </c>
      <c r="Q1405" s="6">
        <v>0</v>
      </c>
    </row>
    <row r="1406" spans="1:17" x14ac:dyDescent="0.25">
      <c r="A1406" s="2" t="s">
        <v>938</v>
      </c>
      <c r="B1406" s="2" t="s">
        <v>760</v>
      </c>
      <c r="C1406" s="2" t="s">
        <v>759</v>
      </c>
      <c r="D1406" s="2" t="s">
        <v>758</v>
      </c>
      <c r="E1406" s="2" t="s">
        <v>881</v>
      </c>
      <c r="F1406" s="2" t="s">
        <v>880</v>
      </c>
      <c r="G1406" s="3">
        <v>46143</v>
      </c>
      <c r="H1406" s="2" t="s">
        <v>753</v>
      </c>
      <c r="I1406" s="2" t="s">
        <v>755</v>
      </c>
      <c r="J1406" s="2" t="s">
        <v>754</v>
      </c>
      <c r="K1406" s="2" t="s">
        <v>753</v>
      </c>
      <c r="L1406" s="6">
        <v>18</v>
      </c>
      <c r="M1406" s="2" t="s">
        <v>752</v>
      </c>
      <c r="N1406" s="7">
        <v>0</v>
      </c>
      <c r="O1406" s="4">
        <v>0</v>
      </c>
      <c r="P1406" s="4">
        <v>0</v>
      </c>
      <c r="Q1406" s="6">
        <v>0</v>
      </c>
    </row>
    <row r="1407" spans="1:17" x14ac:dyDescent="0.25">
      <c r="A1407" s="2" t="s">
        <v>938</v>
      </c>
      <c r="B1407" s="2" t="s">
        <v>760</v>
      </c>
      <c r="C1407" s="2" t="s">
        <v>759</v>
      </c>
      <c r="D1407" s="2" t="s">
        <v>758</v>
      </c>
      <c r="E1407" s="2" t="s">
        <v>875</v>
      </c>
      <c r="F1407" s="2" t="s">
        <v>874</v>
      </c>
      <c r="G1407" s="3">
        <v>46143</v>
      </c>
      <c r="H1407" s="2" t="s">
        <v>753</v>
      </c>
      <c r="I1407" s="2" t="s">
        <v>755</v>
      </c>
      <c r="J1407" s="2" t="s">
        <v>754</v>
      </c>
      <c r="K1407" s="2" t="s">
        <v>753</v>
      </c>
      <c r="L1407" s="6">
        <v>1</v>
      </c>
      <c r="M1407" s="2" t="s">
        <v>752</v>
      </c>
      <c r="N1407" s="7">
        <v>0</v>
      </c>
      <c r="O1407" s="4">
        <v>0</v>
      </c>
      <c r="P1407" s="4">
        <v>0</v>
      </c>
      <c r="Q1407" s="6">
        <v>0</v>
      </c>
    </row>
    <row r="1408" spans="1:17" x14ac:dyDescent="0.25">
      <c r="A1408" s="2" t="s">
        <v>938</v>
      </c>
      <c r="B1408" s="2" t="s">
        <v>760</v>
      </c>
      <c r="C1408" s="2" t="s">
        <v>759</v>
      </c>
      <c r="D1408" s="2" t="s">
        <v>758</v>
      </c>
      <c r="E1408" s="2" t="s">
        <v>839</v>
      </c>
      <c r="F1408" s="2" t="s">
        <v>838</v>
      </c>
      <c r="G1408" s="3">
        <v>46143</v>
      </c>
      <c r="H1408" s="2" t="s">
        <v>753</v>
      </c>
      <c r="I1408" s="2" t="s">
        <v>755</v>
      </c>
      <c r="J1408" s="2" t="s">
        <v>754</v>
      </c>
      <c r="K1408" s="2" t="s">
        <v>753</v>
      </c>
      <c r="L1408" s="6">
        <v>1</v>
      </c>
      <c r="M1408" s="2" t="s">
        <v>752</v>
      </c>
      <c r="N1408" s="7">
        <v>0</v>
      </c>
      <c r="O1408" s="4">
        <v>0</v>
      </c>
      <c r="P1408" s="4">
        <v>0</v>
      </c>
      <c r="Q1408" s="6">
        <v>0</v>
      </c>
    </row>
    <row r="1409" spans="1:17" x14ac:dyDescent="0.25">
      <c r="A1409" s="2" t="s">
        <v>240</v>
      </c>
      <c r="B1409" s="2" t="s">
        <v>87</v>
      </c>
      <c r="C1409" s="2" t="s">
        <v>88</v>
      </c>
      <c r="D1409" s="2" t="s">
        <v>758</v>
      </c>
      <c r="E1409" s="2" t="s">
        <v>845</v>
      </c>
      <c r="F1409" s="2" t="s">
        <v>844</v>
      </c>
      <c r="G1409" s="3">
        <v>46161</v>
      </c>
      <c r="H1409" s="2" t="s">
        <v>753</v>
      </c>
      <c r="I1409" s="2" t="s">
        <v>755</v>
      </c>
      <c r="J1409" s="2" t="s">
        <v>754</v>
      </c>
      <c r="K1409" s="2" t="s">
        <v>753</v>
      </c>
      <c r="L1409" s="6">
        <v>68</v>
      </c>
      <c r="M1409" s="2" t="s">
        <v>752</v>
      </c>
      <c r="N1409" s="7">
        <v>40.119999999999997</v>
      </c>
      <c r="O1409" s="4">
        <v>2728.16</v>
      </c>
      <c r="P1409" s="4">
        <v>2728.16</v>
      </c>
      <c r="Q1409" s="6">
        <v>0</v>
      </c>
    </row>
    <row r="1410" spans="1:17" x14ac:dyDescent="0.25">
      <c r="A1410" s="2" t="s">
        <v>240</v>
      </c>
      <c r="B1410" s="2" t="s">
        <v>87</v>
      </c>
      <c r="C1410" s="2" t="s">
        <v>88</v>
      </c>
      <c r="D1410" s="2" t="s">
        <v>758</v>
      </c>
      <c r="E1410" s="2" t="s">
        <v>910</v>
      </c>
      <c r="F1410" s="2" t="s">
        <v>909</v>
      </c>
      <c r="G1410" s="3">
        <v>46161</v>
      </c>
      <c r="H1410" s="2" t="s">
        <v>753</v>
      </c>
      <c r="I1410" s="2" t="s">
        <v>755</v>
      </c>
      <c r="J1410" s="2" t="s">
        <v>754</v>
      </c>
      <c r="K1410" s="2" t="s">
        <v>753</v>
      </c>
      <c r="L1410" s="6">
        <v>8</v>
      </c>
      <c r="M1410" s="2" t="s">
        <v>752</v>
      </c>
      <c r="N1410" s="7">
        <v>42.03</v>
      </c>
      <c r="O1410" s="4">
        <v>336.24</v>
      </c>
      <c r="P1410" s="4">
        <v>336.24</v>
      </c>
      <c r="Q1410" s="6">
        <v>0</v>
      </c>
    </row>
    <row r="1411" spans="1:17" x14ac:dyDescent="0.25">
      <c r="A1411" s="2" t="s">
        <v>240</v>
      </c>
      <c r="B1411" s="2" t="s">
        <v>87</v>
      </c>
      <c r="C1411" s="2" t="s">
        <v>88</v>
      </c>
      <c r="D1411" s="2" t="s">
        <v>758</v>
      </c>
      <c r="E1411" s="2" t="s">
        <v>908</v>
      </c>
      <c r="F1411" s="2" t="s">
        <v>907</v>
      </c>
      <c r="G1411" s="3">
        <v>46161</v>
      </c>
      <c r="H1411" s="2" t="s">
        <v>753</v>
      </c>
      <c r="I1411" s="2" t="s">
        <v>755</v>
      </c>
      <c r="J1411" s="2" t="s">
        <v>754</v>
      </c>
      <c r="K1411" s="2" t="s">
        <v>753</v>
      </c>
      <c r="L1411" s="6">
        <v>176</v>
      </c>
      <c r="M1411" s="2" t="s">
        <v>752</v>
      </c>
      <c r="N1411" s="7">
        <v>39</v>
      </c>
      <c r="O1411" s="4">
        <v>6864</v>
      </c>
      <c r="P1411" s="4">
        <v>6864</v>
      </c>
      <c r="Q1411" s="6">
        <v>0</v>
      </c>
    </row>
    <row r="1412" spans="1:17" x14ac:dyDescent="0.25">
      <c r="A1412" s="2" t="s">
        <v>240</v>
      </c>
      <c r="B1412" s="2" t="s">
        <v>87</v>
      </c>
      <c r="C1412" s="2" t="s">
        <v>88</v>
      </c>
      <c r="D1412" s="2" t="s">
        <v>758</v>
      </c>
      <c r="E1412" s="2" t="s">
        <v>815</v>
      </c>
      <c r="F1412" s="2" t="s">
        <v>814</v>
      </c>
      <c r="G1412" s="3">
        <v>46161</v>
      </c>
      <c r="H1412" s="2" t="s">
        <v>753</v>
      </c>
      <c r="I1412" s="2" t="s">
        <v>755</v>
      </c>
      <c r="J1412" s="2" t="s">
        <v>754</v>
      </c>
      <c r="K1412" s="2" t="s">
        <v>753</v>
      </c>
      <c r="L1412" s="6">
        <v>60</v>
      </c>
      <c r="M1412" s="2" t="s">
        <v>752</v>
      </c>
      <c r="N1412" s="7">
        <v>36.24</v>
      </c>
      <c r="O1412" s="4">
        <v>2174.4</v>
      </c>
      <c r="P1412" s="4">
        <v>2174.4</v>
      </c>
      <c r="Q1412" s="6">
        <v>0</v>
      </c>
    </row>
    <row r="1413" spans="1:17" x14ac:dyDescent="0.25">
      <c r="A1413" s="2" t="s">
        <v>240</v>
      </c>
      <c r="B1413" s="2" t="s">
        <v>87</v>
      </c>
      <c r="C1413" s="2" t="s">
        <v>88</v>
      </c>
      <c r="D1413" s="2" t="s">
        <v>758</v>
      </c>
      <c r="E1413" s="2" t="s">
        <v>757</v>
      </c>
      <c r="F1413" s="2" t="s">
        <v>756</v>
      </c>
      <c r="G1413" s="3">
        <v>46161</v>
      </c>
      <c r="H1413" s="2" t="s">
        <v>753</v>
      </c>
      <c r="I1413" s="2" t="s">
        <v>755</v>
      </c>
      <c r="J1413" s="2" t="s">
        <v>754</v>
      </c>
      <c r="K1413" s="2" t="s">
        <v>753</v>
      </c>
      <c r="L1413" s="6">
        <v>56</v>
      </c>
      <c r="M1413" s="2" t="s">
        <v>752</v>
      </c>
      <c r="N1413" s="7">
        <v>41.5</v>
      </c>
      <c r="O1413" s="4">
        <v>2324</v>
      </c>
      <c r="P1413" s="4">
        <v>2324</v>
      </c>
      <c r="Q1413" s="6">
        <v>0</v>
      </c>
    </row>
    <row r="1414" spans="1:17" x14ac:dyDescent="0.25">
      <c r="A1414" s="2" t="s">
        <v>240</v>
      </c>
      <c r="B1414" s="2" t="s">
        <v>87</v>
      </c>
      <c r="C1414" s="2" t="s">
        <v>88</v>
      </c>
      <c r="D1414" s="2" t="s">
        <v>758</v>
      </c>
      <c r="E1414" s="2" t="s">
        <v>906</v>
      </c>
      <c r="F1414" s="2" t="s">
        <v>905</v>
      </c>
      <c r="G1414" s="3">
        <v>46161</v>
      </c>
      <c r="H1414" s="2" t="s">
        <v>753</v>
      </c>
      <c r="I1414" s="2" t="s">
        <v>755</v>
      </c>
      <c r="J1414" s="2" t="s">
        <v>754</v>
      </c>
      <c r="K1414" s="2" t="s">
        <v>753</v>
      </c>
      <c r="L1414" s="6">
        <v>28</v>
      </c>
      <c r="M1414" s="2" t="s">
        <v>752</v>
      </c>
      <c r="N1414" s="7">
        <v>35.21</v>
      </c>
      <c r="O1414" s="4">
        <v>985.88</v>
      </c>
      <c r="P1414" s="4">
        <v>985.88</v>
      </c>
      <c r="Q1414" s="6">
        <v>0</v>
      </c>
    </row>
    <row r="1415" spans="1:17" x14ac:dyDescent="0.25">
      <c r="A1415" s="2" t="s">
        <v>240</v>
      </c>
      <c r="B1415" s="2" t="s">
        <v>87</v>
      </c>
      <c r="C1415" s="2" t="s">
        <v>88</v>
      </c>
      <c r="D1415" s="2" t="s">
        <v>758</v>
      </c>
      <c r="E1415" s="2" t="s">
        <v>763</v>
      </c>
      <c r="F1415" s="2" t="s">
        <v>762</v>
      </c>
      <c r="G1415" s="3">
        <v>46161</v>
      </c>
      <c r="H1415" s="2" t="s">
        <v>753</v>
      </c>
      <c r="I1415" s="2" t="s">
        <v>755</v>
      </c>
      <c r="J1415" s="2" t="s">
        <v>754</v>
      </c>
      <c r="K1415" s="2" t="s">
        <v>753</v>
      </c>
      <c r="L1415" s="6">
        <v>186</v>
      </c>
      <c r="M1415" s="2" t="s">
        <v>752</v>
      </c>
      <c r="N1415" s="7">
        <v>45.49</v>
      </c>
      <c r="O1415" s="4">
        <v>8461.14</v>
      </c>
      <c r="P1415" s="4">
        <v>8461.14</v>
      </c>
      <c r="Q1415" s="6">
        <v>0</v>
      </c>
    </row>
    <row r="1416" spans="1:17" x14ac:dyDescent="0.25">
      <c r="A1416" s="2" t="s">
        <v>240</v>
      </c>
      <c r="B1416" s="2" t="s">
        <v>87</v>
      </c>
      <c r="C1416" s="2" t="s">
        <v>88</v>
      </c>
      <c r="D1416" s="2" t="s">
        <v>758</v>
      </c>
      <c r="E1416" s="2" t="s">
        <v>774</v>
      </c>
      <c r="F1416" s="2" t="s">
        <v>773</v>
      </c>
      <c r="G1416" s="3">
        <v>46161</v>
      </c>
      <c r="H1416" s="2" t="s">
        <v>753</v>
      </c>
      <c r="I1416" s="2" t="s">
        <v>755</v>
      </c>
      <c r="J1416" s="2" t="s">
        <v>754</v>
      </c>
      <c r="K1416" s="2" t="s">
        <v>753</v>
      </c>
      <c r="L1416" s="6">
        <v>16</v>
      </c>
      <c r="M1416" s="2" t="s">
        <v>752</v>
      </c>
      <c r="N1416" s="7">
        <v>37.020000000000003</v>
      </c>
      <c r="O1416" s="4">
        <v>592.32000000000005</v>
      </c>
      <c r="P1416" s="4">
        <v>592.32000000000005</v>
      </c>
      <c r="Q1416" s="6">
        <v>0</v>
      </c>
    </row>
    <row r="1417" spans="1:17" x14ac:dyDescent="0.25">
      <c r="A1417" s="2" t="s">
        <v>240</v>
      </c>
      <c r="B1417" s="2" t="s">
        <v>87</v>
      </c>
      <c r="C1417" s="2" t="s">
        <v>88</v>
      </c>
      <c r="D1417" s="2" t="s">
        <v>758</v>
      </c>
      <c r="E1417" s="2" t="s">
        <v>863</v>
      </c>
      <c r="F1417" s="2" t="s">
        <v>862</v>
      </c>
      <c r="G1417" s="3">
        <v>46161</v>
      </c>
      <c r="H1417" s="2" t="s">
        <v>753</v>
      </c>
      <c r="I1417" s="2" t="s">
        <v>755</v>
      </c>
      <c r="J1417" s="2" t="s">
        <v>754</v>
      </c>
      <c r="K1417" s="2" t="s">
        <v>753</v>
      </c>
      <c r="L1417" s="6">
        <v>4</v>
      </c>
      <c r="M1417" s="2" t="s">
        <v>752</v>
      </c>
      <c r="N1417" s="7">
        <v>52.47</v>
      </c>
      <c r="O1417" s="4">
        <v>209.88</v>
      </c>
      <c r="P1417" s="4">
        <v>209.88</v>
      </c>
      <c r="Q1417" s="6">
        <v>0</v>
      </c>
    </row>
    <row r="1418" spans="1:17" x14ac:dyDescent="0.25">
      <c r="A1418" s="2" t="s">
        <v>240</v>
      </c>
      <c r="B1418" s="2" t="s">
        <v>87</v>
      </c>
      <c r="C1418" s="2" t="s">
        <v>88</v>
      </c>
      <c r="D1418" s="2" t="s">
        <v>758</v>
      </c>
      <c r="E1418" s="2" t="s">
        <v>813</v>
      </c>
      <c r="F1418" s="2" t="s">
        <v>812</v>
      </c>
      <c r="G1418" s="3">
        <v>46161</v>
      </c>
      <c r="H1418" s="2" t="s">
        <v>753</v>
      </c>
      <c r="I1418" s="2" t="s">
        <v>755</v>
      </c>
      <c r="J1418" s="2" t="s">
        <v>754</v>
      </c>
      <c r="K1418" s="2" t="s">
        <v>753</v>
      </c>
      <c r="L1418" s="6">
        <v>16</v>
      </c>
      <c r="M1418" s="2" t="s">
        <v>752</v>
      </c>
      <c r="N1418" s="7">
        <v>54</v>
      </c>
      <c r="O1418" s="4">
        <v>864</v>
      </c>
      <c r="P1418" s="4">
        <v>864</v>
      </c>
      <c r="Q1418" s="6">
        <v>0</v>
      </c>
    </row>
    <row r="1419" spans="1:17" x14ac:dyDescent="0.25">
      <c r="A1419" s="2" t="s">
        <v>240</v>
      </c>
      <c r="B1419" s="2" t="s">
        <v>87</v>
      </c>
      <c r="C1419" s="2" t="s">
        <v>88</v>
      </c>
      <c r="D1419" s="2" t="s">
        <v>758</v>
      </c>
      <c r="E1419" s="2" t="s">
        <v>776</v>
      </c>
      <c r="F1419" s="2" t="s">
        <v>775</v>
      </c>
      <c r="G1419" s="3">
        <v>46161</v>
      </c>
      <c r="H1419" s="2" t="s">
        <v>753</v>
      </c>
      <c r="I1419" s="2" t="s">
        <v>755</v>
      </c>
      <c r="J1419" s="2" t="s">
        <v>754</v>
      </c>
      <c r="K1419" s="2" t="s">
        <v>753</v>
      </c>
      <c r="L1419" s="6">
        <v>16</v>
      </c>
      <c r="M1419" s="2" t="s">
        <v>752</v>
      </c>
      <c r="N1419" s="7">
        <v>43.2</v>
      </c>
      <c r="O1419" s="4">
        <v>691.2</v>
      </c>
      <c r="P1419" s="4">
        <v>691.2</v>
      </c>
      <c r="Q1419" s="6">
        <v>0</v>
      </c>
    </row>
    <row r="1420" spans="1:17" x14ac:dyDescent="0.25">
      <c r="A1420" s="2" t="s">
        <v>240</v>
      </c>
      <c r="B1420" s="2" t="s">
        <v>87</v>
      </c>
      <c r="C1420" s="2" t="s">
        <v>88</v>
      </c>
      <c r="D1420" s="2" t="s">
        <v>758</v>
      </c>
      <c r="E1420" s="2" t="s">
        <v>807</v>
      </c>
      <c r="F1420" s="2" t="s">
        <v>806</v>
      </c>
      <c r="G1420" s="3">
        <v>46161</v>
      </c>
      <c r="H1420" s="2" t="s">
        <v>753</v>
      </c>
      <c r="I1420" s="2" t="s">
        <v>755</v>
      </c>
      <c r="J1420" s="2" t="s">
        <v>754</v>
      </c>
      <c r="K1420" s="2" t="s">
        <v>753</v>
      </c>
      <c r="L1420" s="6">
        <v>28</v>
      </c>
      <c r="M1420" s="2" t="s">
        <v>752</v>
      </c>
      <c r="N1420" s="7">
        <v>44.15</v>
      </c>
      <c r="O1420" s="4">
        <v>1236.2</v>
      </c>
      <c r="P1420" s="4">
        <v>1236.2</v>
      </c>
      <c r="Q1420" s="6">
        <v>0</v>
      </c>
    </row>
    <row r="1421" spans="1:17" x14ac:dyDescent="0.25">
      <c r="A1421" s="2" t="s">
        <v>240</v>
      </c>
      <c r="B1421" s="2" t="s">
        <v>87</v>
      </c>
      <c r="C1421" s="2" t="s">
        <v>88</v>
      </c>
      <c r="D1421" s="2" t="s">
        <v>758</v>
      </c>
      <c r="E1421" s="2" t="s">
        <v>904</v>
      </c>
      <c r="F1421" s="2" t="s">
        <v>903</v>
      </c>
      <c r="G1421" s="3">
        <v>46161</v>
      </c>
      <c r="H1421" s="2" t="s">
        <v>753</v>
      </c>
      <c r="I1421" s="2" t="s">
        <v>755</v>
      </c>
      <c r="J1421" s="2" t="s">
        <v>754</v>
      </c>
      <c r="K1421" s="2" t="s">
        <v>753</v>
      </c>
      <c r="L1421" s="6">
        <v>12</v>
      </c>
      <c r="M1421" s="2" t="s">
        <v>752</v>
      </c>
      <c r="N1421" s="7">
        <v>40.22</v>
      </c>
      <c r="O1421" s="4">
        <v>482.64</v>
      </c>
      <c r="P1421" s="4">
        <v>482.64</v>
      </c>
      <c r="Q1421" s="6">
        <v>0</v>
      </c>
    </row>
    <row r="1422" spans="1:17" x14ac:dyDescent="0.25">
      <c r="A1422" s="2" t="s">
        <v>240</v>
      </c>
      <c r="B1422" s="2" t="s">
        <v>87</v>
      </c>
      <c r="C1422" s="2" t="s">
        <v>88</v>
      </c>
      <c r="D1422" s="2" t="s">
        <v>758</v>
      </c>
      <c r="E1422" s="2" t="s">
        <v>855</v>
      </c>
      <c r="F1422" s="2" t="s">
        <v>854</v>
      </c>
      <c r="G1422" s="3">
        <v>46161</v>
      </c>
      <c r="H1422" s="2" t="s">
        <v>753</v>
      </c>
      <c r="I1422" s="2" t="s">
        <v>755</v>
      </c>
      <c r="J1422" s="2" t="s">
        <v>754</v>
      </c>
      <c r="K1422" s="2" t="s">
        <v>753</v>
      </c>
      <c r="L1422" s="6">
        <v>56</v>
      </c>
      <c r="M1422" s="2" t="s">
        <v>752</v>
      </c>
      <c r="N1422" s="7">
        <v>42.37</v>
      </c>
      <c r="O1422" s="4">
        <v>2372.7199999999998</v>
      </c>
      <c r="P1422" s="4">
        <v>2372.7199999999998</v>
      </c>
      <c r="Q1422" s="6">
        <v>0</v>
      </c>
    </row>
    <row r="1423" spans="1:17" x14ac:dyDescent="0.25">
      <c r="A1423" s="2" t="s">
        <v>240</v>
      </c>
      <c r="B1423" s="2" t="s">
        <v>87</v>
      </c>
      <c r="C1423" s="2" t="s">
        <v>88</v>
      </c>
      <c r="D1423" s="2" t="s">
        <v>758</v>
      </c>
      <c r="E1423" s="2" t="s">
        <v>902</v>
      </c>
      <c r="F1423" s="2" t="s">
        <v>901</v>
      </c>
      <c r="G1423" s="3">
        <v>46161</v>
      </c>
      <c r="H1423" s="2" t="s">
        <v>753</v>
      </c>
      <c r="I1423" s="2" t="s">
        <v>755</v>
      </c>
      <c r="J1423" s="2" t="s">
        <v>754</v>
      </c>
      <c r="K1423" s="2" t="s">
        <v>753</v>
      </c>
      <c r="L1423" s="6">
        <v>14</v>
      </c>
      <c r="M1423" s="2" t="s">
        <v>752</v>
      </c>
      <c r="N1423" s="7">
        <v>42.22</v>
      </c>
      <c r="O1423" s="4">
        <v>591.08000000000004</v>
      </c>
      <c r="P1423" s="4">
        <v>591.08000000000004</v>
      </c>
      <c r="Q1423" s="6">
        <v>0</v>
      </c>
    </row>
    <row r="1424" spans="1:17" x14ac:dyDescent="0.25">
      <c r="A1424" s="2" t="s">
        <v>240</v>
      </c>
      <c r="B1424" s="2" t="s">
        <v>87</v>
      </c>
      <c r="C1424" s="2" t="s">
        <v>88</v>
      </c>
      <c r="D1424" s="2" t="s">
        <v>758</v>
      </c>
      <c r="E1424" s="2" t="s">
        <v>900</v>
      </c>
      <c r="F1424" s="2" t="s">
        <v>899</v>
      </c>
      <c r="G1424" s="3">
        <v>46161</v>
      </c>
      <c r="H1424" s="2" t="s">
        <v>753</v>
      </c>
      <c r="I1424" s="2" t="s">
        <v>755</v>
      </c>
      <c r="J1424" s="2" t="s">
        <v>754</v>
      </c>
      <c r="K1424" s="2" t="s">
        <v>753</v>
      </c>
      <c r="L1424" s="6">
        <v>32</v>
      </c>
      <c r="M1424" s="2" t="s">
        <v>752</v>
      </c>
      <c r="N1424" s="7">
        <v>32.549999999999997</v>
      </c>
      <c r="O1424" s="4">
        <v>1041.5999999999999</v>
      </c>
      <c r="P1424" s="4">
        <v>1041.5999999999999</v>
      </c>
      <c r="Q1424" s="6">
        <v>0</v>
      </c>
    </row>
    <row r="1425" spans="1:17" x14ac:dyDescent="0.25">
      <c r="A1425" s="2" t="s">
        <v>240</v>
      </c>
      <c r="B1425" s="2" t="s">
        <v>87</v>
      </c>
      <c r="C1425" s="2" t="s">
        <v>88</v>
      </c>
      <c r="D1425" s="2" t="s">
        <v>758</v>
      </c>
      <c r="E1425" s="2" t="s">
        <v>780</v>
      </c>
      <c r="F1425" s="2" t="s">
        <v>779</v>
      </c>
      <c r="G1425" s="3">
        <v>46161</v>
      </c>
      <c r="H1425" s="2" t="s">
        <v>753</v>
      </c>
      <c r="I1425" s="2" t="s">
        <v>755</v>
      </c>
      <c r="J1425" s="2" t="s">
        <v>754</v>
      </c>
      <c r="K1425" s="2" t="s">
        <v>753</v>
      </c>
      <c r="L1425" s="6">
        <v>8</v>
      </c>
      <c r="M1425" s="2" t="s">
        <v>752</v>
      </c>
      <c r="N1425" s="7">
        <v>35.57</v>
      </c>
      <c r="O1425" s="4">
        <v>284.56</v>
      </c>
      <c r="P1425" s="4">
        <v>284.56</v>
      </c>
      <c r="Q1425" s="6">
        <v>0</v>
      </c>
    </row>
    <row r="1426" spans="1:17" x14ac:dyDescent="0.25">
      <c r="A1426" s="2" t="s">
        <v>240</v>
      </c>
      <c r="B1426" s="2" t="s">
        <v>87</v>
      </c>
      <c r="C1426" s="2" t="s">
        <v>88</v>
      </c>
      <c r="D1426" s="2" t="s">
        <v>758</v>
      </c>
      <c r="E1426" s="2" t="s">
        <v>898</v>
      </c>
      <c r="F1426" s="2" t="s">
        <v>897</v>
      </c>
      <c r="G1426" s="3">
        <v>46161</v>
      </c>
      <c r="H1426" s="2" t="s">
        <v>753</v>
      </c>
      <c r="I1426" s="2" t="s">
        <v>755</v>
      </c>
      <c r="J1426" s="2" t="s">
        <v>754</v>
      </c>
      <c r="K1426" s="2" t="s">
        <v>753</v>
      </c>
      <c r="L1426" s="6">
        <v>28</v>
      </c>
      <c r="M1426" s="2" t="s">
        <v>752</v>
      </c>
      <c r="N1426" s="7">
        <v>41.25</v>
      </c>
      <c r="O1426" s="4">
        <v>1155</v>
      </c>
      <c r="P1426" s="4">
        <v>1155</v>
      </c>
      <c r="Q1426" s="6">
        <v>0</v>
      </c>
    </row>
    <row r="1427" spans="1:17" x14ac:dyDescent="0.25">
      <c r="A1427" s="2" t="s">
        <v>240</v>
      </c>
      <c r="B1427" s="2" t="s">
        <v>87</v>
      </c>
      <c r="C1427" s="2" t="s">
        <v>88</v>
      </c>
      <c r="D1427" s="2" t="s">
        <v>758</v>
      </c>
      <c r="E1427" s="2" t="s">
        <v>819</v>
      </c>
      <c r="F1427" s="2" t="s">
        <v>818</v>
      </c>
      <c r="G1427" s="3">
        <v>46161</v>
      </c>
      <c r="H1427" s="2" t="s">
        <v>753</v>
      </c>
      <c r="I1427" s="2" t="s">
        <v>755</v>
      </c>
      <c r="J1427" s="2" t="s">
        <v>754</v>
      </c>
      <c r="K1427" s="2" t="s">
        <v>753</v>
      </c>
      <c r="L1427" s="6">
        <v>28</v>
      </c>
      <c r="M1427" s="2" t="s">
        <v>752</v>
      </c>
      <c r="N1427" s="7">
        <v>40.22</v>
      </c>
      <c r="O1427" s="4">
        <v>1126.1600000000001</v>
      </c>
      <c r="P1427" s="4">
        <v>1126.1600000000001</v>
      </c>
      <c r="Q1427" s="6">
        <v>0</v>
      </c>
    </row>
    <row r="1428" spans="1:17" x14ac:dyDescent="0.25">
      <c r="A1428" s="2" t="s">
        <v>254</v>
      </c>
      <c r="B1428" s="2" t="s">
        <v>99</v>
      </c>
      <c r="C1428" s="2" t="s">
        <v>100</v>
      </c>
      <c r="D1428" s="2" t="s">
        <v>758</v>
      </c>
      <c r="E1428" s="2" t="s">
        <v>863</v>
      </c>
      <c r="F1428" s="2" t="s">
        <v>862</v>
      </c>
      <c r="G1428" s="3">
        <v>46154</v>
      </c>
      <c r="H1428" s="2" t="s">
        <v>770</v>
      </c>
      <c r="I1428" s="2" t="s">
        <v>755</v>
      </c>
      <c r="J1428" s="2" t="s">
        <v>754</v>
      </c>
      <c r="K1428" s="2" t="s">
        <v>753</v>
      </c>
      <c r="L1428" s="6">
        <v>144</v>
      </c>
      <c r="M1428" s="2" t="s">
        <v>752</v>
      </c>
      <c r="N1428" s="7">
        <v>33.299999999999997</v>
      </c>
      <c r="O1428" s="4">
        <v>4795.2</v>
      </c>
      <c r="P1428" s="4">
        <v>4795.2</v>
      </c>
      <c r="Q1428" s="6">
        <v>0</v>
      </c>
    </row>
    <row r="1429" spans="1:17" x14ac:dyDescent="0.25">
      <c r="A1429" s="2" t="s">
        <v>254</v>
      </c>
      <c r="B1429" s="2" t="s">
        <v>99</v>
      </c>
      <c r="C1429" s="2" t="s">
        <v>100</v>
      </c>
      <c r="D1429" s="2" t="s">
        <v>758</v>
      </c>
      <c r="E1429" s="2" t="s">
        <v>763</v>
      </c>
      <c r="F1429" s="2" t="s">
        <v>762</v>
      </c>
      <c r="G1429" s="3">
        <v>46154</v>
      </c>
      <c r="H1429" s="2" t="s">
        <v>770</v>
      </c>
      <c r="I1429" s="2" t="s">
        <v>755</v>
      </c>
      <c r="J1429" s="2" t="s">
        <v>754</v>
      </c>
      <c r="K1429" s="2" t="s">
        <v>753</v>
      </c>
      <c r="L1429" s="6">
        <v>176</v>
      </c>
      <c r="M1429" s="2" t="s">
        <v>752</v>
      </c>
      <c r="N1429" s="7">
        <v>36.82</v>
      </c>
      <c r="O1429" s="4">
        <v>6480.32</v>
      </c>
      <c r="P1429" s="4">
        <v>6480.32</v>
      </c>
      <c r="Q1429" s="6">
        <v>0</v>
      </c>
    </row>
    <row r="1430" spans="1:17" x14ac:dyDescent="0.25">
      <c r="A1430" s="2" t="s">
        <v>254</v>
      </c>
      <c r="B1430" s="2" t="s">
        <v>99</v>
      </c>
      <c r="C1430" s="2" t="s">
        <v>100</v>
      </c>
      <c r="D1430" s="2" t="s">
        <v>758</v>
      </c>
      <c r="E1430" s="2" t="s">
        <v>861</v>
      </c>
      <c r="F1430" s="2" t="s">
        <v>860</v>
      </c>
      <c r="G1430" s="3">
        <v>46154</v>
      </c>
      <c r="H1430" s="2" t="s">
        <v>770</v>
      </c>
      <c r="I1430" s="2" t="s">
        <v>755</v>
      </c>
      <c r="J1430" s="2" t="s">
        <v>754</v>
      </c>
      <c r="K1430" s="2" t="s">
        <v>753</v>
      </c>
      <c r="L1430" s="6">
        <v>128</v>
      </c>
      <c r="M1430" s="2" t="s">
        <v>752</v>
      </c>
      <c r="N1430" s="7">
        <v>39.700000000000003</v>
      </c>
      <c r="O1430" s="4">
        <v>5081.6000000000004</v>
      </c>
      <c r="P1430" s="4">
        <v>5081.6000000000004</v>
      </c>
      <c r="Q1430" s="6">
        <v>0</v>
      </c>
    </row>
    <row r="1431" spans="1:17" x14ac:dyDescent="0.25">
      <c r="A1431" s="2" t="s">
        <v>254</v>
      </c>
      <c r="B1431" s="2" t="s">
        <v>99</v>
      </c>
      <c r="C1431" s="2" t="s">
        <v>100</v>
      </c>
      <c r="D1431" s="2" t="s">
        <v>758</v>
      </c>
      <c r="E1431" s="2" t="s">
        <v>757</v>
      </c>
      <c r="F1431" s="2" t="s">
        <v>756</v>
      </c>
      <c r="G1431" s="3">
        <v>46154</v>
      </c>
      <c r="H1431" s="2" t="s">
        <v>770</v>
      </c>
      <c r="I1431" s="2" t="s">
        <v>755</v>
      </c>
      <c r="J1431" s="2" t="s">
        <v>754</v>
      </c>
      <c r="K1431" s="2" t="s">
        <v>753</v>
      </c>
      <c r="L1431" s="6">
        <v>400</v>
      </c>
      <c r="M1431" s="2" t="s">
        <v>752</v>
      </c>
      <c r="N1431" s="7">
        <v>39.700000000000003</v>
      </c>
      <c r="O1431" s="4">
        <v>15880</v>
      </c>
      <c r="P1431" s="4">
        <v>15880</v>
      </c>
      <c r="Q1431" s="6">
        <v>0</v>
      </c>
    </row>
    <row r="1432" spans="1:17" x14ac:dyDescent="0.25">
      <c r="A1432" s="2" t="s">
        <v>238</v>
      </c>
      <c r="B1432" s="2" t="s">
        <v>95</v>
      </c>
      <c r="C1432" s="2" t="s">
        <v>96</v>
      </c>
      <c r="D1432" s="2" t="s">
        <v>758</v>
      </c>
      <c r="E1432" s="2" t="s">
        <v>871</v>
      </c>
      <c r="F1432" s="2" t="s">
        <v>870</v>
      </c>
      <c r="G1432" s="3">
        <v>46161</v>
      </c>
      <c r="H1432" s="2" t="s">
        <v>753</v>
      </c>
      <c r="I1432" s="2" t="s">
        <v>755</v>
      </c>
      <c r="J1432" s="2" t="s">
        <v>754</v>
      </c>
      <c r="K1432" s="2" t="s">
        <v>753</v>
      </c>
      <c r="L1432" s="6">
        <v>600</v>
      </c>
      <c r="M1432" s="2" t="s">
        <v>752</v>
      </c>
      <c r="N1432" s="7">
        <v>41.66</v>
      </c>
      <c r="O1432" s="4">
        <v>24996</v>
      </c>
      <c r="P1432" s="4">
        <v>24996</v>
      </c>
      <c r="Q1432" s="6">
        <v>0</v>
      </c>
    </row>
    <row r="1433" spans="1:17" x14ac:dyDescent="0.25">
      <c r="A1433" s="2" t="s">
        <v>238</v>
      </c>
      <c r="B1433" s="2" t="s">
        <v>95</v>
      </c>
      <c r="C1433" s="2" t="s">
        <v>96</v>
      </c>
      <c r="D1433" s="2" t="s">
        <v>758</v>
      </c>
      <c r="E1433" s="2" t="s">
        <v>918</v>
      </c>
      <c r="F1433" s="2" t="s">
        <v>917</v>
      </c>
      <c r="G1433" s="3">
        <v>46161</v>
      </c>
      <c r="H1433" s="2" t="s">
        <v>753</v>
      </c>
      <c r="I1433" s="2" t="s">
        <v>755</v>
      </c>
      <c r="J1433" s="2" t="s">
        <v>754</v>
      </c>
      <c r="K1433" s="2" t="s">
        <v>753</v>
      </c>
      <c r="L1433" s="6">
        <v>32</v>
      </c>
      <c r="M1433" s="2" t="s">
        <v>752</v>
      </c>
      <c r="N1433" s="7">
        <v>42.53</v>
      </c>
      <c r="O1433" s="4">
        <v>1360.96</v>
      </c>
      <c r="P1433" s="4">
        <v>1360.96</v>
      </c>
      <c r="Q1433" s="6">
        <v>0</v>
      </c>
    </row>
    <row r="1434" spans="1:17" x14ac:dyDescent="0.25">
      <c r="A1434" s="2" t="s">
        <v>238</v>
      </c>
      <c r="B1434" s="2" t="s">
        <v>95</v>
      </c>
      <c r="C1434" s="2" t="s">
        <v>96</v>
      </c>
      <c r="D1434" s="2" t="s">
        <v>758</v>
      </c>
      <c r="E1434" s="2" t="s">
        <v>778</v>
      </c>
      <c r="F1434" s="2" t="s">
        <v>777</v>
      </c>
      <c r="G1434" s="3">
        <v>46161</v>
      </c>
      <c r="H1434" s="2" t="s">
        <v>753</v>
      </c>
      <c r="I1434" s="2" t="s">
        <v>755</v>
      </c>
      <c r="J1434" s="2" t="s">
        <v>754</v>
      </c>
      <c r="K1434" s="2" t="s">
        <v>753</v>
      </c>
      <c r="L1434" s="6">
        <v>32</v>
      </c>
      <c r="M1434" s="2" t="s">
        <v>752</v>
      </c>
      <c r="N1434" s="7">
        <v>39.96</v>
      </c>
      <c r="O1434" s="4">
        <v>1278.72</v>
      </c>
      <c r="P1434" s="4">
        <v>1278.72</v>
      </c>
      <c r="Q1434" s="6">
        <v>0</v>
      </c>
    </row>
    <row r="1435" spans="1:17" x14ac:dyDescent="0.25">
      <c r="A1435" s="2" t="s">
        <v>238</v>
      </c>
      <c r="B1435" s="2" t="s">
        <v>95</v>
      </c>
      <c r="C1435" s="2" t="s">
        <v>96</v>
      </c>
      <c r="D1435" s="2" t="s">
        <v>758</v>
      </c>
      <c r="E1435" s="2" t="s">
        <v>894</v>
      </c>
      <c r="F1435" s="2" t="s">
        <v>893</v>
      </c>
      <c r="G1435" s="3">
        <v>46161</v>
      </c>
      <c r="H1435" s="2" t="s">
        <v>753</v>
      </c>
      <c r="I1435" s="2" t="s">
        <v>755</v>
      </c>
      <c r="J1435" s="2" t="s">
        <v>754</v>
      </c>
      <c r="K1435" s="2" t="s">
        <v>753</v>
      </c>
      <c r="L1435" s="6">
        <v>32</v>
      </c>
      <c r="M1435" s="2" t="s">
        <v>752</v>
      </c>
      <c r="N1435" s="7">
        <v>33.5</v>
      </c>
      <c r="O1435" s="4">
        <v>1072</v>
      </c>
      <c r="P1435" s="4">
        <v>1072</v>
      </c>
      <c r="Q1435" s="6">
        <v>0</v>
      </c>
    </row>
    <row r="1436" spans="1:17" x14ac:dyDescent="0.25">
      <c r="A1436" s="2" t="s">
        <v>248</v>
      </c>
      <c r="B1436" s="2" t="s">
        <v>29</v>
      </c>
      <c r="C1436" s="2" t="s">
        <v>30</v>
      </c>
      <c r="D1436" s="2" t="s">
        <v>758</v>
      </c>
      <c r="E1436" s="2" t="s">
        <v>817</v>
      </c>
      <c r="F1436" s="2" t="s">
        <v>937</v>
      </c>
      <c r="G1436" s="3">
        <v>46156</v>
      </c>
      <c r="H1436" s="2" t="s">
        <v>753</v>
      </c>
      <c r="I1436" s="2" t="s">
        <v>755</v>
      </c>
      <c r="J1436" s="2" t="s">
        <v>754</v>
      </c>
      <c r="K1436" s="2" t="s">
        <v>753</v>
      </c>
      <c r="L1436" s="6">
        <v>56</v>
      </c>
      <c r="M1436" s="2" t="s">
        <v>752</v>
      </c>
      <c r="N1436" s="7">
        <v>31.42</v>
      </c>
      <c r="O1436" s="4">
        <v>1759.52</v>
      </c>
      <c r="P1436" s="4">
        <v>1759.52</v>
      </c>
      <c r="Q1436" s="6">
        <v>0</v>
      </c>
    </row>
    <row r="1437" spans="1:17" x14ac:dyDescent="0.25">
      <c r="A1437" s="2" t="s">
        <v>248</v>
      </c>
      <c r="B1437" s="2" t="s">
        <v>29</v>
      </c>
      <c r="C1437" s="2" t="s">
        <v>30</v>
      </c>
      <c r="D1437" s="2" t="s">
        <v>758</v>
      </c>
      <c r="E1437" s="2" t="s">
        <v>815</v>
      </c>
      <c r="F1437" s="2" t="s">
        <v>814</v>
      </c>
      <c r="G1437" s="3">
        <v>46156</v>
      </c>
      <c r="H1437" s="2" t="s">
        <v>753</v>
      </c>
      <c r="I1437" s="2" t="s">
        <v>755</v>
      </c>
      <c r="J1437" s="2" t="s">
        <v>754</v>
      </c>
      <c r="K1437" s="2" t="s">
        <v>753</v>
      </c>
      <c r="L1437" s="6">
        <v>112</v>
      </c>
      <c r="M1437" s="2" t="s">
        <v>752</v>
      </c>
      <c r="N1437" s="7">
        <v>34</v>
      </c>
      <c r="O1437" s="4">
        <v>3808</v>
      </c>
      <c r="P1437" s="4">
        <v>3808</v>
      </c>
      <c r="Q1437" s="6">
        <v>0</v>
      </c>
    </row>
    <row r="1438" spans="1:17" x14ac:dyDescent="0.25">
      <c r="A1438" s="2" t="s">
        <v>248</v>
      </c>
      <c r="B1438" s="2" t="s">
        <v>29</v>
      </c>
      <c r="C1438" s="2" t="s">
        <v>30</v>
      </c>
      <c r="D1438" s="2" t="s">
        <v>758</v>
      </c>
      <c r="E1438" s="2" t="s">
        <v>813</v>
      </c>
      <c r="F1438" s="2" t="s">
        <v>812</v>
      </c>
      <c r="G1438" s="3">
        <v>46156</v>
      </c>
      <c r="H1438" s="2" t="s">
        <v>753</v>
      </c>
      <c r="I1438" s="2" t="s">
        <v>755</v>
      </c>
      <c r="J1438" s="2" t="s">
        <v>754</v>
      </c>
      <c r="K1438" s="2" t="s">
        <v>753</v>
      </c>
      <c r="L1438" s="6">
        <v>12</v>
      </c>
      <c r="M1438" s="2" t="s">
        <v>752</v>
      </c>
      <c r="N1438" s="7">
        <v>43.26</v>
      </c>
      <c r="O1438" s="4">
        <v>519.12</v>
      </c>
      <c r="P1438" s="4">
        <v>519.12</v>
      </c>
      <c r="Q1438" s="6">
        <v>0</v>
      </c>
    </row>
    <row r="1439" spans="1:17" x14ac:dyDescent="0.25">
      <c r="A1439" s="2" t="s">
        <v>248</v>
      </c>
      <c r="B1439" s="2" t="s">
        <v>29</v>
      </c>
      <c r="C1439" s="2" t="s">
        <v>30</v>
      </c>
      <c r="D1439" s="2" t="s">
        <v>758</v>
      </c>
      <c r="E1439" s="2" t="s">
        <v>811</v>
      </c>
      <c r="F1439" s="2" t="s">
        <v>810</v>
      </c>
      <c r="G1439" s="3">
        <v>46156</v>
      </c>
      <c r="H1439" s="2" t="s">
        <v>753</v>
      </c>
      <c r="I1439" s="2" t="s">
        <v>755</v>
      </c>
      <c r="J1439" s="2" t="s">
        <v>754</v>
      </c>
      <c r="K1439" s="2" t="s">
        <v>753</v>
      </c>
      <c r="L1439" s="6">
        <v>20</v>
      </c>
      <c r="M1439" s="2" t="s">
        <v>752</v>
      </c>
      <c r="N1439" s="7">
        <v>43.26</v>
      </c>
      <c r="O1439" s="4">
        <v>865.2</v>
      </c>
      <c r="P1439" s="4">
        <v>865.2</v>
      </c>
      <c r="Q1439" s="6">
        <v>0</v>
      </c>
    </row>
    <row r="1440" spans="1:17" x14ac:dyDescent="0.25">
      <c r="A1440" s="2" t="s">
        <v>248</v>
      </c>
      <c r="B1440" s="2" t="s">
        <v>29</v>
      </c>
      <c r="C1440" s="2" t="s">
        <v>30</v>
      </c>
      <c r="D1440" s="2" t="s">
        <v>758</v>
      </c>
      <c r="E1440" s="2" t="s">
        <v>809</v>
      </c>
      <c r="F1440" s="2" t="s">
        <v>808</v>
      </c>
      <c r="G1440" s="3">
        <v>46156</v>
      </c>
      <c r="H1440" s="2" t="s">
        <v>753</v>
      </c>
      <c r="I1440" s="2" t="s">
        <v>755</v>
      </c>
      <c r="J1440" s="2" t="s">
        <v>754</v>
      </c>
      <c r="K1440" s="2" t="s">
        <v>753</v>
      </c>
      <c r="L1440" s="6">
        <v>28</v>
      </c>
      <c r="M1440" s="2" t="s">
        <v>752</v>
      </c>
      <c r="N1440" s="7">
        <v>39.53</v>
      </c>
      <c r="O1440" s="4">
        <v>1106.8399999999999</v>
      </c>
      <c r="P1440" s="4">
        <v>1106.8399999999999</v>
      </c>
      <c r="Q1440" s="6">
        <v>0</v>
      </c>
    </row>
    <row r="1441" spans="1:17" x14ac:dyDescent="0.25">
      <c r="A1441" s="2" t="s">
        <v>248</v>
      </c>
      <c r="B1441" s="2" t="s">
        <v>29</v>
      </c>
      <c r="C1441" s="2" t="s">
        <v>30</v>
      </c>
      <c r="D1441" s="2" t="s">
        <v>758</v>
      </c>
      <c r="E1441" s="2" t="s">
        <v>776</v>
      </c>
      <c r="F1441" s="2" t="s">
        <v>775</v>
      </c>
      <c r="G1441" s="3">
        <v>46156</v>
      </c>
      <c r="H1441" s="2" t="s">
        <v>753</v>
      </c>
      <c r="I1441" s="2" t="s">
        <v>755</v>
      </c>
      <c r="J1441" s="2" t="s">
        <v>754</v>
      </c>
      <c r="K1441" s="2" t="s">
        <v>753</v>
      </c>
      <c r="L1441" s="6">
        <v>20</v>
      </c>
      <c r="M1441" s="2" t="s">
        <v>752</v>
      </c>
      <c r="N1441" s="7">
        <v>41.2</v>
      </c>
      <c r="O1441" s="4">
        <v>824</v>
      </c>
      <c r="P1441" s="4">
        <v>824</v>
      </c>
      <c r="Q1441" s="6">
        <v>0</v>
      </c>
    </row>
    <row r="1442" spans="1:17" x14ac:dyDescent="0.25">
      <c r="A1442" s="2" t="s">
        <v>248</v>
      </c>
      <c r="B1442" s="2" t="s">
        <v>29</v>
      </c>
      <c r="C1442" s="2" t="s">
        <v>30</v>
      </c>
      <c r="D1442" s="2" t="s">
        <v>758</v>
      </c>
      <c r="E1442" s="2" t="s">
        <v>807</v>
      </c>
      <c r="F1442" s="2" t="s">
        <v>806</v>
      </c>
      <c r="G1442" s="3">
        <v>46156</v>
      </c>
      <c r="H1442" s="2" t="s">
        <v>753</v>
      </c>
      <c r="I1442" s="2" t="s">
        <v>755</v>
      </c>
      <c r="J1442" s="2" t="s">
        <v>754</v>
      </c>
      <c r="K1442" s="2" t="s">
        <v>753</v>
      </c>
      <c r="L1442" s="6">
        <v>12</v>
      </c>
      <c r="M1442" s="2" t="s">
        <v>752</v>
      </c>
      <c r="N1442" s="7">
        <v>42.02</v>
      </c>
      <c r="O1442" s="4">
        <v>504.24</v>
      </c>
      <c r="P1442" s="4">
        <v>504.24</v>
      </c>
      <c r="Q1442" s="6">
        <v>0</v>
      </c>
    </row>
    <row r="1443" spans="1:17" x14ac:dyDescent="0.25">
      <c r="A1443" s="2" t="s">
        <v>248</v>
      </c>
      <c r="B1443" s="2" t="s">
        <v>29</v>
      </c>
      <c r="C1443" s="2" t="s">
        <v>30</v>
      </c>
      <c r="D1443" s="2" t="s">
        <v>758</v>
      </c>
      <c r="E1443" s="2" t="s">
        <v>805</v>
      </c>
      <c r="F1443" s="2" t="s">
        <v>804</v>
      </c>
      <c r="G1443" s="3">
        <v>46156</v>
      </c>
      <c r="H1443" s="2" t="s">
        <v>753</v>
      </c>
      <c r="I1443" s="2" t="s">
        <v>755</v>
      </c>
      <c r="J1443" s="2" t="s">
        <v>754</v>
      </c>
      <c r="K1443" s="2" t="s">
        <v>753</v>
      </c>
      <c r="L1443" s="6">
        <v>40</v>
      </c>
      <c r="M1443" s="2" t="s">
        <v>752</v>
      </c>
      <c r="N1443" s="7">
        <v>41</v>
      </c>
      <c r="O1443" s="4">
        <v>1640</v>
      </c>
      <c r="P1443" s="4">
        <v>1640</v>
      </c>
      <c r="Q1443" s="6">
        <v>0</v>
      </c>
    </row>
    <row r="1444" spans="1:17" x14ac:dyDescent="0.25">
      <c r="A1444" s="2" t="s">
        <v>236</v>
      </c>
      <c r="B1444" s="2" t="s">
        <v>103</v>
      </c>
      <c r="C1444" s="2" t="s">
        <v>104</v>
      </c>
      <c r="D1444" s="2" t="s">
        <v>758</v>
      </c>
      <c r="E1444" s="2" t="s">
        <v>859</v>
      </c>
      <c r="F1444" s="2" t="s">
        <v>858</v>
      </c>
      <c r="G1444" s="3">
        <v>46161</v>
      </c>
      <c r="H1444" s="2" t="s">
        <v>753</v>
      </c>
      <c r="I1444" s="2" t="s">
        <v>755</v>
      </c>
      <c r="J1444" s="2" t="s">
        <v>754</v>
      </c>
      <c r="K1444" s="2" t="s">
        <v>753</v>
      </c>
      <c r="L1444" s="6">
        <v>336</v>
      </c>
      <c r="M1444" s="2" t="s">
        <v>752</v>
      </c>
      <c r="N1444" s="7">
        <v>33.42</v>
      </c>
      <c r="O1444" s="4">
        <v>11229.12</v>
      </c>
      <c r="P1444" s="4">
        <v>11229.12</v>
      </c>
      <c r="Q1444" s="6">
        <v>0</v>
      </c>
    </row>
    <row r="1445" spans="1:17" x14ac:dyDescent="0.25">
      <c r="A1445" s="2" t="s">
        <v>252</v>
      </c>
      <c r="B1445" s="2" t="s">
        <v>69</v>
      </c>
      <c r="C1445" s="2" t="s">
        <v>70</v>
      </c>
      <c r="D1445" s="2" t="s">
        <v>758</v>
      </c>
      <c r="E1445" s="2" t="s">
        <v>847</v>
      </c>
      <c r="F1445" s="2" t="s">
        <v>846</v>
      </c>
      <c r="G1445" s="3">
        <v>46155</v>
      </c>
      <c r="H1445" s="2" t="s">
        <v>753</v>
      </c>
      <c r="I1445" s="2" t="s">
        <v>755</v>
      </c>
      <c r="J1445" s="2" t="s">
        <v>754</v>
      </c>
      <c r="K1445" s="2" t="s">
        <v>753</v>
      </c>
      <c r="L1445" s="6">
        <v>20</v>
      </c>
      <c r="M1445" s="2" t="s">
        <v>752</v>
      </c>
      <c r="N1445" s="7">
        <v>30.32</v>
      </c>
      <c r="O1445" s="4">
        <v>606.4</v>
      </c>
      <c r="P1445" s="4">
        <v>606.4</v>
      </c>
      <c r="Q1445" s="6">
        <v>0</v>
      </c>
    </row>
    <row r="1446" spans="1:17" x14ac:dyDescent="0.25">
      <c r="A1446" s="2" t="s">
        <v>252</v>
      </c>
      <c r="B1446" s="2" t="s">
        <v>69</v>
      </c>
      <c r="C1446" s="2" t="s">
        <v>70</v>
      </c>
      <c r="D1446" s="2" t="s">
        <v>758</v>
      </c>
      <c r="E1446" s="2" t="s">
        <v>855</v>
      </c>
      <c r="F1446" s="2" t="s">
        <v>854</v>
      </c>
      <c r="G1446" s="3">
        <v>46155</v>
      </c>
      <c r="H1446" s="2" t="s">
        <v>753</v>
      </c>
      <c r="I1446" s="2" t="s">
        <v>755</v>
      </c>
      <c r="J1446" s="2" t="s">
        <v>754</v>
      </c>
      <c r="K1446" s="2" t="s">
        <v>753</v>
      </c>
      <c r="L1446" s="6">
        <v>12</v>
      </c>
      <c r="M1446" s="2" t="s">
        <v>752</v>
      </c>
      <c r="N1446" s="7">
        <v>53.2</v>
      </c>
      <c r="O1446" s="4">
        <v>638.4</v>
      </c>
      <c r="P1446" s="4">
        <v>638.4</v>
      </c>
      <c r="Q1446" s="6">
        <v>0</v>
      </c>
    </row>
    <row r="1447" spans="1:17" x14ac:dyDescent="0.25">
      <c r="A1447" s="2" t="s">
        <v>252</v>
      </c>
      <c r="B1447" s="2" t="s">
        <v>69</v>
      </c>
      <c r="C1447" s="2" t="s">
        <v>70</v>
      </c>
      <c r="D1447" s="2" t="s">
        <v>758</v>
      </c>
      <c r="E1447" s="2" t="s">
        <v>857</v>
      </c>
      <c r="F1447" s="2" t="s">
        <v>856</v>
      </c>
      <c r="G1447" s="3">
        <v>46155</v>
      </c>
      <c r="H1447" s="2" t="s">
        <v>753</v>
      </c>
      <c r="I1447" s="2" t="s">
        <v>755</v>
      </c>
      <c r="J1447" s="2" t="s">
        <v>754</v>
      </c>
      <c r="K1447" s="2" t="s">
        <v>753</v>
      </c>
      <c r="L1447" s="6">
        <v>10</v>
      </c>
      <c r="M1447" s="2" t="s">
        <v>752</v>
      </c>
      <c r="N1447" s="7">
        <v>34.18</v>
      </c>
      <c r="O1447" s="4">
        <v>341.8</v>
      </c>
      <c r="P1447" s="4">
        <v>341.8</v>
      </c>
      <c r="Q1447" s="6">
        <v>0</v>
      </c>
    </row>
    <row r="1448" spans="1:17" x14ac:dyDescent="0.25">
      <c r="A1448" s="2" t="s">
        <v>266</v>
      </c>
      <c r="B1448" s="2" t="s">
        <v>267</v>
      </c>
      <c r="C1448" s="2" t="s">
        <v>268</v>
      </c>
      <c r="D1448" s="2" t="s">
        <v>758</v>
      </c>
      <c r="E1448" s="2" t="s">
        <v>757</v>
      </c>
      <c r="F1448" s="2" t="s">
        <v>756</v>
      </c>
      <c r="G1448" s="3">
        <v>46150</v>
      </c>
      <c r="H1448" s="2" t="s">
        <v>753</v>
      </c>
      <c r="I1448" s="2" t="s">
        <v>755</v>
      </c>
      <c r="J1448" s="2" t="s">
        <v>754</v>
      </c>
      <c r="K1448" s="2" t="s">
        <v>753</v>
      </c>
      <c r="L1448" s="6">
        <v>28</v>
      </c>
      <c r="M1448" s="2" t="s">
        <v>752</v>
      </c>
      <c r="N1448" s="7">
        <v>44</v>
      </c>
      <c r="O1448" s="4">
        <v>1232</v>
      </c>
      <c r="P1448" s="4">
        <v>1232</v>
      </c>
      <c r="Q1448" s="6">
        <v>0</v>
      </c>
    </row>
    <row r="1449" spans="1:17" x14ac:dyDescent="0.25">
      <c r="A1449" s="2" t="s">
        <v>232</v>
      </c>
      <c r="B1449" s="2" t="s">
        <v>81</v>
      </c>
      <c r="C1449" s="2" t="s">
        <v>82</v>
      </c>
      <c r="D1449" s="2" t="s">
        <v>758</v>
      </c>
      <c r="E1449" s="2" t="s">
        <v>763</v>
      </c>
      <c r="F1449" s="2" t="s">
        <v>762</v>
      </c>
      <c r="G1449" s="3">
        <v>46162</v>
      </c>
      <c r="H1449" s="2" t="s">
        <v>753</v>
      </c>
      <c r="I1449" s="2" t="s">
        <v>755</v>
      </c>
      <c r="J1449" s="2" t="s">
        <v>754</v>
      </c>
      <c r="K1449" s="2" t="s">
        <v>753</v>
      </c>
      <c r="L1449" s="6">
        <v>616</v>
      </c>
      <c r="M1449" s="2" t="s">
        <v>752</v>
      </c>
      <c r="N1449" s="7">
        <v>46</v>
      </c>
      <c r="O1449" s="4">
        <v>28336</v>
      </c>
      <c r="P1449" s="4">
        <v>28336</v>
      </c>
      <c r="Q1449" s="6">
        <v>0</v>
      </c>
    </row>
    <row r="1450" spans="1:17" x14ac:dyDescent="0.25">
      <c r="A1450" s="2" t="s">
        <v>232</v>
      </c>
      <c r="B1450" s="2" t="s">
        <v>81</v>
      </c>
      <c r="C1450" s="2" t="s">
        <v>82</v>
      </c>
      <c r="D1450" s="2" t="s">
        <v>758</v>
      </c>
      <c r="E1450" s="2" t="s">
        <v>766</v>
      </c>
      <c r="F1450" s="2" t="s">
        <v>765</v>
      </c>
      <c r="G1450" s="3">
        <v>46162</v>
      </c>
      <c r="H1450" s="2" t="s">
        <v>753</v>
      </c>
      <c r="I1450" s="2" t="s">
        <v>755</v>
      </c>
      <c r="J1450" s="2" t="s">
        <v>754</v>
      </c>
      <c r="K1450" s="2" t="s">
        <v>753</v>
      </c>
      <c r="L1450" s="6">
        <v>49</v>
      </c>
      <c r="M1450" s="2" t="s">
        <v>752</v>
      </c>
      <c r="N1450" s="7">
        <v>40</v>
      </c>
      <c r="O1450" s="4">
        <v>1960</v>
      </c>
      <c r="P1450" s="4">
        <v>1960</v>
      </c>
      <c r="Q1450" s="6">
        <v>0</v>
      </c>
    </row>
    <row r="1451" spans="1:17" x14ac:dyDescent="0.25">
      <c r="A1451" s="2" t="s">
        <v>232</v>
      </c>
      <c r="B1451" s="2" t="s">
        <v>81</v>
      </c>
      <c r="C1451" s="2" t="s">
        <v>82</v>
      </c>
      <c r="D1451" s="2" t="s">
        <v>758</v>
      </c>
      <c r="E1451" s="2" t="s">
        <v>805</v>
      </c>
      <c r="F1451" s="2" t="s">
        <v>804</v>
      </c>
      <c r="G1451" s="3">
        <v>46162</v>
      </c>
      <c r="H1451" s="2" t="s">
        <v>753</v>
      </c>
      <c r="I1451" s="2" t="s">
        <v>755</v>
      </c>
      <c r="J1451" s="2" t="s">
        <v>754</v>
      </c>
      <c r="K1451" s="2" t="s">
        <v>753</v>
      </c>
      <c r="L1451" s="6">
        <v>56</v>
      </c>
      <c r="M1451" s="2" t="s">
        <v>752</v>
      </c>
      <c r="N1451" s="7">
        <v>45</v>
      </c>
      <c r="O1451" s="4">
        <v>2520</v>
      </c>
      <c r="P1451" s="4">
        <v>2520</v>
      </c>
      <c r="Q1451" s="6">
        <v>0</v>
      </c>
    </row>
    <row r="1452" spans="1:17" x14ac:dyDescent="0.25">
      <c r="A1452" s="2" t="s">
        <v>246</v>
      </c>
      <c r="B1452" s="2" t="s">
        <v>119</v>
      </c>
      <c r="C1452" s="2" t="s">
        <v>120</v>
      </c>
      <c r="D1452" s="2" t="s">
        <v>758</v>
      </c>
      <c r="E1452" s="2" t="s">
        <v>936</v>
      </c>
      <c r="F1452" s="2" t="s">
        <v>935</v>
      </c>
      <c r="G1452" s="3">
        <v>46156</v>
      </c>
      <c r="H1452" s="2" t="s">
        <v>753</v>
      </c>
      <c r="I1452" s="2" t="s">
        <v>755</v>
      </c>
      <c r="J1452" s="2" t="s">
        <v>754</v>
      </c>
      <c r="K1452" s="2" t="s">
        <v>753</v>
      </c>
      <c r="L1452" s="6">
        <v>4</v>
      </c>
      <c r="M1452" s="2" t="s">
        <v>752</v>
      </c>
      <c r="N1452" s="7">
        <v>43</v>
      </c>
      <c r="O1452" s="4">
        <v>172</v>
      </c>
      <c r="P1452" s="4">
        <v>172</v>
      </c>
      <c r="Q1452" s="6">
        <v>0</v>
      </c>
    </row>
    <row r="1453" spans="1:17" x14ac:dyDescent="0.25">
      <c r="A1453" s="2" t="s">
        <v>246</v>
      </c>
      <c r="B1453" s="2" t="s">
        <v>119</v>
      </c>
      <c r="C1453" s="2" t="s">
        <v>120</v>
      </c>
      <c r="D1453" s="2" t="s">
        <v>758</v>
      </c>
      <c r="E1453" s="2" t="s">
        <v>763</v>
      </c>
      <c r="F1453" s="2" t="s">
        <v>762</v>
      </c>
      <c r="G1453" s="3">
        <v>46156</v>
      </c>
      <c r="H1453" s="2" t="s">
        <v>753</v>
      </c>
      <c r="I1453" s="2" t="s">
        <v>755</v>
      </c>
      <c r="J1453" s="2" t="s">
        <v>754</v>
      </c>
      <c r="K1453" s="2" t="s">
        <v>753</v>
      </c>
      <c r="L1453" s="6">
        <v>12</v>
      </c>
      <c r="M1453" s="2" t="s">
        <v>752</v>
      </c>
      <c r="N1453" s="7">
        <v>44</v>
      </c>
      <c r="O1453" s="4">
        <v>528</v>
      </c>
      <c r="P1453" s="4">
        <v>528</v>
      </c>
      <c r="Q1453" s="6">
        <v>0</v>
      </c>
    </row>
    <row r="1454" spans="1:17" x14ac:dyDescent="0.25">
      <c r="A1454" s="2" t="s">
        <v>246</v>
      </c>
      <c r="B1454" s="2" t="s">
        <v>119</v>
      </c>
      <c r="C1454" s="2" t="s">
        <v>120</v>
      </c>
      <c r="D1454" s="2" t="s">
        <v>758</v>
      </c>
      <c r="E1454" s="2" t="s">
        <v>757</v>
      </c>
      <c r="F1454" s="2" t="s">
        <v>756</v>
      </c>
      <c r="G1454" s="3">
        <v>46156</v>
      </c>
      <c r="H1454" s="2" t="s">
        <v>753</v>
      </c>
      <c r="I1454" s="2" t="s">
        <v>755</v>
      </c>
      <c r="J1454" s="2" t="s">
        <v>754</v>
      </c>
      <c r="K1454" s="2" t="s">
        <v>753</v>
      </c>
      <c r="L1454" s="6">
        <v>20</v>
      </c>
      <c r="M1454" s="2" t="s">
        <v>752</v>
      </c>
      <c r="N1454" s="7">
        <v>42.11</v>
      </c>
      <c r="O1454" s="4">
        <v>842.2</v>
      </c>
      <c r="P1454" s="4">
        <v>842.2</v>
      </c>
      <c r="Q1454" s="6">
        <v>0</v>
      </c>
    </row>
    <row r="1455" spans="1:17" x14ac:dyDescent="0.25">
      <c r="A1455" s="2" t="s">
        <v>246</v>
      </c>
      <c r="B1455" s="2" t="s">
        <v>119</v>
      </c>
      <c r="C1455" s="2" t="s">
        <v>120</v>
      </c>
      <c r="D1455" s="2" t="s">
        <v>758</v>
      </c>
      <c r="E1455" s="2" t="s">
        <v>847</v>
      </c>
      <c r="F1455" s="2" t="s">
        <v>846</v>
      </c>
      <c r="G1455" s="3">
        <v>46156</v>
      </c>
      <c r="H1455" s="2" t="s">
        <v>753</v>
      </c>
      <c r="I1455" s="2" t="s">
        <v>755</v>
      </c>
      <c r="J1455" s="2" t="s">
        <v>754</v>
      </c>
      <c r="K1455" s="2" t="s">
        <v>753</v>
      </c>
      <c r="L1455" s="6">
        <v>84</v>
      </c>
      <c r="M1455" s="2" t="s">
        <v>752</v>
      </c>
      <c r="N1455" s="7">
        <v>38.75</v>
      </c>
      <c r="O1455" s="4">
        <v>3255</v>
      </c>
      <c r="P1455" s="4">
        <v>3255</v>
      </c>
      <c r="Q1455" s="6">
        <v>0</v>
      </c>
    </row>
    <row r="1456" spans="1:17" x14ac:dyDescent="0.25">
      <c r="A1456" s="2" t="s">
        <v>246</v>
      </c>
      <c r="B1456" s="2" t="s">
        <v>119</v>
      </c>
      <c r="C1456" s="2" t="s">
        <v>120</v>
      </c>
      <c r="D1456" s="2" t="s">
        <v>758</v>
      </c>
      <c r="E1456" s="2" t="s">
        <v>916</v>
      </c>
      <c r="F1456" s="2" t="s">
        <v>915</v>
      </c>
      <c r="G1456" s="3">
        <v>46156</v>
      </c>
      <c r="H1456" s="2" t="s">
        <v>753</v>
      </c>
      <c r="I1456" s="2" t="s">
        <v>755</v>
      </c>
      <c r="J1456" s="2" t="s">
        <v>754</v>
      </c>
      <c r="K1456" s="2" t="s">
        <v>753</v>
      </c>
      <c r="L1456" s="6">
        <v>12</v>
      </c>
      <c r="M1456" s="2" t="s">
        <v>752</v>
      </c>
      <c r="N1456" s="7">
        <v>40.78</v>
      </c>
      <c r="O1456" s="4">
        <v>489.36</v>
      </c>
      <c r="P1456" s="4">
        <v>489.36</v>
      </c>
      <c r="Q1456" s="6">
        <v>0</v>
      </c>
    </row>
    <row r="1457" spans="1:17" x14ac:dyDescent="0.25">
      <c r="A1457" s="2" t="s">
        <v>246</v>
      </c>
      <c r="B1457" s="2" t="s">
        <v>119</v>
      </c>
      <c r="C1457" s="2" t="s">
        <v>120</v>
      </c>
      <c r="D1457" s="2" t="s">
        <v>758</v>
      </c>
      <c r="E1457" s="2" t="s">
        <v>807</v>
      </c>
      <c r="F1457" s="2" t="s">
        <v>806</v>
      </c>
      <c r="G1457" s="3">
        <v>46156</v>
      </c>
      <c r="H1457" s="2" t="s">
        <v>753</v>
      </c>
      <c r="I1457" s="2" t="s">
        <v>755</v>
      </c>
      <c r="J1457" s="2" t="s">
        <v>754</v>
      </c>
      <c r="K1457" s="2" t="s">
        <v>753</v>
      </c>
      <c r="L1457" s="6">
        <v>8</v>
      </c>
      <c r="M1457" s="2" t="s">
        <v>752</v>
      </c>
      <c r="N1457" s="7">
        <v>44.65</v>
      </c>
      <c r="O1457" s="4">
        <v>357.2</v>
      </c>
      <c r="P1457" s="4">
        <v>357.2</v>
      </c>
      <c r="Q1457" s="6">
        <v>0</v>
      </c>
    </row>
    <row r="1458" spans="1:17" x14ac:dyDescent="0.25">
      <c r="A1458" s="2" t="s">
        <v>246</v>
      </c>
      <c r="B1458" s="2" t="s">
        <v>119</v>
      </c>
      <c r="C1458" s="2" t="s">
        <v>120</v>
      </c>
      <c r="D1458" s="2" t="s">
        <v>758</v>
      </c>
      <c r="E1458" s="2" t="s">
        <v>845</v>
      </c>
      <c r="F1458" s="2" t="s">
        <v>844</v>
      </c>
      <c r="G1458" s="3">
        <v>46156</v>
      </c>
      <c r="H1458" s="2" t="s">
        <v>753</v>
      </c>
      <c r="I1458" s="2" t="s">
        <v>755</v>
      </c>
      <c r="J1458" s="2" t="s">
        <v>754</v>
      </c>
      <c r="K1458" s="2" t="s">
        <v>753</v>
      </c>
      <c r="L1458" s="6">
        <v>24</v>
      </c>
      <c r="M1458" s="2" t="s">
        <v>752</v>
      </c>
      <c r="N1458" s="7">
        <v>40.619999999999997</v>
      </c>
      <c r="O1458" s="4">
        <v>974.88</v>
      </c>
      <c r="P1458" s="4">
        <v>974.88</v>
      </c>
      <c r="Q1458" s="6">
        <v>0</v>
      </c>
    </row>
    <row r="1459" spans="1:17" x14ac:dyDescent="0.25">
      <c r="A1459" s="2" t="s">
        <v>246</v>
      </c>
      <c r="B1459" s="2" t="s">
        <v>119</v>
      </c>
      <c r="C1459" s="2" t="s">
        <v>120</v>
      </c>
      <c r="D1459" s="2" t="s">
        <v>758</v>
      </c>
      <c r="E1459" s="2" t="s">
        <v>914</v>
      </c>
      <c r="F1459" s="2" t="s">
        <v>913</v>
      </c>
      <c r="G1459" s="3">
        <v>46156</v>
      </c>
      <c r="H1459" s="2" t="s">
        <v>753</v>
      </c>
      <c r="I1459" s="2" t="s">
        <v>755</v>
      </c>
      <c r="J1459" s="2" t="s">
        <v>754</v>
      </c>
      <c r="K1459" s="2" t="s">
        <v>753</v>
      </c>
      <c r="L1459" s="6">
        <v>4</v>
      </c>
      <c r="M1459" s="2" t="s">
        <v>752</v>
      </c>
      <c r="N1459" s="7">
        <v>41.6</v>
      </c>
      <c r="O1459" s="4">
        <v>166.4</v>
      </c>
      <c r="P1459" s="4">
        <v>166.4</v>
      </c>
      <c r="Q1459" s="6">
        <v>0</v>
      </c>
    </row>
    <row r="1460" spans="1:17" x14ac:dyDescent="0.25">
      <c r="A1460" s="2" t="s">
        <v>246</v>
      </c>
      <c r="B1460" s="2" t="s">
        <v>119</v>
      </c>
      <c r="C1460" s="2" t="s">
        <v>120</v>
      </c>
      <c r="D1460" s="2" t="s">
        <v>758</v>
      </c>
      <c r="E1460" s="2" t="s">
        <v>786</v>
      </c>
      <c r="F1460" s="2" t="s">
        <v>785</v>
      </c>
      <c r="G1460" s="3">
        <v>46156</v>
      </c>
      <c r="H1460" s="2" t="s">
        <v>753</v>
      </c>
      <c r="I1460" s="2" t="s">
        <v>755</v>
      </c>
      <c r="J1460" s="2" t="s">
        <v>754</v>
      </c>
      <c r="K1460" s="2" t="s">
        <v>753</v>
      </c>
      <c r="L1460" s="6">
        <v>72</v>
      </c>
      <c r="M1460" s="2" t="s">
        <v>752</v>
      </c>
      <c r="N1460" s="7">
        <v>35</v>
      </c>
      <c r="O1460" s="4">
        <v>2520</v>
      </c>
      <c r="P1460" s="4">
        <v>2520</v>
      </c>
      <c r="Q1460" s="6">
        <v>0</v>
      </c>
    </row>
    <row r="1461" spans="1:17" x14ac:dyDescent="0.25">
      <c r="A1461" s="2" t="s">
        <v>246</v>
      </c>
      <c r="B1461" s="2" t="s">
        <v>119</v>
      </c>
      <c r="C1461" s="2" t="s">
        <v>120</v>
      </c>
      <c r="D1461" s="2" t="s">
        <v>758</v>
      </c>
      <c r="E1461" s="2" t="s">
        <v>782</v>
      </c>
      <c r="F1461" s="2" t="s">
        <v>781</v>
      </c>
      <c r="G1461" s="3">
        <v>46156</v>
      </c>
      <c r="H1461" s="2" t="s">
        <v>753</v>
      </c>
      <c r="I1461" s="2" t="s">
        <v>755</v>
      </c>
      <c r="J1461" s="2" t="s">
        <v>754</v>
      </c>
      <c r="K1461" s="2" t="s">
        <v>753</v>
      </c>
      <c r="L1461" s="6">
        <v>12</v>
      </c>
      <c r="M1461" s="2" t="s">
        <v>752</v>
      </c>
      <c r="N1461" s="7">
        <v>36.18</v>
      </c>
      <c r="O1461" s="4">
        <v>434.16</v>
      </c>
      <c r="P1461" s="4">
        <v>434.16</v>
      </c>
      <c r="Q1461" s="6">
        <v>0</v>
      </c>
    </row>
    <row r="1462" spans="1:17" x14ac:dyDescent="0.25">
      <c r="A1462" s="2" t="s">
        <v>246</v>
      </c>
      <c r="B1462" s="2" t="s">
        <v>119</v>
      </c>
      <c r="C1462" s="2" t="s">
        <v>120</v>
      </c>
      <c r="D1462" s="2" t="s">
        <v>758</v>
      </c>
      <c r="E1462" s="2" t="s">
        <v>813</v>
      </c>
      <c r="F1462" s="2" t="s">
        <v>812</v>
      </c>
      <c r="G1462" s="3">
        <v>46156</v>
      </c>
      <c r="H1462" s="2" t="s">
        <v>753</v>
      </c>
      <c r="I1462" s="2" t="s">
        <v>755</v>
      </c>
      <c r="J1462" s="2" t="s">
        <v>754</v>
      </c>
      <c r="K1462" s="2" t="s">
        <v>753</v>
      </c>
      <c r="L1462" s="6">
        <v>4</v>
      </c>
      <c r="M1462" s="2" t="s">
        <v>752</v>
      </c>
      <c r="N1462" s="7">
        <v>53</v>
      </c>
      <c r="O1462" s="4">
        <v>212</v>
      </c>
      <c r="P1462" s="4">
        <v>212</v>
      </c>
      <c r="Q1462" s="6">
        <v>0</v>
      </c>
    </row>
    <row r="1463" spans="1:17" x14ac:dyDescent="0.25">
      <c r="A1463" s="2" t="s">
        <v>246</v>
      </c>
      <c r="B1463" s="2" t="s">
        <v>119</v>
      </c>
      <c r="C1463" s="2" t="s">
        <v>120</v>
      </c>
      <c r="D1463" s="2" t="s">
        <v>758</v>
      </c>
      <c r="E1463" s="2" t="s">
        <v>776</v>
      </c>
      <c r="F1463" s="2" t="s">
        <v>775</v>
      </c>
      <c r="G1463" s="3">
        <v>46156</v>
      </c>
      <c r="H1463" s="2" t="s">
        <v>753</v>
      </c>
      <c r="I1463" s="2" t="s">
        <v>755</v>
      </c>
      <c r="J1463" s="2" t="s">
        <v>754</v>
      </c>
      <c r="K1463" s="2" t="s">
        <v>753</v>
      </c>
      <c r="L1463" s="6">
        <v>36</v>
      </c>
      <c r="M1463" s="2" t="s">
        <v>752</v>
      </c>
      <c r="N1463" s="7">
        <v>43.82</v>
      </c>
      <c r="O1463" s="4">
        <v>1577.52</v>
      </c>
      <c r="P1463" s="4">
        <v>1577.52</v>
      </c>
      <c r="Q1463" s="6">
        <v>0</v>
      </c>
    </row>
    <row r="1464" spans="1:17" x14ac:dyDescent="0.25">
      <c r="A1464" s="2" t="s">
        <v>246</v>
      </c>
      <c r="B1464" s="2" t="s">
        <v>119</v>
      </c>
      <c r="C1464" s="2" t="s">
        <v>120</v>
      </c>
      <c r="D1464" s="2" t="s">
        <v>758</v>
      </c>
      <c r="E1464" s="2" t="s">
        <v>912</v>
      </c>
      <c r="F1464" s="2" t="s">
        <v>911</v>
      </c>
      <c r="G1464" s="3">
        <v>46156</v>
      </c>
      <c r="H1464" s="2" t="s">
        <v>753</v>
      </c>
      <c r="I1464" s="2" t="s">
        <v>755</v>
      </c>
      <c r="J1464" s="2" t="s">
        <v>754</v>
      </c>
      <c r="K1464" s="2" t="s">
        <v>753</v>
      </c>
      <c r="L1464" s="6">
        <v>12</v>
      </c>
      <c r="M1464" s="2" t="s">
        <v>752</v>
      </c>
      <c r="N1464" s="7">
        <v>55.13</v>
      </c>
      <c r="O1464" s="4">
        <v>661.56</v>
      </c>
      <c r="P1464" s="4">
        <v>661.56</v>
      </c>
      <c r="Q1464" s="6">
        <v>0</v>
      </c>
    </row>
    <row r="1465" spans="1:17" x14ac:dyDescent="0.25">
      <c r="A1465" s="2" t="s">
        <v>244</v>
      </c>
      <c r="B1465" s="2" t="s">
        <v>21</v>
      </c>
      <c r="C1465" s="2" t="s">
        <v>22</v>
      </c>
      <c r="D1465" s="2" t="s">
        <v>758</v>
      </c>
      <c r="E1465" s="2" t="s">
        <v>763</v>
      </c>
      <c r="F1465" s="2" t="s">
        <v>762</v>
      </c>
      <c r="G1465" s="3">
        <v>46156</v>
      </c>
      <c r="H1465" s="2" t="s">
        <v>753</v>
      </c>
      <c r="I1465" s="2" t="s">
        <v>755</v>
      </c>
      <c r="J1465" s="2" t="s">
        <v>754</v>
      </c>
      <c r="K1465" s="2" t="s">
        <v>753</v>
      </c>
      <c r="L1465" s="6">
        <v>196</v>
      </c>
      <c r="M1465" s="2" t="s">
        <v>752</v>
      </c>
      <c r="N1465" s="7">
        <v>42.6</v>
      </c>
      <c r="O1465" s="4">
        <v>8349.6</v>
      </c>
      <c r="P1465" s="4">
        <v>8349.6</v>
      </c>
      <c r="Q1465" s="6">
        <v>0</v>
      </c>
    </row>
    <row r="1466" spans="1:17" x14ac:dyDescent="0.25">
      <c r="A1466" s="2" t="s">
        <v>244</v>
      </c>
      <c r="B1466" s="2" t="s">
        <v>21</v>
      </c>
      <c r="C1466" s="2" t="s">
        <v>22</v>
      </c>
      <c r="D1466" s="2" t="s">
        <v>758</v>
      </c>
      <c r="E1466" s="2" t="s">
        <v>853</v>
      </c>
      <c r="F1466" s="2" t="s">
        <v>852</v>
      </c>
      <c r="G1466" s="3">
        <v>46156</v>
      </c>
      <c r="H1466" s="2" t="s">
        <v>753</v>
      </c>
      <c r="I1466" s="2" t="s">
        <v>755</v>
      </c>
      <c r="J1466" s="2" t="s">
        <v>754</v>
      </c>
      <c r="K1466" s="2" t="s">
        <v>753</v>
      </c>
      <c r="L1466" s="6">
        <v>8</v>
      </c>
      <c r="M1466" s="2" t="s">
        <v>752</v>
      </c>
      <c r="N1466" s="7">
        <v>64</v>
      </c>
      <c r="O1466" s="4">
        <v>512</v>
      </c>
      <c r="P1466" s="4">
        <v>512</v>
      </c>
      <c r="Q1466" s="6">
        <v>0</v>
      </c>
    </row>
    <row r="1467" spans="1:17" x14ac:dyDescent="0.25">
      <c r="A1467" s="2" t="s">
        <v>244</v>
      </c>
      <c r="B1467" s="2" t="s">
        <v>21</v>
      </c>
      <c r="C1467" s="2" t="s">
        <v>22</v>
      </c>
      <c r="D1467" s="2" t="s">
        <v>758</v>
      </c>
      <c r="E1467" s="2" t="s">
        <v>800</v>
      </c>
      <c r="F1467" s="2" t="s">
        <v>799</v>
      </c>
      <c r="G1467" s="3">
        <v>46156</v>
      </c>
      <c r="H1467" s="2" t="s">
        <v>753</v>
      </c>
      <c r="I1467" s="2" t="s">
        <v>755</v>
      </c>
      <c r="J1467" s="2" t="s">
        <v>754</v>
      </c>
      <c r="K1467" s="2" t="s">
        <v>753</v>
      </c>
      <c r="L1467" s="6">
        <v>12</v>
      </c>
      <c r="M1467" s="2" t="s">
        <v>752</v>
      </c>
      <c r="N1467" s="7">
        <v>34.200000000000003</v>
      </c>
      <c r="O1467" s="4">
        <v>410.4</v>
      </c>
      <c r="P1467" s="4">
        <v>410.4</v>
      </c>
      <c r="Q1467" s="6">
        <v>0</v>
      </c>
    </row>
    <row r="1468" spans="1:17" x14ac:dyDescent="0.25">
      <c r="A1468" s="2" t="s">
        <v>244</v>
      </c>
      <c r="B1468" s="2" t="s">
        <v>21</v>
      </c>
      <c r="C1468" s="2" t="s">
        <v>22</v>
      </c>
      <c r="D1468" s="2" t="s">
        <v>758</v>
      </c>
      <c r="E1468" s="2" t="s">
        <v>796</v>
      </c>
      <c r="F1468" s="2" t="s">
        <v>795</v>
      </c>
      <c r="G1468" s="3">
        <v>46156</v>
      </c>
      <c r="H1468" s="2" t="s">
        <v>753</v>
      </c>
      <c r="I1468" s="2" t="s">
        <v>755</v>
      </c>
      <c r="J1468" s="2" t="s">
        <v>754</v>
      </c>
      <c r="K1468" s="2" t="s">
        <v>753</v>
      </c>
      <c r="L1468" s="6">
        <v>24</v>
      </c>
      <c r="M1468" s="2" t="s">
        <v>752</v>
      </c>
      <c r="N1468" s="7">
        <v>35.65</v>
      </c>
      <c r="O1468" s="4">
        <v>855.6</v>
      </c>
      <c r="P1468" s="4">
        <v>855.6</v>
      </c>
      <c r="Q1468" s="6">
        <v>0</v>
      </c>
    </row>
    <row r="1469" spans="1:17" x14ac:dyDescent="0.25">
      <c r="A1469" s="2" t="s">
        <v>244</v>
      </c>
      <c r="B1469" s="2" t="s">
        <v>21</v>
      </c>
      <c r="C1469" s="2" t="s">
        <v>22</v>
      </c>
      <c r="D1469" s="2" t="s">
        <v>758</v>
      </c>
      <c r="E1469" s="2" t="s">
        <v>794</v>
      </c>
      <c r="F1469" s="2" t="s">
        <v>793</v>
      </c>
      <c r="G1469" s="3">
        <v>46156</v>
      </c>
      <c r="H1469" s="2" t="s">
        <v>753</v>
      </c>
      <c r="I1469" s="2" t="s">
        <v>755</v>
      </c>
      <c r="J1469" s="2" t="s">
        <v>754</v>
      </c>
      <c r="K1469" s="2" t="s">
        <v>753</v>
      </c>
      <c r="L1469" s="6">
        <v>0</v>
      </c>
      <c r="M1469" s="2" t="s">
        <v>752</v>
      </c>
      <c r="N1469" s="7">
        <v>40.619999999999997</v>
      </c>
      <c r="O1469" s="4">
        <v>0</v>
      </c>
      <c r="P1469" s="4">
        <v>0</v>
      </c>
      <c r="Q1469" s="6">
        <v>0</v>
      </c>
    </row>
    <row r="1470" spans="1:17" x14ac:dyDescent="0.25">
      <c r="A1470" s="2" t="s">
        <v>244</v>
      </c>
      <c r="B1470" s="2" t="s">
        <v>21</v>
      </c>
      <c r="C1470" s="2" t="s">
        <v>22</v>
      </c>
      <c r="D1470" s="2" t="s">
        <v>758</v>
      </c>
      <c r="E1470" s="2" t="s">
        <v>792</v>
      </c>
      <c r="F1470" s="2" t="s">
        <v>791</v>
      </c>
      <c r="G1470" s="3">
        <v>46156</v>
      </c>
      <c r="H1470" s="2" t="s">
        <v>753</v>
      </c>
      <c r="I1470" s="2" t="s">
        <v>755</v>
      </c>
      <c r="J1470" s="2" t="s">
        <v>754</v>
      </c>
      <c r="K1470" s="2" t="s">
        <v>753</v>
      </c>
      <c r="L1470" s="6">
        <v>8</v>
      </c>
      <c r="M1470" s="2" t="s">
        <v>752</v>
      </c>
      <c r="N1470" s="7">
        <v>35</v>
      </c>
      <c r="O1470" s="4">
        <v>280</v>
      </c>
      <c r="P1470" s="4">
        <v>280</v>
      </c>
      <c r="Q1470" s="6">
        <v>0</v>
      </c>
    </row>
    <row r="1471" spans="1:17" x14ac:dyDescent="0.25">
      <c r="A1471" s="2" t="s">
        <v>244</v>
      </c>
      <c r="B1471" s="2" t="s">
        <v>21</v>
      </c>
      <c r="C1471" s="2" t="s">
        <v>22</v>
      </c>
      <c r="D1471" s="2" t="s">
        <v>758</v>
      </c>
      <c r="E1471" s="2" t="s">
        <v>790</v>
      </c>
      <c r="F1471" s="2" t="s">
        <v>789</v>
      </c>
      <c r="G1471" s="3">
        <v>46156</v>
      </c>
      <c r="H1471" s="2" t="s">
        <v>753</v>
      </c>
      <c r="I1471" s="2" t="s">
        <v>755</v>
      </c>
      <c r="J1471" s="2" t="s">
        <v>754</v>
      </c>
      <c r="K1471" s="2" t="s">
        <v>753</v>
      </c>
      <c r="L1471" s="6">
        <v>0</v>
      </c>
      <c r="M1471" s="2" t="s">
        <v>752</v>
      </c>
      <c r="N1471" s="7">
        <v>39.25</v>
      </c>
      <c r="O1471" s="4">
        <v>0</v>
      </c>
      <c r="P1471" s="4">
        <v>0</v>
      </c>
      <c r="Q1471" s="6">
        <v>0</v>
      </c>
    </row>
    <row r="1472" spans="1:17" x14ac:dyDescent="0.25">
      <c r="A1472" s="2" t="s">
        <v>244</v>
      </c>
      <c r="B1472" s="2" t="s">
        <v>21</v>
      </c>
      <c r="C1472" s="2" t="s">
        <v>22</v>
      </c>
      <c r="D1472" s="2" t="s">
        <v>758</v>
      </c>
      <c r="E1472" s="2" t="s">
        <v>788</v>
      </c>
      <c r="F1472" s="2" t="s">
        <v>787</v>
      </c>
      <c r="G1472" s="3">
        <v>46156</v>
      </c>
      <c r="H1472" s="2" t="s">
        <v>753</v>
      </c>
      <c r="I1472" s="2" t="s">
        <v>755</v>
      </c>
      <c r="J1472" s="2" t="s">
        <v>754</v>
      </c>
      <c r="K1472" s="2" t="s">
        <v>753</v>
      </c>
      <c r="L1472" s="6">
        <v>28</v>
      </c>
      <c r="M1472" s="2" t="s">
        <v>752</v>
      </c>
      <c r="N1472" s="7">
        <v>38.299999999999997</v>
      </c>
      <c r="O1472" s="4">
        <v>1072.4000000000001</v>
      </c>
      <c r="P1472" s="4">
        <v>1072.4000000000001</v>
      </c>
      <c r="Q1472" s="6">
        <v>0</v>
      </c>
    </row>
    <row r="1473" spans="1:17" x14ac:dyDescent="0.25">
      <c r="A1473" s="2" t="s">
        <v>244</v>
      </c>
      <c r="B1473" s="2" t="s">
        <v>21</v>
      </c>
      <c r="C1473" s="2" t="s">
        <v>22</v>
      </c>
      <c r="D1473" s="2" t="s">
        <v>758</v>
      </c>
      <c r="E1473" s="2" t="s">
        <v>772</v>
      </c>
      <c r="F1473" s="2" t="s">
        <v>771</v>
      </c>
      <c r="G1473" s="3">
        <v>46156</v>
      </c>
      <c r="H1473" s="2" t="s">
        <v>753</v>
      </c>
      <c r="I1473" s="2" t="s">
        <v>755</v>
      </c>
      <c r="J1473" s="2" t="s">
        <v>754</v>
      </c>
      <c r="K1473" s="2" t="s">
        <v>753</v>
      </c>
      <c r="L1473" s="6">
        <v>96</v>
      </c>
      <c r="M1473" s="2" t="s">
        <v>752</v>
      </c>
      <c r="N1473" s="7">
        <v>34.5</v>
      </c>
      <c r="O1473" s="4">
        <v>3312</v>
      </c>
      <c r="P1473" s="4">
        <v>3312</v>
      </c>
      <c r="Q1473" s="6">
        <v>0</v>
      </c>
    </row>
    <row r="1474" spans="1:17" x14ac:dyDescent="0.25">
      <c r="A1474" s="2" t="s">
        <v>244</v>
      </c>
      <c r="B1474" s="2" t="s">
        <v>21</v>
      </c>
      <c r="C1474" s="2" t="s">
        <v>22</v>
      </c>
      <c r="D1474" s="2" t="s">
        <v>758</v>
      </c>
      <c r="E1474" s="2" t="s">
        <v>786</v>
      </c>
      <c r="F1474" s="2" t="s">
        <v>785</v>
      </c>
      <c r="G1474" s="3">
        <v>46156</v>
      </c>
      <c r="H1474" s="2" t="s">
        <v>753</v>
      </c>
      <c r="I1474" s="2" t="s">
        <v>755</v>
      </c>
      <c r="J1474" s="2" t="s">
        <v>754</v>
      </c>
      <c r="K1474" s="2" t="s">
        <v>753</v>
      </c>
      <c r="L1474" s="6">
        <v>28</v>
      </c>
      <c r="M1474" s="2" t="s">
        <v>752</v>
      </c>
      <c r="N1474" s="7">
        <v>35</v>
      </c>
      <c r="O1474" s="4">
        <v>980</v>
      </c>
      <c r="P1474" s="4">
        <v>980</v>
      </c>
      <c r="Q1474" s="6">
        <v>0</v>
      </c>
    </row>
    <row r="1475" spans="1:17" x14ac:dyDescent="0.25">
      <c r="A1475" s="2" t="s">
        <v>244</v>
      </c>
      <c r="B1475" s="2" t="s">
        <v>21</v>
      </c>
      <c r="C1475" s="2" t="s">
        <v>22</v>
      </c>
      <c r="D1475" s="2" t="s">
        <v>758</v>
      </c>
      <c r="E1475" s="2" t="s">
        <v>782</v>
      </c>
      <c r="F1475" s="2" t="s">
        <v>781</v>
      </c>
      <c r="G1475" s="3">
        <v>46156</v>
      </c>
      <c r="H1475" s="2" t="s">
        <v>753</v>
      </c>
      <c r="I1475" s="2" t="s">
        <v>755</v>
      </c>
      <c r="J1475" s="2" t="s">
        <v>754</v>
      </c>
      <c r="K1475" s="2" t="s">
        <v>753</v>
      </c>
      <c r="L1475" s="6">
        <v>10</v>
      </c>
      <c r="M1475" s="2" t="s">
        <v>752</v>
      </c>
      <c r="N1475" s="7">
        <v>36.18</v>
      </c>
      <c r="O1475" s="4">
        <v>361.8</v>
      </c>
      <c r="P1475" s="4">
        <v>361.8</v>
      </c>
      <c r="Q1475" s="6">
        <v>0</v>
      </c>
    </row>
    <row r="1476" spans="1:17" x14ac:dyDescent="0.25">
      <c r="A1476" s="2" t="s">
        <v>244</v>
      </c>
      <c r="B1476" s="2" t="s">
        <v>21</v>
      </c>
      <c r="C1476" s="2" t="s">
        <v>22</v>
      </c>
      <c r="D1476" s="2" t="s">
        <v>758</v>
      </c>
      <c r="E1476" s="2" t="s">
        <v>780</v>
      </c>
      <c r="F1476" s="2" t="s">
        <v>779</v>
      </c>
      <c r="G1476" s="3">
        <v>46156</v>
      </c>
      <c r="H1476" s="2" t="s">
        <v>753</v>
      </c>
      <c r="I1476" s="2" t="s">
        <v>755</v>
      </c>
      <c r="J1476" s="2" t="s">
        <v>754</v>
      </c>
      <c r="K1476" s="2" t="s">
        <v>753</v>
      </c>
      <c r="L1476" s="6">
        <v>4</v>
      </c>
      <c r="M1476" s="2" t="s">
        <v>752</v>
      </c>
      <c r="N1476" s="7">
        <v>36.07</v>
      </c>
      <c r="O1476" s="4">
        <v>144.28</v>
      </c>
      <c r="P1476" s="4">
        <v>144.28</v>
      </c>
      <c r="Q1476" s="6">
        <v>0</v>
      </c>
    </row>
    <row r="1477" spans="1:17" x14ac:dyDescent="0.25">
      <c r="A1477" s="2" t="s">
        <v>244</v>
      </c>
      <c r="B1477" s="2" t="s">
        <v>21</v>
      </c>
      <c r="C1477" s="2" t="s">
        <v>22</v>
      </c>
      <c r="D1477" s="2" t="s">
        <v>758</v>
      </c>
      <c r="E1477" s="2" t="s">
        <v>776</v>
      </c>
      <c r="F1477" s="2" t="s">
        <v>775</v>
      </c>
      <c r="G1477" s="3">
        <v>46156</v>
      </c>
      <c r="H1477" s="2" t="s">
        <v>753</v>
      </c>
      <c r="I1477" s="2" t="s">
        <v>755</v>
      </c>
      <c r="J1477" s="2" t="s">
        <v>754</v>
      </c>
      <c r="K1477" s="2" t="s">
        <v>753</v>
      </c>
      <c r="L1477" s="6">
        <v>24</v>
      </c>
      <c r="M1477" s="2" t="s">
        <v>752</v>
      </c>
      <c r="N1477" s="7">
        <v>43.82</v>
      </c>
      <c r="O1477" s="4">
        <v>1051.68</v>
      </c>
      <c r="P1477" s="4">
        <v>1051.68</v>
      </c>
      <c r="Q1477" s="6">
        <v>0</v>
      </c>
    </row>
    <row r="1478" spans="1:17" x14ac:dyDescent="0.25">
      <c r="A1478" s="2" t="s">
        <v>244</v>
      </c>
      <c r="B1478" s="2" t="s">
        <v>21</v>
      </c>
      <c r="C1478" s="2" t="s">
        <v>22</v>
      </c>
      <c r="D1478" s="2" t="s">
        <v>758</v>
      </c>
      <c r="E1478" s="2" t="s">
        <v>798</v>
      </c>
      <c r="F1478" s="2" t="s">
        <v>797</v>
      </c>
      <c r="G1478" s="3">
        <v>46156</v>
      </c>
      <c r="H1478" s="2" t="s">
        <v>753</v>
      </c>
      <c r="I1478" s="2" t="s">
        <v>755</v>
      </c>
      <c r="J1478" s="2" t="s">
        <v>754</v>
      </c>
      <c r="K1478" s="2" t="s">
        <v>753</v>
      </c>
      <c r="L1478" s="6">
        <v>28</v>
      </c>
      <c r="M1478" s="2" t="s">
        <v>752</v>
      </c>
      <c r="N1478" s="7">
        <v>35.65</v>
      </c>
      <c r="O1478" s="4">
        <v>998.2</v>
      </c>
      <c r="P1478" s="4">
        <v>998.2</v>
      </c>
      <c r="Q1478" s="6">
        <v>0</v>
      </c>
    </row>
    <row r="1479" spans="1:17" x14ac:dyDescent="0.25">
      <c r="A1479" s="2" t="s">
        <v>244</v>
      </c>
      <c r="B1479" s="2" t="s">
        <v>21</v>
      </c>
      <c r="C1479" s="2" t="s">
        <v>22</v>
      </c>
      <c r="D1479" s="2" t="s">
        <v>758</v>
      </c>
      <c r="E1479" s="2" t="s">
        <v>757</v>
      </c>
      <c r="F1479" s="2" t="s">
        <v>756</v>
      </c>
      <c r="G1479" s="3">
        <v>46156</v>
      </c>
      <c r="H1479" s="2" t="s">
        <v>753</v>
      </c>
      <c r="I1479" s="2" t="s">
        <v>755</v>
      </c>
      <c r="J1479" s="2" t="s">
        <v>754</v>
      </c>
      <c r="K1479" s="2" t="s">
        <v>753</v>
      </c>
      <c r="L1479" s="6">
        <v>28</v>
      </c>
      <c r="M1479" s="2" t="s">
        <v>752</v>
      </c>
      <c r="N1479" s="7">
        <v>42.11</v>
      </c>
      <c r="O1479" s="4">
        <v>1179.08</v>
      </c>
      <c r="P1479" s="4">
        <v>1179.08</v>
      </c>
      <c r="Q1479" s="6">
        <v>0</v>
      </c>
    </row>
    <row r="1480" spans="1:17" x14ac:dyDescent="0.25">
      <c r="A1480" s="2" t="s">
        <v>244</v>
      </c>
      <c r="B1480" s="2" t="s">
        <v>21</v>
      </c>
      <c r="C1480" s="2" t="s">
        <v>22</v>
      </c>
      <c r="D1480" s="2" t="s">
        <v>758</v>
      </c>
      <c r="E1480" s="2" t="s">
        <v>886</v>
      </c>
      <c r="F1480" s="2" t="s">
        <v>885</v>
      </c>
      <c r="G1480" s="3">
        <v>46156</v>
      </c>
      <c r="H1480" s="2" t="s">
        <v>753</v>
      </c>
      <c r="I1480" s="2" t="s">
        <v>755</v>
      </c>
      <c r="J1480" s="2" t="s">
        <v>754</v>
      </c>
      <c r="K1480" s="2" t="s">
        <v>753</v>
      </c>
      <c r="L1480" s="6">
        <v>8</v>
      </c>
      <c r="M1480" s="2" t="s">
        <v>752</v>
      </c>
      <c r="N1480" s="7">
        <v>64</v>
      </c>
      <c r="O1480" s="4">
        <v>512</v>
      </c>
      <c r="P1480" s="4">
        <v>512</v>
      </c>
      <c r="Q1480" s="6">
        <v>0</v>
      </c>
    </row>
    <row r="1481" spans="1:17" x14ac:dyDescent="0.25">
      <c r="A1481" s="2" t="s">
        <v>234</v>
      </c>
      <c r="B1481" s="2" t="s">
        <v>177</v>
      </c>
      <c r="C1481" s="2" t="s">
        <v>178</v>
      </c>
      <c r="D1481" s="2" t="s">
        <v>758</v>
      </c>
      <c r="E1481" s="2" t="s">
        <v>763</v>
      </c>
      <c r="F1481" s="2" t="s">
        <v>762</v>
      </c>
      <c r="G1481" s="3">
        <v>46161</v>
      </c>
      <c r="H1481" s="2" t="s">
        <v>753</v>
      </c>
      <c r="I1481" s="2" t="s">
        <v>755</v>
      </c>
      <c r="J1481" s="2" t="s">
        <v>754</v>
      </c>
      <c r="K1481" s="2" t="s">
        <v>753</v>
      </c>
      <c r="L1481" s="6">
        <v>52</v>
      </c>
      <c r="M1481" s="2" t="s">
        <v>752</v>
      </c>
      <c r="N1481" s="7">
        <v>42.6</v>
      </c>
      <c r="O1481" s="4">
        <v>2215.1999999999998</v>
      </c>
      <c r="P1481" s="4">
        <v>2215.1999999999998</v>
      </c>
      <c r="Q1481" s="6">
        <v>0</v>
      </c>
    </row>
    <row r="1482" spans="1:17" x14ac:dyDescent="0.25">
      <c r="A1482" s="2" t="s">
        <v>234</v>
      </c>
      <c r="B1482" s="2" t="s">
        <v>177</v>
      </c>
      <c r="C1482" s="2" t="s">
        <v>178</v>
      </c>
      <c r="D1482" s="2" t="s">
        <v>758</v>
      </c>
      <c r="E1482" s="2" t="s">
        <v>881</v>
      </c>
      <c r="F1482" s="2" t="s">
        <v>880</v>
      </c>
      <c r="G1482" s="3">
        <v>46161</v>
      </c>
      <c r="H1482" s="2" t="s">
        <v>753</v>
      </c>
      <c r="I1482" s="2" t="s">
        <v>755</v>
      </c>
      <c r="J1482" s="2" t="s">
        <v>754</v>
      </c>
      <c r="K1482" s="2" t="s">
        <v>753</v>
      </c>
      <c r="L1482" s="6">
        <v>16</v>
      </c>
      <c r="M1482" s="2" t="s">
        <v>752</v>
      </c>
      <c r="N1482" s="7">
        <v>41.15</v>
      </c>
      <c r="O1482" s="4">
        <v>658.4</v>
      </c>
      <c r="P1482" s="4">
        <v>658.4</v>
      </c>
      <c r="Q1482" s="6">
        <v>0</v>
      </c>
    </row>
    <row r="1483" spans="1:17" x14ac:dyDescent="0.25">
      <c r="A1483" s="2" t="s">
        <v>234</v>
      </c>
      <c r="B1483" s="2" t="s">
        <v>177</v>
      </c>
      <c r="C1483" s="2" t="s">
        <v>178</v>
      </c>
      <c r="D1483" s="2" t="s">
        <v>758</v>
      </c>
      <c r="E1483" s="2" t="s">
        <v>914</v>
      </c>
      <c r="F1483" s="2" t="s">
        <v>913</v>
      </c>
      <c r="G1483" s="3">
        <v>46161</v>
      </c>
      <c r="H1483" s="2" t="s">
        <v>753</v>
      </c>
      <c r="I1483" s="2" t="s">
        <v>755</v>
      </c>
      <c r="J1483" s="2" t="s">
        <v>754</v>
      </c>
      <c r="K1483" s="2" t="s">
        <v>753</v>
      </c>
      <c r="L1483" s="6">
        <v>8</v>
      </c>
      <c r="M1483" s="2" t="s">
        <v>752</v>
      </c>
      <c r="N1483" s="7">
        <v>41.6</v>
      </c>
      <c r="O1483" s="4">
        <v>332.8</v>
      </c>
      <c r="P1483" s="4">
        <v>332.8</v>
      </c>
      <c r="Q1483" s="6">
        <v>0</v>
      </c>
    </row>
    <row r="1484" spans="1:17" x14ac:dyDescent="0.25">
      <c r="A1484" s="2" t="s">
        <v>184</v>
      </c>
      <c r="B1484" s="2" t="s">
        <v>59</v>
      </c>
      <c r="C1484" s="2" t="s">
        <v>60</v>
      </c>
      <c r="D1484" s="2" t="s">
        <v>758</v>
      </c>
      <c r="E1484" s="2" t="s">
        <v>871</v>
      </c>
      <c r="F1484" s="2" t="s">
        <v>870</v>
      </c>
      <c r="G1484" s="3">
        <v>46174</v>
      </c>
      <c r="H1484" s="2" t="s">
        <v>753</v>
      </c>
      <c r="I1484" s="2" t="s">
        <v>755</v>
      </c>
      <c r="J1484" s="2" t="s">
        <v>754</v>
      </c>
      <c r="K1484" s="2" t="s">
        <v>753</v>
      </c>
      <c r="L1484" s="6">
        <v>60</v>
      </c>
      <c r="M1484" s="2" t="s">
        <v>752</v>
      </c>
      <c r="N1484" s="7">
        <v>41.7</v>
      </c>
      <c r="O1484" s="4">
        <v>2502</v>
      </c>
      <c r="P1484" s="4">
        <v>2502</v>
      </c>
      <c r="Q1484" s="6">
        <v>0</v>
      </c>
    </row>
    <row r="1485" spans="1:17" x14ac:dyDescent="0.25">
      <c r="A1485" s="2" t="s">
        <v>184</v>
      </c>
      <c r="B1485" s="2" t="s">
        <v>59</v>
      </c>
      <c r="C1485" s="2" t="s">
        <v>60</v>
      </c>
      <c r="D1485" s="2" t="s">
        <v>758</v>
      </c>
      <c r="E1485" s="2" t="s">
        <v>896</v>
      </c>
      <c r="F1485" s="2" t="s">
        <v>895</v>
      </c>
      <c r="G1485" s="3">
        <v>46174</v>
      </c>
      <c r="H1485" s="2" t="s">
        <v>753</v>
      </c>
      <c r="I1485" s="2" t="s">
        <v>755</v>
      </c>
      <c r="J1485" s="2" t="s">
        <v>754</v>
      </c>
      <c r="K1485" s="2" t="s">
        <v>753</v>
      </c>
      <c r="L1485" s="6">
        <v>36</v>
      </c>
      <c r="M1485" s="2" t="s">
        <v>752</v>
      </c>
      <c r="N1485" s="7">
        <v>41.49</v>
      </c>
      <c r="O1485" s="4">
        <v>1493.64</v>
      </c>
      <c r="P1485" s="4">
        <v>1493.64</v>
      </c>
      <c r="Q1485" s="6">
        <v>0</v>
      </c>
    </row>
    <row r="1486" spans="1:17" x14ac:dyDescent="0.25">
      <c r="A1486" s="2" t="s">
        <v>184</v>
      </c>
      <c r="B1486" s="2" t="s">
        <v>59</v>
      </c>
      <c r="C1486" s="2" t="s">
        <v>60</v>
      </c>
      <c r="D1486" s="2" t="s">
        <v>758</v>
      </c>
      <c r="E1486" s="2" t="s">
        <v>869</v>
      </c>
      <c r="F1486" s="2" t="s">
        <v>868</v>
      </c>
      <c r="G1486" s="3">
        <v>46174</v>
      </c>
      <c r="H1486" s="2" t="s">
        <v>753</v>
      </c>
      <c r="I1486" s="2" t="s">
        <v>755</v>
      </c>
      <c r="J1486" s="2" t="s">
        <v>754</v>
      </c>
      <c r="K1486" s="2" t="s">
        <v>753</v>
      </c>
      <c r="L1486" s="6">
        <v>120</v>
      </c>
      <c r="M1486" s="2" t="s">
        <v>752</v>
      </c>
      <c r="N1486" s="7">
        <v>48.49</v>
      </c>
      <c r="O1486" s="4">
        <v>5818.8</v>
      </c>
      <c r="P1486" s="4">
        <v>5818.8</v>
      </c>
      <c r="Q1486" s="6">
        <v>0</v>
      </c>
    </row>
    <row r="1487" spans="1:17" x14ac:dyDescent="0.25">
      <c r="A1487" s="2" t="s">
        <v>184</v>
      </c>
      <c r="B1487" s="2" t="s">
        <v>59</v>
      </c>
      <c r="C1487" s="2" t="s">
        <v>60</v>
      </c>
      <c r="D1487" s="2" t="s">
        <v>758</v>
      </c>
      <c r="E1487" s="2" t="s">
        <v>867</v>
      </c>
      <c r="F1487" s="2" t="s">
        <v>866</v>
      </c>
      <c r="G1487" s="3">
        <v>46174</v>
      </c>
      <c r="H1487" s="2" t="s">
        <v>753</v>
      </c>
      <c r="I1487" s="2" t="s">
        <v>755</v>
      </c>
      <c r="J1487" s="2" t="s">
        <v>754</v>
      </c>
      <c r="K1487" s="2" t="s">
        <v>753</v>
      </c>
      <c r="L1487" s="6">
        <v>31</v>
      </c>
      <c r="M1487" s="2" t="s">
        <v>752</v>
      </c>
      <c r="N1487" s="7">
        <v>36.299999999999997</v>
      </c>
      <c r="O1487" s="4">
        <v>1125.3</v>
      </c>
      <c r="P1487" s="4">
        <v>1125.3</v>
      </c>
      <c r="Q1487" s="6">
        <v>0</v>
      </c>
    </row>
    <row r="1488" spans="1:17" x14ac:dyDescent="0.25">
      <c r="A1488" s="2" t="s">
        <v>184</v>
      </c>
      <c r="B1488" s="2" t="s">
        <v>59</v>
      </c>
      <c r="C1488" s="2" t="s">
        <v>60</v>
      </c>
      <c r="D1488" s="2" t="s">
        <v>758</v>
      </c>
      <c r="E1488" s="2" t="s">
        <v>863</v>
      </c>
      <c r="F1488" s="2" t="s">
        <v>862</v>
      </c>
      <c r="G1488" s="3">
        <v>46174</v>
      </c>
      <c r="H1488" s="2" t="s">
        <v>753</v>
      </c>
      <c r="I1488" s="2" t="s">
        <v>755</v>
      </c>
      <c r="J1488" s="2" t="s">
        <v>754</v>
      </c>
      <c r="K1488" s="2" t="s">
        <v>753</v>
      </c>
      <c r="L1488" s="6">
        <v>28</v>
      </c>
      <c r="M1488" s="2" t="s">
        <v>752</v>
      </c>
      <c r="N1488" s="7">
        <v>33.299999999999997</v>
      </c>
      <c r="O1488" s="4">
        <v>932.4</v>
      </c>
      <c r="P1488" s="4">
        <v>932.4</v>
      </c>
      <c r="Q1488" s="6">
        <v>0</v>
      </c>
    </row>
    <row r="1489" spans="1:17" x14ac:dyDescent="0.25">
      <c r="A1489" s="2" t="s">
        <v>184</v>
      </c>
      <c r="B1489" s="2" t="s">
        <v>59</v>
      </c>
      <c r="C1489" s="2" t="s">
        <v>60</v>
      </c>
      <c r="D1489" s="2" t="s">
        <v>758</v>
      </c>
      <c r="E1489" s="2" t="s">
        <v>763</v>
      </c>
      <c r="F1489" s="2" t="s">
        <v>762</v>
      </c>
      <c r="G1489" s="3">
        <v>46174</v>
      </c>
      <c r="H1489" s="2" t="s">
        <v>753</v>
      </c>
      <c r="I1489" s="2" t="s">
        <v>755</v>
      </c>
      <c r="J1489" s="2" t="s">
        <v>754</v>
      </c>
      <c r="K1489" s="2" t="s">
        <v>753</v>
      </c>
      <c r="L1489" s="6">
        <v>84</v>
      </c>
      <c r="M1489" s="2" t="s">
        <v>752</v>
      </c>
      <c r="N1489" s="7">
        <v>36.82</v>
      </c>
      <c r="O1489" s="4">
        <v>3092.88</v>
      </c>
      <c r="P1489" s="4">
        <v>3092.88</v>
      </c>
      <c r="Q1489" s="6">
        <v>0</v>
      </c>
    </row>
    <row r="1490" spans="1:17" x14ac:dyDescent="0.25">
      <c r="A1490" s="2" t="s">
        <v>184</v>
      </c>
      <c r="B1490" s="2" t="s">
        <v>59</v>
      </c>
      <c r="C1490" s="2" t="s">
        <v>60</v>
      </c>
      <c r="D1490" s="2" t="s">
        <v>758</v>
      </c>
      <c r="E1490" s="2" t="s">
        <v>861</v>
      </c>
      <c r="F1490" s="2" t="s">
        <v>860</v>
      </c>
      <c r="G1490" s="3">
        <v>46174</v>
      </c>
      <c r="H1490" s="2" t="s">
        <v>753</v>
      </c>
      <c r="I1490" s="2" t="s">
        <v>755</v>
      </c>
      <c r="J1490" s="2" t="s">
        <v>754</v>
      </c>
      <c r="K1490" s="2" t="s">
        <v>753</v>
      </c>
      <c r="L1490" s="6">
        <v>56</v>
      </c>
      <c r="M1490" s="2" t="s">
        <v>752</v>
      </c>
      <c r="N1490" s="7">
        <v>39.700000000000003</v>
      </c>
      <c r="O1490" s="4">
        <v>2223.1999999999998</v>
      </c>
      <c r="P1490" s="4">
        <v>2223.1999999999998</v>
      </c>
      <c r="Q1490" s="6">
        <v>0</v>
      </c>
    </row>
    <row r="1491" spans="1:17" x14ac:dyDescent="0.25">
      <c r="A1491" s="2" t="s">
        <v>184</v>
      </c>
      <c r="B1491" s="2" t="s">
        <v>59</v>
      </c>
      <c r="C1491" s="2" t="s">
        <v>60</v>
      </c>
      <c r="D1491" s="2" t="s">
        <v>758</v>
      </c>
      <c r="E1491" s="2" t="s">
        <v>757</v>
      </c>
      <c r="F1491" s="2" t="s">
        <v>756</v>
      </c>
      <c r="G1491" s="3">
        <v>46174</v>
      </c>
      <c r="H1491" s="2" t="s">
        <v>753</v>
      </c>
      <c r="I1491" s="2" t="s">
        <v>755</v>
      </c>
      <c r="J1491" s="2" t="s">
        <v>754</v>
      </c>
      <c r="K1491" s="2" t="s">
        <v>753</v>
      </c>
      <c r="L1491" s="6">
        <v>252</v>
      </c>
      <c r="M1491" s="2" t="s">
        <v>752</v>
      </c>
      <c r="N1491" s="7">
        <v>39.700000000000003</v>
      </c>
      <c r="O1491" s="4">
        <v>10004.4</v>
      </c>
      <c r="P1491" s="4">
        <v>10004.4</v>
      </c>
      <c r="Q1491" s="6">
        <v>0</v>
      </c>
    </row>
    <row r="1492" spans="1:17" x14ac:dyDescent="0.25">
      <c r="A1492" s="2" t="s">
        <v>184</v>
      </c>
      <c r="B1492" s="2" t="s">
        <v>59</v>
      </c>
      <c r="C1492" s="2" t="s">
        <v>60</v>
      </c>
      <c r="D1492" s="2" t="s">
        <v>758</v>
      </c>
      <c r="E1492" s="2" t="s">
        <v>865</v>
      </c>
      <c r="F1492" s="2" t="s">
        <v>864</v>
      </c>
      <c r="G1492" s="3">
        <v>46174</v>
      </c>
      <c r="H1492" s="2" t="s">
        <v>753</v>
      </c>
      <c r="I1492" s="2" t="s">
        <v>755</v>
      </c>
      <c r="J1492" s="2" t="s">
        <v>754</v>
      </c>
      <c r="K1492" s="2" t="s">
        <v>753</v>
      </c>
      <c r="L1492" s="6">
        <v>36</v>
      </c>
      <c r="M1492" s="2" t="s">
        <v>752</v>
      </c>
      <c r="N1492" s="7">
        <v>36</v>
      </c>
      <c r="O1492" s="4">
        <v>1296</v>
      </c>
      <c r="P1492" s="4">
        <v>1296</v>
      </c>
      <c r="Q1492" s="6">
        <v>0</v>
      </c>
    </row>
    <row r="1493" spans="1:17" x14ac:dyDescent="0.25">
      <c r="A1493" s="2" t="s">
        <v>210</v>
      </c>
      <c r="B1493" s="2" t="s">
        <v>149</v>
      </c>
      <c r="C1493" s="2" t="s">
        <v>150</v>
      </c>
      <c r="D1493" s="2" t="s">
        <v>758</v>
      </c>
      <c r="E1493" s="2" t="s">
        <v>763</v>
      </c>
      <c r="F1493" s="2" t="s">
        <v>762</v>
      </c>
      <c r="G1493" s="3">
        <v>46167</v>
      </c>
      <c r="H1493" s="2" t="s">
        <v>753</v>
      </c>
      <c r="I1493" s="2" t="s">
        <v>755</v>
      </c>
      <c r="J1493" s="2" t="s">
        <v>754</v>
      </c>
      <c r="K1493" s="2" t="s">
        <v>753</v>
      </c>
      <c r="L1493" s="6">
        <v>224</v>
      </c>
      <c r="M1493" s="2" t="s">
        <v>752</v>
      </c>
      <c r="N1493" s="7">
        <v>42.6</v>
      </c>
      <c r="O1493" s="4">
        <v>9542.4</v>
      </c>
      <c r="P1493" s="4">
        <v>9542.4</v>
      </c>
      <c r="Q1493" s="6">
        <v>0</v>
      </c>
    </row>
    <row r="1494" spans="1:17" x14ac:dyDescent="0.25">
      <c r="A1494" s="2" t="s">
        <v>210</v>
      </c>
      <c r="B1494" s="2" t="s">
        <v>149</v>
      </c>
      <c r="C1494" s="2" t="s">
        <v>150</v>
      </c>
      <c r="D1494" s="2" t="s">
        <v>758</v>
      </c>
      <c r="E1494" s="2" t="s">
        <v>772</v>
      </c>
      <c r="F1494" s="2" t="s">
        <v>771</v>
      </c>
      <c r="G1494" s="3">
        <v>46167</v>
      </c>
      <c r="H1494" s="2" t="s">
        <v>753</v>
      </c>
      <c r="I1494" s="2" t="s">
        <v>755</v>
      </c>
      <c r="J1494" s="2" t="s">
        <v>754</v>
      </c>
      <c r="K1494" s="2" t="s">
        <v>753</v>
      </c>
      <c r="L1494" s="6">
        <v>504</v>
      </c>
      <c r="M1494" s="2" t="s">
        <v>752</v>
      </c>
      <c r="N1494" s="7">
        <v>34.5</v>
      </c>
      <c r="O1494" s="4">
        <v>17388</v>
      </c>
      <c r="P1494" s="4">
        <v>17388</v>
      </c>
      <c r="Q1494" s="6">
        <v>0</v>
      </c>
    </row>
    <row r="1495" spans="1:17" x14ac:dyDescent="0.25">
      <c r="A1495" s="2" t="s">
        <v>210</v>
      </c>
      <c r="B1495" s="2" t="s">
        <v>149</v>
      </c>
      <c r="C1495" s="2" t="s">
        <v>150</v>
      </c>
      <c r="D1495" s="2" t="s">
        <v>758</v>
      </c>
      <c r="E1495" s="2" t="s">
        <v>786</v>
      </c>
      <c r="F1495" s="2" t="s">
        <v>785</v>
      </c>
      <c r="G1495" s="3">
        <v>46167</v>
      </c>
      <c r="H1495" s="2" t="s">
        <v>753</v>
      </c>
      <c r="I1495" s="2" t="s">
        <v>755</v>
      </c>
      <c r="J1495" s="2" t="s">
        <v>754</v>
      </c>
      <c r="K1495" s="2" t="s">
        <v>753</v>
      </c>
      <c r="L1495" s="6">
        <v>112</v>
      </c>
      <c r="M1495" s="2" t="s">
        <v>752</v>
      </c>
      <c r="N1495" s="7">
        <v>35</v>
      </c>
      <c r="O1495" s="4">
        <v>3920</v>
      </c>
      <c r="P1495" s="4">
        <v>3920</v>
      </c>
      <c r="Q1495" s="6">
        <v>0</v>
      </c>
    </row>
    <row r="1496" spans="1:17" x14ac:dyDescent="0.25">
      <c r="A1496" s="2" t="s">
        <v>224</v>
      </c>
      <c r="B1496" s="2" t="s">
        <v>73</v>
      </c>
      <c r="C1496" s="2" t="s">
        <v>74</v>
      </c>
      <c r="D1496" s="2" t="s">
        <v>758</v>
      </c>
      <c r="E1496" s="2" t="s">
        <v>881</v>
      </c>
      <c r="F1496" s="2" t="s">
        <v>880</v>
      </c>
      <c r="G1496" s="3">
        <v>46163</v>
      </c>
      <c r="H1496" s="2" t="s">
        <v>753</v>
      </c>
      <c r="I1496" s="2" t="s">
        <v>755</v>
      </c>
      <c r="J1496" s="2" t="s">
        <v>754</v>
      </c>
      <c r="K1496" s="2" t="s">
        <v>753</v>
      </c>
      <c r="L1496" s="6">
        <v>28</v>
      </c>
      <c r="M1496" s="2" t="s">
        <v>752</v>
      </c>
      <c r="N1496" s="7">
        <v>50.05</v>
      </c>
      <c r="O1496" s="4">
        <v>1401.4</v>
      </c>
      <c r="P1496" s="4">
        <v>1401.4</v>
      </c>
      <c r="Q1496" s="6">
        <v>0</v>
      </c>
    </row>
    <row r="1497" spans="1:17" x14ac:dyDescent="0.25">
      <c r="A1497" s="2" t="s">
        <v>224</v>
      </c>
      <c r="B1497" s="2" t="s">
        <v>73</v>
      </c>
      <c r="C1497" s="2" t="s">
        <v>74</v>
      </c>
      <c r="D1497" s="2" t="s">
        <v>758</v>
      </c>
      <c r="E1497" s="2" t="s">
        <v>794</v>
      </c>
      <c r="F1497" s="2" t="s">
        <v>793</v>
      </c>
      <c r="G1497" s="3">
        <v>46163</v>
      </c>
      <c r="H1497" s="2" t="s">
        <v>753</v>
      </c>
      <c r="I1497" s="2" t="s">
        <v>755</v>
      </c>
      <c r="J1497" s="2" t="s">
        <v>754</v>
      </c>
      <c r="K1497" s="2" t="s">
        <v>753</v>
      </c>
      <c r="L1497" s="6">
        <v>364</v>
      </c>
      <c r="M1497" s="2" t="s">
        <v>752</v>
      </c>
      <c r="N1497" s="7">
        <v>36</v>
      </c>
      <c r="O1497" s="4">
        <v>13104</v>
      </c>
      <c r="P1497" s="4">
        <v>13104</v>
      </c>
      <c r="Q1497" s="6">
        <v>0</v>
      </c>
    </row>
    <row r="1498" spans="1:17" x14ac:dyDescent="0.25">
      <c r="A1498" s="2" t="s">
        <v>224</v>
      </c>
      <c r="B1498" s="2" t="s">
        <v>73</v>
      </c>
      <c r="C1498" s="2" t="s">
        <v>74</v>
      </c>
      <c r="D1498" s="2" t="s">
        <v>758</v>
      </c>
      <c r="E1498" s="2" t="s">
        <v>879</v>
      </c>
      <c r="F1498" s="2" t="s">
        <v>878</v>
      </c>
      <c r="G1498" s="3">
        <v>46163</v>
      </c>
      <c r="H1498" s="2" t="s">
        <v>753</v>
      </c>
      <c r="I1498" s="2" t="s">
        <v>755</v>
      </c>
      <c r="J1498" s="2" t="s">
        <v>754</v>
      </c>
      <c r="K1498" s="2" t="s">
        <v>753</v>
      </c>
      <c r="L1498" s="6">
        <v>56</v>
      </c>
      <c r="M1498" s="2" t="s">
        <v>752</v>
      </c>
      <c r="N1498" s="7">
        <v>30</v>
      </c>
      <c r="O1498" s="4">
        <v>1680</v>
      </c>
      <c r="P1498" s="4">
        <v>1680</v>
      </c>
      <c r="Q1498" s="6">
        <v>0</v>
      </c>
    </row>
    <row r="1499" spans="1:17" x14ac:dyDescent="0.25">
      <c r="A1499" s="2" t="s">
        <v>224</v>
      </c>
      <c r="B1499" s="2" t="s">
        <v>73</v>
      </c>
      <c r="C1499" s="2" t="s">
        <v>74</v>
      </c>
      <c r="D1499" s="2" t="s">
        <v>758</v>
      </c>
      <c r="E1499" s="2" t="s">
        <v>815</v>
      </c>
      <c r="F1499" s="2" t="s">
        <v>814</v>
      </c>
      <c r="G1499" s="3">
        <v>46163</v>
      </c>
      <c r="H1499" s="2" t="s">
        <v>753</v>
      </c>
      <c r="I1499" s="2" t="s">
        <v>755</v>
      </c>
      <c r="J1499" s="2" t="s">
        <v>754</v>
      </c>
      <c r="K1499" s="2" t="s">
        <v>753</v>
      </c>
      <c r="L1499" s="6">
        <v>84</v>
      </c>
      <c r="M1499" s="2" t="s">
        <v>752</v>
      </c>
      <c r="N1499" s="7">
        <v>40</v>
      </c>
      <c r="O1499" s="4">
        <v>3360</v>
      </c>
      <c r="P1499" s="4">
        <v>3360</v>
      </c>
      <c r="Q1499" s="6">
        <v>0</v>
      </c>
    </row>
    <row r="1500" spans="1:17" x14ac:dyDescent="0.25">
      <c r="A1500" s="2" t="s">
        <v>224</v>
      </c>
      <c r="B1500" s="2" t="s">
        <v>73</v>
      </c>
      <c r="C1500" s="2" t="s">
        <v>74</v>
      </c>
      <c r="D1500" s="2" t="s">
        <v>758</v>
      </c>
      <c r="E1500" s="2" t="s">
        <v>877</v>
      </c>
      <c r="F1500" s="2" t="s">
        <v>876</v>
      </c>
      <c r="G1500" s="3">
        <v>46163</v>
      </c>
      <c r="H1500" s="2" t="s">
        <v>753</v>
      </c>
      <c r="I1500" s="2" t="s">
        <v>755</v>
      </c>
      <c r="J1500" s="2" t="s">
        <v>754</v>
      </c>
      <c r="K1500" s="2" t="s">
        <v>753</v>
      </c>
      <c r="L1500" s="6">
        <v>15</v>
      </c>
      <c r="M1500" s="2" t="s">
        <v>752</v>
      </c>
      <c r="N1500" s="7">
        <v>50.95</v>
      </c>
      <c r="O1500" s="4">
        <v>764.25</v>
      </c>
      <c r="P1500" s="4">
        <v>764.25</v>
      </c>
      <c r="Q1500" s="6">
        <v>0</v>
      </c>
    </row>
    <row r="1501" spans="1:17" x14ac:dyDescent="0.25">
      <c r="A1501" s="2" t="s">
        <v>934</v>
      </c>
      <c r="B1501" s="2" t="s">
        <v>933</v>
      </c>
      <c r="C1501" s="2" t="s">
        <v>932</v>
      </c>
      <c r="D1501" s="2" t="s">
        <v>758</v>
      </c>
      <c r="E1501" s="2" t="s">
        <v>819</v>
      </c>
      <c r="F1501" s="2" t="s">
        <v>818</v>
      </c>
      <c r="G1501" s="3">
        <v>46157</v>
      </c>
      <c r="H1501" s="2" t="s">
        <v>753</v>
      </c>
      <c r="I1501" s="2" t="s">
        <v>755</v>
      </c>
      <c r="J1501" s="2" t="s">
        <v>754</v>
      </c>
      <c r="K1501" s="2" t="s">
        <v>753</v>
      </c>
      <c r="L1501" s="6">
        <v>16</v>
      </c>
      <c r="M1501" s="2" t="s">
        <v>752</v>
      </c>
      <c r="N1501" s="7">
        <v>2</v>
      </c>
      <c r="O1501" s="4">
        <v>32</v>
      </c>
      <c r="P1501" s="4">
        <v>32</v>
      </c>
      <c r="Q1501" s="6">
        <v>0</v>
      </c>
    </row>
    <row r="1502" spans="1:17" x14ac:dyDescent="0.25">
      <c r="A1502" s="2" t="s">
        <v>204</v>
      </c>
      <c r="B1502" s="2" t="s">
        <v>49</v>
      </c>
      <c r="C1502" s="2" t="s">
        <v>50</v>
      </c>
      <c r="D1502" s="2" t="s">
        <v>758</v>
      </c>
      <c r="E1502" s="2" t="s">
        <v>871</v>
      </c>
      <c r="F1502" s="2" t="s">
        <v>870</v>
      </c>
      <c r="G1502" s="3">
        <v>46168</v>
      </c>
      <c r="H1502" s="2" t="s">
        <v>753</v>
      </c>
      <c r="I1502" s="2" t="s">
        <v>755</v>
      </c>
      <c r="J1502" s="2" t="s">
        <v>754</v>
      </c>
      <c r="K1502" s="2" t="s">
        <v>753</v>
      </c>
      <c r="L1502" s="6">
        <v>20</v>
      </c>
      <c r="M1502" s="2" t="s">
        <v>752</v>
      </c>
      <c r="N1502" s="7">
        <v>37.5</v>
      </c>
      <c r="O1502" s="4">
        <v>750</v>
      </c>
      <c r="P1502" s="4">
        <v>750</v>
      </c>
      <c r="Q1502" s="6">
        <v>0</v>
      </c>
    </row>
    <row r="1503" spans="1:17" x14ac:dyDescent="0.25">
      <c r="A1503" s="2" t="s">
        <v>204</v>
      </c>
      <c r="B1503" s="2" t="s">
        <v>49</v>
      </c>
      <c r="C1503" s="2" t="s">
        <v>50</v>
      </c>
      <c r="D1503" s="2" t="s">
        <v>758</v>
      </c>
      <c r="E1503" s="2" t="s">
        <v>875</v>
      </c>
      <c r="F1503" s="2" t="s">
        <v>874</v>
      </c>
      <c r="G1503" s="3">
        <v>46168</v>
      </c>
      <c r="H1503" s="2" t="s">
        <v>753</v>
      </c>
      <c r="I1503" s="2" t="s">
        <v>755</v>
      </c>
      <c r="J1503" s="2" t="s">
        <v>754</v>
      </c>
      <c r="K1503" s="2" t="s">
        <v>753</v>
      </c>
      <c r="L1503" s="6">
        <v>32</v>
      </c>
      <c r="M1503" s="2" t="s">
        <v>752</v>
      </c>
      <c r="N1503" s="7">
        <v>34.5</v>
      </c>
      <c r="O1503" s="4">
        <v>1104</v>
      </c>
      <c r="P1503" s="4">
        <v>1104</v>
      </c>
      <c r="Q1503" s="6">
        <v>0</v>
      </c>
    </row>
    <row r="1504" spans="1:17" x14ac:dyDescent="0.25">
      <c r="A1504" s="2" t="s">
        <v>214</v>
      </c>
      <c r="B1504" s="2" t="s">
        <v>99</v>
      </c>
      <c r="C1504" s="2" t="s">
        <v>100</v>
      </c>
      <c r="D1504" s="2" t="s">
        <v>758</v>
      </c>
      <c r="E1504" s="2" t="s">
        <v>863</v>
      </c>
      <c r="F1504" s="2" t="s">
        <v>862</v>
      </c>
      <c r="G1504" s="3">
        <v>46164</v>
      </c>
      <c r="H1504" s="2" t="s">
        <v>770</v>
      </c>
      <c r="I1504" s="2" t="s">
        <v>755</v>
      </c>
      <c r="J1504" s="2" t="s">
        <v>754</v>
      </c>
      <c r="K1504" s="2" t="s">
        <v>753</v>
      </c>
      <c r="L1504" s="6">
        <v>84</v>
      </c>
      <c r="M1504" s="2" t="s">
        <v>752</v>
      </c>
      <c r="N1504" s="7">
        <v>33.299999999999997</v>
      </c>
      <c r="O1504" s="4">
        <v>2797.2</v>
      </c>
      <c r="P1504" s="4">
        <v>2797.2</v>
      </c>
      <c r="Q1504" s="6">
        <v>0</v>
      </c>
    </row>
    <row r="1505" spans="1:17" x14ac:dyDescent="0.25">
      <c r="A1505" s="2" t="s">
        <v>214</v>
      </c>
      <c r="B1505" s="2" t="s">
        <v>99</v>
      </c>
      <c r="C1505" s="2" t="s">
        <v>100</v>
      </c>
      <c r="D1505" s="2" t="s">
        <v>758</v>
      </c>
      <c r="E1505" s="2" t="s">
        <v>763</v>
      </c>
      <c r="F1505" s="2" t="s">
        <v>762</v>
      </c>
      <c r="G1505" s="3">
        <v>46164</v>
      </c>
      <c r="H1505" s="2" t="s">
        <v>770</v>
      </c>
      <c r="I1505" s="2" t="s">
        <v>755</v>
      </c>
      <c r="J1505" s="2" t="s">
        <v>754</v>
      </c>
      <c r="K1505" s="2" t="s">
        <v>753</v>
      </c>
      <c r="L1505" s="6">
        <v>364</v>
      </c>
      <c r="M1505" s="2" t="s">
        <v>752</v>
      </c>
      <c r="N1505" s="7">
        <v>36.82</v>
      </c>
      <c r="O1505" s="4">
        <v>13402.48</v>
      </c>
      <c r="P1505" s="4">
        <v>13402.48</v>
      </c>
      <c r="Q1505" s="6">
        <v>0</v>
      </c>
    </row>
    <row r="1506" spans="1:17" x14ac:dyDescent="0.25">
      <c r="A1506" s="2" t="s">
        <v>214</v>
      </c>
      <c r="B1506" s="2" t="s">
        <v>99</v>
      </c>
      <c r="C1506" s="2" t="s">
        <v>100</v>
      </c>
      <c r="D1506" s="2" t="s">
        <v>758</v>
      </c>
      <c r="E1506" s="2" t="s">
        <v>861</v>
      </c>
      <c r="F1506" s="2" t="s">
        <v>860</v>
      </c>
      <c r="G1506" s="3">
        <v>46164</v>
      </c>
      <c r="H1506" s="2" t="s">
        <v>770</v>
      </c>
      <c r="I1506" s="2" t="s">
        <v>755</v>
      </c>
      <c r="J1506" s="2" t="s">
        <v>754</v>
      </c>
      <c r="K1506" s="2" t="s">
        <v>753</v>
      </c>
      <c r="L1506" s="6">
        <v>84</v>
      </c>
      <c r="M1506" s="2" t="s">
        <v>752</v>
      </c>
      <c r="N1506" s="7">
        <v>39.700000000000003</v>
      </c>
      <c r="O1506" s="4">
        <v>3334.8</v>
      </c>
      <c r="P1506" s="4">
        <v>3334.8</v>
      </c>
      <c r="Q1506" s="6">
        <v>0</v>
      </c>
    </row>
    <row r="1507" spans="1:17" x14ac:dyDescent="0.25">
      <c r="A1507" s="2" t="s">
        <v>214</v>
      </c>
      <c r="B1507" s="2" t="s">
        <v>99</v>
      </c>
      <c r="C1507" s="2" t="s">
        <v>100</v>
      </c>
      <c r="D1507" s="2" t="s">
        <v>758</v>
      </c>
      <c r="E1507" s="2" t="s">
        <v>757</v>
      </c>
      <c r="F1507" s="2" t="s">
        <v>756</v>
      </c>
      <c r="G1507" s="3">
        <v>46164</v>
      </c>
      <c r="H1507" s="2" t="s">
        <v>770</v>
      </c>
      <c r="I1507" s="2" t="s">
        <v>755</v>
      </c>
      <c r="J1507" s="2" t="s">
        <v>754</v>
      </c>
      <c r="K1507" s="2" t="s">
        <v>753</v>
      </c>
      <c r="L1507" s="6">
        <v>308</v>
      </c>
      <c r="M1507" s="2" t="s">
        <v>752</v>
      </c>
      <c r="N1507" s="7">
        <v>39.700000000000003</v>
      </c>
      <c r="O1507" s="4">
        <v>12227.6</v>
      </c>
      <c r="P1507" s="4">
        <v>12227.6</v>
      </c>
      <c r="Q1507" s="6">
        <v>0</v>
      </c>
    </row>
    <row r="1508" spans="1:17" x14ac:dyDescent="0.25">
      <c r="A1508" s="2" t="s">
        <v>230</v>
      </c>
      <c r="B1508" s="2" t="s">
        <v>25</v>
      </c>
      <c r="C1508" s="2" t="s">
        <v>26</v>
      </c>
      <c r="D1508" s="2" t="s">
        <v>758</v>
      </c>
      <c r="E1508" s="2" t="s">
        <v>890</v>
      </c>
      <c r="F1508" s="2" t="s">
        <v>889</v>
      </c>
      <c r="G1508" s="3">
        <v>46162</v>
      </c>
      <c r="H1508" s="2" t="s">
        <v>753</v>
      </c>
      <c r="I1508" s="2" t="s">
        <v>755</v>
      </c>
      <c r="J1508" s="2" t="s">
        <v>754</v>
      </c>
      <c r="K1508" s="2" t="s">
        <v>753</v>
      </c>
      <c r="L1508" s="6">
        <v>16</v>
      </c>
      <c r="M1508" s="2" t="s">
        <v>752</v>
      </c>
      <c r="N1508" s="7">
        <v>46</v>
      </c>
      <c r="O1508" s="4">
        <v>736</v>
      </c>
      <c r="P1508" s="4">
        <v>736</v>
      </c>
      <c r="Q1508" s="6">
        <v>0</v>
      </c>
    </row>
    <row r="1509" spans="1:17" x14ac:dyDescent="0.25">
      <c r="A1509" s="2" t="s">
        <v>230</v>
      </c>
      <c r="B1509" s="2" t="s">
        <v>25</v>
      </c>
      <c r="C1509" s="2" t="s">
        <v>26</v>
      </c>
      <c r="D1509" s="2" t="s">
        <v>758</v>
      </c>
      <c r="E1509" s="2" t="s">
        <v>827</v>
      </c>
      <c r="F1509" s="2" t="s">
        <v>826</v>
      </c>
      <c r="G1509" s="3">
        <v>46162</v>
      </c>
      <c r="H1509" s="2" t="s">
        <v>753</v>
      </c>
      <c r="I1509" s="2" t="s">
        <v>755</v>
      </c>
      <c r="J1509" s="2" t="s">
        <v>754</v>
      </c>
      <c r="K1509" s="2" t="s">
        <v>753</v>
      </c>
      <c r="L1509" s="6">
        <v>12</v>
      </c>
      <c r="M1509" s="2" t="s">
        <v>752</v>
      </c>
      <c r="N1509" s="7">
        <v>41.85</v>
      </c>
      <c r="O1509" s="4">
        <v>502.2</v>
      </c>
      <c r="P1509" s="4">
        <v>502.2</v>
      </c>
      <c r="Q1509" s="6">
        <v>0</v>
      </c>
    </row>
    <row r="1510" spans="1:17" x14ac:dyDescent="0.25">
      <c r="A1510" s="2" t="s">
        <v>230</v>
      </c>
      <c r="B1510" s="2" t="s">
        <v>25</v>
      </c>
      <c r="C1510" s="2" t="s">
        <v>26</v>
      </c>
      <c r="D1510" s="2" t="s">
        <v>758</v>
      </c>
      <c r="E1510" s="2" t="s">
        <v>825</v>
      </c>
      <c r="F1510" s="2" t="s">
        <v>824</v>
      </c>
      <c r="G1510" s="3">
        <v>46162</v>
      </c>
      <c r="H1510" s="2" t="s">
        <v>753</v>
      </c>
      <c r="I1510" s="2" t="s">
        <v>755</v>
      </c>
      <c r="J1510" s="2" t="s">
        <v>754</v>
      </c>
      <c r="K1510" s="2" t="s">
        <v>753</v>
      </c>
      <c r="L1510" s="6">
        <v>16</v>
      </c>
      <c r="M1510" s="2" t="s">
        <v>752</v>
      </c>
      <c r="N1510" s="7">
        <v>47.2</v>
      </c>
      <c r="O1510" s="4">
        <v>755.2</v>
      </c>
      <c r="P1510" s="4">
        <v>755.2</v>
      </c>
      <c r="Q1510" s="6">
        <v>0</v>
      </c>
    </row>
    <row r="1511" spans="1:17" x14ac:dyDescent="0.25">
      <c r="A1511" s="2" t="s">
        <v>230</v>
      </c>
      <c r="B1511" s="2" t="s">
        <v>25</v>
      </c>
      <c r="C1511" s="2" t="s">
        <v>26</v>
      </c>
      <c r="D1511" s="2" t="s">
        <v>758</v>
      </c>
      <c r="E1511" s="2" t="s">
        <v>823</v>
      </c>
      <c r="F1511" s="2" t="s">
        <v>822</v>
      </c>
      <c r="G1511" s="3">
        <v>46162</v>
      </c>
      <c r="H1511" s="2" t="s">
        <v>753</v>
      </c>
      <c r="I1511" s="2" t="s">
        <v>755</v>
      </c>
      <c r="J1511" s="2" t="s">
        <v>754</v>
      </c>
      <c r="K1511" s="2" t="s">
        <v>753</v>
      </c>
      <c r="L1511" s="6">
        <v>96</v>
      </c>
      <c r="M1511" s="2" t="s">
        <v>752</v>
      </c>
      <c r="N1511" s="7">
        <v>52</v>
      </c>
      <c r="O1511" s="4">
        <v>4992</v>
      </c>
      <c r="P1511" s="4">
        <v>4992</v>
      </c>
      <c r="Q1511" s="6">
        <v>0</v>
      </c>
    </row>
    <row r="1512" spans="1:17" x14ac:dyDescent="0.25">
      <c r="A1512" s="2" t="s">
        <v>230</v>
      </c>
      <c r="B1512" s="2" t="s">
        <v>25</v>
      </c>
      <c r="C1512" s="2" t="s">
        <v>26</v>
      </c>
      <c r="D1512" s="2" t="s">
        <v>758</v>
      </c>
      <c r="E1512" s="2" t="s">
        <v>931</v>
      </c>
      <c r="F1512" s="2" t="s">
        <v>930</v>
      </c>
      <c r="G1512" s="3">
        <v>46162</v>
      </c>
      <c r="H1512" s="2" t="s">
        <v>753</v>
      </c>
      <c r="I1512" s="2" t="s">
        <v>755</v>
      </c>
      <c r="J1512" s="2" t="s">
        <v>754</v>
      </c>
      <c r="K1512" s="2" t="s">
        <v>753</v>
      </c>
      <c r="L1512" s="6">
        <v>0</v>
      </c>
      <c r="M1512" s="2" t="s">
        <v>752</v>
      </c>
      <c r="N1512" s="7">
        <v>50.05</v>
      </c>
      <c r="O1512" s="4">
        <v>0</v>
      </c>
      <c r="P1512" s="4">
        <v>0</v>
      </c>
      <c r="Q1512" s="6">
        <v>0</v>
      </c>
    </row>
    <row r="1513" spans="1:17" x14ac:dyDescent="0.25">
      <c r="A1513" s="2" t="s">
        <v>230</v>
      </c>
      <c r="B1513" s="2" t="s">
        <v>25</v>
      </c>
      <c r="C1513" s="2" t="s">
        <v>26</v>
      </c>
      <c r="D1513" s="2" t="s">
        <v>758</v>
      </c>
      <c r="E1513" s="2" t="s">
        <v>847</v>
      </c>
      <c r="F1513" s="2" t="s">
        <v>846</v>
      </c>
      <c r="G1513" s="3">
        <v>46162</v>
      </c>
      <c r="H1513" s="2" t="s">
        <v>753</v>
      </c>
      <c r="I1513" s="2" t="s">
        <v>755</v>
      </c>
      <c r="J1513" s="2" t="s">
        <v>754</v>
      </c>
      <c r="K1513" s="2" t="s">
        <v>753</v>
      </c>
      <c r="L1513" s="6">
        <v>12</v>
      </c>
      <c r="M1513" s="2" t="s">
        <v>752</v>
      </c>
      <c r="N1513" s="7">
        <v>38.08</v>
      </c>
      <c r="O1513" s="4">
        <v>456.96</v>
      </c>
      <c r="P1513" s="4">
        <v>456.96</v>
      </c>
      <c r="Q1513" s="6">
        <v>0</v>
      </c>
    </row>
    <row r="1514" spans="1:17" x14ac:dyDescent="0.25">
      <c r="A1514" s="2" t="s">
        <v>230</v>
      </c>
      <c r="B1514" s="2" t="s">
        <v>25</v>
      </c>
      <c r="C1514" s="2" t="s">
        <v>26</v>
      </c>
      <c r="D1514" s="2" t="s">
        <v>758</v>
      </c>
      <c r="E1514" s="2" t="s">
        <v>821</v>
      </c>
      <c r="F1514" s="2" t="s">
        <v>820</v>
      </c>
      <c r="G1514" s="3">
        <v>46162</v>
      </c>
      <c r="H1514" s="2" t="s">
        <v>753</v>
      </c>
      <c r="I1514" s="2" t="s">
        <v>755</v>
      </c>
      <c r="J1514" s="2" t="s">
        <v>754</v>
      </c>
      <c r="K1514" s="2" t="s">
        <v>753</v>
      </c>
      <c r="L1514" s="6">
        <v>16</v>
      </c>
      <c r="M1514" s="2" t="s">
        <v>752</v>
      </c>
      <c r="N1514" s="7">
        <v>52</v>
      </c>
      <c r="O1514" s="4">
        <v>832</v>
      </c>
      <c r="P1514" s="4">
        <v>832</v>
      </c>
      <c r="Q1514" s="6">
        <v>0</v>
      </c>
    </row>
    <row r="1515" spans="1:17" x14ac:dyDescent="0.25">
      <c r="A1515" s="2" t="s">
        <v>230</v>
      </c>
      <c r="B1515" s="2" t="s">
        <v>25</v>
      </c>
      <c r="C1515" s="2" t="s">
        <v>26</v>
      </c>
      <c r="D1515" s="2" t="s">
        <v>758</v>
      </c>
      <c r="E1515" s="2" t="s">
        <v>819</v>
      </c>
      <c r="F1515" s="2" t="s">
        <v>818</v>
      </c>
      <c r="G1515" s="3">
        <v>46162</v>
      </c>
      <c r="H1515" s="2" t="s">
        <v>753</v>
      </c>
      <c r="I1515" s="2" t="s">
        <v>755</v>
      </c>
      <c r="J1515" s="2" t="s">
        <v>754</v>
      </c>
      <c r="K1515" s="2" t="s">
        <v>753</v>
      </c>
      <c r="L1515" s="6">
        <v>64</v>
      </c>
      <c r="M1515" s="2" t="s">
        <v>752</v>
      </c>
      <c r="N1515" s="7">
        <v>38.25</v>
      </c>
      <c r="O1515" s="4">
        <v>2448</v>
      </c>
      <c r="P1515" s="4">
        <v>2448</v>
      </c>
      <c r="Q1515" s="6">
        <v>0</v>
      </c>
    </row>
    <row r="1516" spans="1:17" x14ac:dyDescent="0.25">
      <c r="A1516" s="2" t="s">
        <v>208</v>
      </c>
      <c r="B1516" s="2" t="s">
        <v>99</v>
      </c>
      <c r="C1516" s="2" t="s">
        <v>100</v>
      </c>
      <c r="D1516" s="2" t="s">
        <v>758</v>
      </c>
      <c r="E1516" s="2" t="s">
        <v>863</v>
      </c>
      <c r="F1516" s="2" t="s">
        <v>862</v>
      </c>
      <c r="G1516" s="3">
        <v>46167</v>
      </c>
      <c r="H1516" s="2" t="s">
        <v>770</v>
      </c>
      <c r="I1516" s="2" t="s">
        <v>755</v>
      </c>
      <c r="J1516" s="2" t="s">
        <v>754</v>
      </c>
      <c r="K1516" s="2" t="s">
        <v>753</v>
      </c>
      <c r="L1516" s="6">
        <v>84</v>
      </c>
      <c r="M1516" s="2" t="s">
        <v>752</v>
      </c>
      <c r="N1516" s="7">
        <v>33.299999999999997</v>
      </c>
      <c r="O1516" s="4">
        <v>2797.2</v>
      </c>
      <c r="P1516" s="4">
        <v>2797.2</v>
      </c>
      <c r="Q1516" s="6">
        <v>0</v>
      </c>
    </row>
    <row r="1517" spans="1:17" x14ac:dyDescent="0.25">
      <c r="A1517" s="2" t="s">
        <v>208</v>
      </c>
      <c r="B1517" s="2" t="s">
        <v>99</v>
      </c>
      <c r="C1517" s="2" t="s">
        <v>100</v>
      </c>
      <c r="D1517" s="2" t="s">
        <v>758</v>
      </c>
      <c r="E1517" s="2" t="s">
        <v>763</v>
      </c>
      <c r="F1517" s="2" t="s">
        <v>762</v>
      </c>
      <c r="G1517" s="3">
        <v>46167</v>
      </c>
      <c r="H1517" s="2" t="s">
        <v>770</v>
      </c>
      <c r="I1517" s="2" t="s">
        <v>755</v>
      </c>
      <c r="J1517" s="2" t="s">
        <v>754</v>
      </c>
      <c r="K1517" s="2" t="s">
        <v>753</v>
      </c>
      <c r="L1517" s="6">
        <v>84</v>
      </c>
      <c r="M1517" s="2" t="s">
        <v>752</v>
      </c>
      <c r="N1517" s="7">
        <v>36.82</v>
      </c>
      <c r="O1517" s="4">
        <v>3092.88</v>
      </c>
      <c r="P1517" s="4">
        <v>3092.88</v>
      </c>
      <c r="Q1517" s="6">
        <v>0</v>
      </c>
    </row>
    <row r="1518" spans="1:17" x14ac:dyDescent="0.25">
      <c r="A1518" s="2" t="s">
        <v>208</v>
      </c>
      <c r="B1518" s="2" t="s">
        <v>99</v>
      </c>
      <c r="C1518" s="2" t="s">
        <v>100</v>
      </c>
      <c r="D1518" s="2" t="s">
        <v>758</v>
      </c>
      <c r="E1518" s="2" t="s">
        <v>861</v>
      </c>
      <c r="F1518" s="2" t="s">
        <v>860</v>
      </c>
      <c r="G1518" s="3">
        <v>46167</v>
      </c>
      <c r="H1518" s="2" t="s">
        <v>770</v>
      </c>
      <c r="I1518" s="2" t="s">
        <v>755</v>
      </c>
      <c r="J1518" s="2" t="s">
        <v>754</v>
      </c>
      <c r="K1518" s="2" t="s">
        <v>753</v>
      </c>
      <c r="L1518" s="6">
        <v>84</v>
      </c>
      <c r="M1518" s="2" t="s">
        <v>752</v>
      </c>
      <c r="N1518" s="7">
        <v>39.700000000000003</v>
      </c>
      <c r="O1518" s="4">
        <v>3334.8</v>
      </c>
      <c r="P1518" s="4">
        <v>3334.8</v>
      </c>
      <c r="Q1518" s="6">
        <v>0</v>
      </c>
    </row>
    <row r="1519" spans="1:17" x14ac:dyDescent="0.25">
      <c r="A1519" s="2" t="s">
        <v>208</v>
      </c>
      <c r="B1519" s="2" t="s">
        <v>99</v>
      </c>
      <c r="C1519" s="2" t="s">
        <v>100</v>
      </c>
      <c r="D1519" s="2" t="s">
        <v>758</v>
      </c>
      <c r="E1519" s="2" t="s">
        <v>757</v>
      </c>
      <c r="F1519" s="2" t="s">
        <v>756</v>
      </c>
      <c r="G1519" s="3">
        <v>46167</v>
      </c>
      <c r="H1519" s="2" t="s">
        <v>770</v>
      </c>
      <c r="I1519" s="2" t="s">
        <v>755</v>
      </c>
      <c r="J1519" s="2" t="s">
        <v>754</v>
      </c>
      <c r="K1519" s="2" t="s">
        <v>753</v>
      </c>
      <c r="L1519" s="6">
        <v>308</v>
      </c>
      <c r="M1519" s="2" t="s">
        <v>752</v>
      </c>
      <c r="N1519" s="7">
        <v>39.700000000000003</v>
      </c>
      <c r="O1519" s="4">
        <v>12227.6</v>
      </c>
      <c r="P1519" s="4">
        <v>12227.6</v>
      </c>
      <c r="Q1519" s="6">
        <v>0</v>
      </c>
    </row>
    <row r="1520" spans="1:17" x14ac:dyDescent="0.25">
      <c r="A1520" s="2" t="s">
        <v>212</v>
      </c>
      <c r="B1520" s="2" t="s">
        <v>29</v>
      </c>
      <c r="C1520" s="2" t="s">
        <v>30</v>
      </c>
      <c r="D1520" s="2" t="s">
        <v>758</v>
      </c>
      <c r="E1520" s="2" t="s">
        <v>817</v>
      </c>
      <c r="F1520" s="2" t="s">
        <v>816</v>
      </c>
      <c r="G1520" s="3">
        <v>46164</v>
      </c>
      <c r="H1520" s="2" t="s">
        <v>753</v>
      </c>
      <c r="I1520" s="2" t="s">
        <v>755</v>
      </c>
      <c r="J1520" s="2" t="s">
        <v>754</v>
      </c>
      <c r="K1520" s="2" t="s">
        <v>753</v>
      </c>
      <c r="L1520" s="6">
        <v>28</v>
      </c>
      <c r="M1520" s="2" t="s">
        <v>752</v>
      </c>
      <c r="N1520" s="7">
        <v>31.42</v>
      </c>
      <c r="O1520" s="4">
        <v>879.76</v>
      </c>
      <c r="P1520" s="4">
        <v>879.76</v>
      </c>
      <c r="Q1520" s="6">
        <v>0</v>
      </c>
    </row>
    <row r="1521" spans="1:17" x14ac:dyDescent="0.25">
      <c r="A1521" s="2" t="s">
        <v>212</v>
      </c>
      <c r="B1521" s="2" t="s">
        <v>29</v>
      </c>
      <c r="C1521" s="2" t="s">
        <v>30</v>
      </c>
      <c r="D1521" s="2" t="s">
        <v>758</v>
      </c>
      <c r="E1521" s="2" t="s">
        <v>815</v>
      </c>
      <c r="F1521" s="2" t="s">
        <v>814</v>
      </c>
      <c r="G1521" s="3">
        <v>46164</v>
      </c>
      <c r="H1521" s="2" t="s">
        <v>753</v>
      </c>
      <c r="I1521" s="2" t="s">
        <v>755</v>
      </c>
      <c r="J1521" s="2" t="s">
        <v>754</v>
      </c>
      <c r="K1521" s="2" t="s">
        <v>753</v>
      </c>
      <c r="L1521" s="6">
        <v>140</v>
      </c>
      <c r="M1521" s="2" t="s">
        <v>752</v>
      </c>
      <c r="N1521" s="7">
        <v>34</v>
      </c>
      <c r="O1521" s="4">
        <v>4760</v>
      </c>
      <c r="P1521" s="4">
        <v>4760</v>
      </c>
      <c r="Q1521" s="6">
        <v>0</v>
      </c>
    </row>
    <row r="1522" spans="1:17" x14ac:dyDescent="0.25">
      <c r="A1522" s="2" t="s">
        <v>212</v>
      </c>
      <c r="B1522" s="2" t="s">
        <v>29</v>
      </c>
      <c r="C1522" s="2" t="s">
        <v>30</v>
      </c>
      <c r="D1522" s="2" t="s">
        <v>758</v>
      </c>
      <c r="E1522" s="2" t="s">
        <v>813</v>
      </c>
      <c r="F1522" s="2" t="s">
        <v>812</v>
      </c>
      <c r="G1522" s="3">
        <v>46164</v>
      </c>
      <c r="H1522" s="2" t="s">
        <v>753</v>
      </c>
      <c r="I1522" s="2" t="s">
        <v>755</v>
      </c>
      <c r="J1522" s="2" t="s">
        <v>754</v>
      </c>
      <c r="K1522" s="2" t="s">
        <v>753</v>
      </c>
      <c r="L1522" s="6">
        <v>12</v>
      </c>
      <c r="M1522" s="2" t="s">
        <v>752</v>
      </c>
      <c r="N1522" s="7">
        <v>43.26</v>
      </c>
      <c r="O1522" s="4">
        <v>519.12</v>
      </c>
      <c r="P1522" s="4">
        <v>519.12</v>
      </c>
      <c r="Q1522" s="6">
        <v>0</v>
      </c>
    </row>
    <row r="1523" spans="1:17" x14ac:dyDescent="0.25">
      <c r="A1523" s="2" t="s">
        <v>212</v>
      </c>
      <c r="B1523" s="2" t="s">
        <v>29</v>
      </c>
      <c r="C1523" s="2" t="s">
        <v>30</v>
      </c>
      <c r="D1523" s="2" t="s">
        <v>758</v>
      </c>
      <c r="E1523" s="2" t="s">
        <v>811</v>
      </c>
      <c r="F1523" s="2" t="s">
        <v>810</v>
      </c>
      <c r="G1523" s="3">
        <v>46164</v>
      </c>
      <c r="H1523" s="2" t="s">
        <v>753</v>
      </c>
      <c r="I1523" s="2" t="s">
        <v>755</v>
      </c>
      <c r="J1523" s="2" t="s">
        <v>754</v>
      </c>
      <c r="K1523" s="2" t="s">
        <v>753</v>
      </c>
      <c r="L1523" s="6">
        <v>20</v>
      </c>
      <c r="M1523" s="2" t="s">
        <v>752</v>
      </c>
      <c r="N1523" s="7">
        <v>43.26</v>
      </c>
      <c r="O1523" s="4">
        <v>865.2</v>
      </c>
      <c r="P1523" s="4">
        <v>865.2</v>
      </c>
      <c r="Q1523" s="6">
        <v>0</v>
      </c>
    </row>
    <row r="1524" spans="1:17" x14ac:dyDescent="0.25">
      <c r="A1524" s="2" t="s">
        <v>212</v>
      </c>
      <c r="B1524" s="2" t="s">
        <v>29</v>
      </c>
      <c r="C1524" s="2" t="s">
        <v>30</v>
      </c>
      <c r="D1524" s="2" t="s">
        <v>758</v>
      </c>
      <c r="E1524" s="2" t="s">
        <v>763</v>
      </c>
      <c r="F1524" s="2" t="s">
        <v>762</v>
      </c>
      <c r="G1524" s="3">
        <v>46164</v>
      </c>
      <c r="H1524" s="2" t="s">
        <v>753</v>
      </c>
      <c r="I1524" s="2" t="s">
        <v>755</v>
      </c>
      <c r="J1524" s="2" t="s">
        <v>754</v>
      </c>
      <c r="K1524" s="2" t="s">
        <v>753</v>
      </c>
      <c r="L1524" s="6">
        <v>84</v>
      </c>
      <c r="M1524" s="2" t="s">
        <v>752</v>
      </c>
      <c r="N1524" s="7">
        <v>43.36</v>
      </c>
      <c r="O1524" s="4">
        <v>3642.24</v>
      </c>
      <c r="P1524" s="4">
        <v>3642.24</v>
      </c>
      <c r="Q1524" s="6">
        <v>0</v>
      </c>
    </row>
    <row r="1525" spans="1:17" x14ac:dyDescent="0.25">
      <c r="A1525" s="2" t="s">
        <v>212</v>
      </c>
      <c r="B1525" s="2" t="s">
        <v>29</v>
      </c>
      <c r="C1525" s="2" t="s">
        <v>30</v>
      </c>
      <c r="D1525" s="2" t="s">
        <v>758</v>
      </c>
      <c r="E1525" s="2" t="s">
        <v>873</v>
      </c>
      <c r="F1525" s="2" t="s">
        <v>872</v>
      </c>
      <c r="G1525" s="3">
        <v>46164</v>
      </c>
      <c r="H1525" s="2" t="s">
        <v>753</v>
      </c>
      <c r="I1525" s="2" t="s">
        <v>755</v>
      </c>
      <c r="J1525" s="2" t="s">
        <v>754</v>
      </c>
      <c r="K1525" s="2" t="s">
        <v>753</v>
      </c>
      <c r="L1525" s="6">
        <v>8</v>
      </c>
      <c r="M1525" s="2" t="s">
        <v>752</v>
      </c>
      <c r="N1525" s="7">
        <v>36.979999999999997</v>
      </c>
      <c r="O1525" s="4">
        <v>295.83999999999997</v>
      </c>
      <c r="P1525" s="4">
        <v>295.83999999999997</v>
      </c>
      <c r="Q1525" s="6">
        <v>0</v>
      </c>
    </row>
    <row r="1526" spans="1:17" x14ac:dyDescent="0.25">
      <c r="A1526" s="2" t="s">
        <v>212</v>
      </c>
      <c r="B1526" s="2" t="s">
        <v>29</v>
      </c>
      <c r="C1526" s="2" t="s">
        <v>30</v>
      </c>
      <c r="D1526" s="2" t="s">
        <v>758</v>
      </c>
      <c r="E1526" s="2" t="s">
        <v>776</v>
      </c>
      <c r="F1526" s="2" t="s">
        <v>775</v>
      </c>
      <c r="G1526" s="3">
        <v>46164</v>
      </c>
      <c r="H1526" s="2" t="s">
        <v>753</v>
      </c>
      <c r="I1526" s="2" t="s">
        <v>755</v>
      </c>
      <c r="J1526" s="2" t="s">
        <v>754</v>
      </c>
      <c r="K1526" s="2" t="s">
        <v>753</v>
      </c>
      <c r="L1526" s="6">
        <v>20</v>
      </c>
      <c r="M1526" s="2" t="s">
        <v>752</v>
      </c>
      <c r="N1526" s="7">
        <v>41.2</v>
      </c>
      <c r="O1526" s="4">
        <v>824</v>
      </c>
      <c r="P1526" s="4">
        <v>824</v>
      </c>
      <c r="Q1526" s="6">
        <v>0</v>
      </c>
    </row>
    <row r="1527" spans="1:17" x14ac:dyDescent="0.25">
      <c r="A1527" s="2" t="s">
        <v>212</v>
      </c>
      <c r="B1527" s="2" t="s">
        <v>29</v>
      </c>
      <c r="C1527" s="2" t="s">
        <v>30</v>
      </c>
      <c r="D1527" s="2" t="s">
        <v>758</v>
      </c>
      <c r="E1527" s="2" t="s">
        <v>805</v>
      </c>
      <c r="F1527" s="2" t="s">
        <v>804</v>
      </c>
      <c r="G1527" s="3">
        <v>46164</v>
      </c>
      <c r="H1527" s="2" t="s">
        <v>753</v>
      </c>
      <c r="I1527" s="2" t="s">
        <v>755</v>
      </c>
      <c r="J1527" s="2" t="s">
        <v>754</v>
      </c>
      <c r="K1527" s="2" t="s">
        <v>753</v>
      </c>
      <c r="L1527" s="6">
        <v>40</v>
      </c>
      <c r="M1527" s="2" t="s">
        <v>752</v>
      </c>
      <c r="N1527" s="7">
        <v>41</v>
      </c>
      <c r="O1527" s="4">
        <v>1640</v>
      </c>
      <c r="P1527" s="4">
        <v>1640</v>
      </c>
      <c r="Q1527" s="6">
        <v>0</v>
      </c>
    </row>
    <row r="1528" spans="1:17" x14ac:dyDescent="0.25">
      <c r="A1528" s="2" t="s">
        <v>222</v>
      </c>
      <c r="B1528" s="2" t="s">
        <v>139</v>
      </c>
      <c r="C1528" s="2" t="s">
        <v>140</v>
      </c>
      <c r="D1528" s="2" t="s">
        <v>758</v>
      </c>
      <c r="E1528" s="2" t="s">
        <v>865</v>
      </c>
      <c r="F1528" s="2" t="s">
        <v>864</v>
      </c>
      <c r="G1528" s="3">
        <v>46163</v>
      </c>
      <c r="H1528" s="2" t="s">
        <v>753</v>
      </c>
      <c r="I1528" s="2" t="s">
        <v>755</v>
      </c>
      <c r="J1528" s="2" t="s">
        <v>754</v>
      </c>
      <c r="K1528" s="2" t="s">
        <v>753</v>
      </c>
      <c r="L1528" s="6">
        <v>52</v>
      </c>
      <c r="M1528" s="2" t="s">
        <v>752</v>
      </c>
      <c r="N1528" s="7">
        <v>40.11</v>
      </c>
      <c r="O1528" s="4">
        <v>2085.7199999999998</v>
      </c>
      <c r="P1528" s="4">
        <v>2085.7199999999998</v>
      </c>
      <c r="Q1528" s="6">
        <v>0</v>
      </c>
    </row>
    <row r="1529" spans="1:17" x14ac:dyDescent="0.25">
      <c r="A1529" s="2" t="s">
        <v>222</v>
      </c>
      <c r="B1529" s="2" t="s">
        <v>139</v>
      </c>
      <c r="C1529" s="2" t="s">
        <v>140</v>
      </c>
      <c r="D1529" s="2" t="s">
        <v>758</v>
      </c>
      <c r="E1529" s="2" t="s">
        <v>922</v>
      </c>
      <c r="F1529" s="2" t="s">
        <v>921</v>
      </c>
      <c r="G1529" s="3">
        <v>46163</v>
      </c>
      <c r="H1529" s="2" t="s">
        <v>753</v>
      </c>
      <c r="I1529" s="2" t="s">
        <v>755</v>
      </c>
      <c r="J1529" s="2" t="s">
        <v>754</v>
      </c>
      <c r="K1529" s="2" t="s">
        <v>753</v>
      </c>
      <c r="L1529" s="6">
        <v>24</v>
      </c>
      <c r="M1529" s="2" t="s">
        <v>752</v>
      </c>
      <c r="N1529" s="7">
        <v>48.57</v>
      </c>
      <c r="O1529" s="4">
        <v>1165.68</v>
      </c>
      <c r="P1529" s="4">
        <v>1165.68</v>
      </c>
      <c r="Q1529" s="6">
        <v>0</v>
      </c>
    </row>
    <row r="1530" spans="1:17" x14ac:dyDescent="0.25">
      <c r="A1530" s="2" t="s">
        <v>222</v>
      </c>
      <c r="B1530" s="2" t="s">
        <v>139</v>
      </c>
      <c r="C1530" s="2" t="s">
        <v>140</v>
      </c>
      <c r="D1530" s="2" t="s">
        <v>758</v>
      </c>
      <c r="E1530" s="2" t="s">
        <v>827</v>
      </c>
      <c r="F1530" s="2" t="s">
        <v>826</v>
      </c>
      <c r="G1530" s="3">
        <v>46163</v>
      </c>
      <c r="H1530" s="2" t="s">
        <v>753</v>
      </c>
      <c r="I1530" s="2" t="s">
        <v>755</v>
      </c>
      <c r="J1530" s="2" t="s">
        <v>754</v>
      </c>
      <c r="K1530" s="2" t="s">
        <v>753</v>
      </c>
      <c r="L1530" s="6">
        <v>24</v>
      </c>
      <c r="M1530" s="2" t="s">
        <v>752</v>
      </c>
      <c r="N1530" s="7">
        <v>40.85</v>
      </c>
      <c r="O1530" s="4">
        <v>980.4</v>
      </c>
      <c r="P1530" s="4">
        <v>980.4</v>
      </c>
      <c r="Q1530" s="6">
        <v>0</v>
      </c>
    </row>
    <row r="1531" spans="1:17" x14ac:dyDescent="0.25">
      <c r="A1531" s="2" t="s">
        <v>222</v>
      </c>
      <c r="B1531" s="2" t="s">
        <v>139</v>
      </c>
      <c r="C1531" s="2" t="s">
        <v>140</v>
      </c>
      <c r="D1531" s="2" t="s">
        <v>758</v>
      </c>
      <c r="E1531" s="2" t="s">
        <v>879</v>
      </c>
      <c r="F1531" s="2" t="s">
        <v>878</v>
      </c>
      <c r="G1531" s="3">
        <v>46163</v>
      </c>
      <c r="H1531" s="2" t="s">
        <v>753</v>
      </c>
      <c r="I1531" s="2" t="s">
        <v>755</v>
      </c>
      <c r="J1531" s="2" t="s">
        <v>754</v>
      </c>
      <c r="K1531" s="2" t="s">
        <v>753</v>
      </c>
      <c r="L1531" s="6">
        <v>152</v>
      </c>
      <c r="M1531" s="2" t="s">
        <v>752</v>
      </c>
      <c r="N1531" s="7">
        <v>40.9</v>
      </c>
      <c r="O1531" s="4">
        <v>6216.8</v>
      </c>
      <c r="P1531" s="4">
        <v>6216.8</v>
      </c>
      <c r="Q1531" s="6">
        <v>0</v>
      </c>
    </row>
    <row r="1532" spans="1:17" x14ac:dyDescent="0.25">
      <c r="A1532" s="2" t="s">
        <v>222</v>
      </c>
      <c r="B1532" s="2" t="s">
        <v>139</v>
      </c>
      <c r="C1532" s="2" t="s">
        <v>140</v>
      </c>
      <c r="D1532" s="2" t="s">
        <v>758</v>
      </c>
      <c r="E1532" s="2" t="s">
        <v>847</v>
      </c>
      <c r="F1532" s="2" t="s">
        <v>846</v>
      </c>
      <c r="G1532" s="3">
        <v>46163</v>
      </c>
      <c r="H1532" s="2" t="s">
        <v>753</v>
      </c>
      <c r="I1532" s="2" t="s">
        <v>755</v>
      </c>
      <c r="J1532" s="2" t="s">
        <v>754</v>
      </c>
      <c r="K1532" s="2" t="s">
        <v>753</v>
      </c>
      <c r="L1532" s="6">
        <v>80</v>
      </c>
      <c r="M1532" s="2" t="s">
        <v>752</v>
      </c>
      <c r="N1532" s="7">
        <v>38.08</v>
      </c>
      <c r="O1532" s="4">
        <v>3046.4</v>
      </c>
      <c r="P1532" s="4">
        <v>3046.4</v>
      </c>
      <c r="Q1532" s="6">
        <v>0</v>
      </c>
    </row>
    <row r="1533" spans="1:17" x14ac:dyDescent="0.25">
      <c r="A1533" s="2" t="s">
        <v>222</v>
      </c>
      <c r="B1533" s="2" t="s">
        <v>139</v>
      </c>
      <c r="C1533" s="2" t="s">
        <v>140</v>
      </c>
      <c r="D1533" s="2" t="s">
        <v>758</v>
      </c>
      <c r="E1533" s="2" t="s">
        <v>819</v>
      </c>
      <c r="F1533" s="2" t="s">
        <v>818</v>
      </c>
      <c r="G1533" s="3">
        <v>46163</v>
      </c>
      <c r="H1533" s="2" t="s">
        <v>753</v>
      </c>
      <c r="I1533" s="2" t="s">
        <v>755</v>
      </c>
      <c r="J1533" s="2" t="s">
        <v>754</v>
      </c>
      <c r="K1533" s="2" t="s">
        <v>753</v>
      </c>
      <c r="L1533" s="6">
        <v>56</v>
      </c>
      <c r="M1533" s="2" t="s">
        <v>752</v>
      </c>
      <c r="N1533" s="7">
        <v>40.22</v>
      </c>
      <c r="O1533" s="4">
        <v>2252.3200000000002</v>
      </c>
      <c r="P1533" s="4">
        <v>2252.3200000000002</v>
      </c>
      <c r="Q1533" s="6">
        <v>0</v>
      </c>
    </row>
    <row r="1534" spans="1:17" x14ac:dyDescent="0.25">
      <c r="A1534" s="2" t="s">
        <v>226</v>
      </c>
      <c r="B1534" s="2" t="s">
        <v>227</v>
      </c>
      <c r="C1534" s="2" t="s">
        <v>228</v>
      </c>
      <c r="D1534" s="2" t="s">
        <v>758</v>
      </c>
      <c r="E1534" s="2" t="s">
        <v>813</v>
      </c>
      <c r="F1534" s="2" t="s">
        <v>812</v>
      </c>
      <c r="G1534" s="3">
        <v>46162</v>
      </c>
      <c r="H1534" s="2" t="s">
        <v>753</v>
      </c>
      <c r="I1534" s="2" t="s">
        <v>755</v>
      </c>
      <c r="J1534" s="2" t="s">
        <v>754</v>
      </c>
      <c r="K1534" s="2" t="s">
        <v>753</v>
      </c>
      <c r="L1534" s="6">
        <v>36</v>
      </c>
      <c r="M1534" s="2" t="s">
        <v>752</v>
      </c>
      <c r="N1534" s="7">
        <v>45</v>
      </c>
      <c r="O1534" s="4">
        <v>1620</v>
      </c>
      <c r="P1534" s="4">
        <v>1620</v>
      </c>
      <c r="Q1534" s="6">
        <v>0</v>
      </c>
    </row>
    <row r="1535" spans="1:17" x14ac:dyDescent="0.25">
      <c r="A1535" s="2" t="s">
        <v>226</v>
      </c>
      <c r="B1535" s="2" t="s">
        <v>227</v>
      </c>
      <c r="C1535" s="2" t="s">
        <v>228</v>
      </c>
      <c r="D1535" s="2" t="s">
        <v>758</v>
      </c>
      <c r="E1535" s="2" t="s">
        <v>763</v>
      </c>
      <c r="F1535" s="2" t="s">
        <v>762</v>
      </c>
      <c r="G1535" s="3">
        <v>46162</v>
      </c>
      <c r="H1535" s="2" t="s">
        <v>753</v>
      </c>
      <c r="I1535" s="2" t="s">
        <v>755</v>
      </c>
      <c r="J1535" s="2" t="s">
        <v>754</v>
      </c>
      <c r="K1535" s="2" t="s">
        <v>753</v>
      </c>
      <c r="L1535" s="6">
        <v>96</v>
      </c>
      <c r="M1535" s="2" t="s">
        <v>752</v>
      </c>
      <c r="N1535" s="7">
        <v>42.6</v>
      </c>
      <c r="O1535" s="4">
        <v>4089.6</v>
      </c>
      <c r="P1535" s="4">
        <v>4089.6</v>
      </c>
      <c r="Q1535" s="6">
        <v>0</v>
      </c>
    </row>
    <row r="1536" spans="1:17" x14ac:dyDescent="0.25">
      <c r="A1536" s="2" t="s">
        <v>226</v>
      </c>
      <c r="B1536" s="2" t="s">
        <v>227</v>
      </c>
      <c r="C1536" s="2" t="s">
        <v>228</v>
      </c>
      <c r="D1536" s="2" t="s">
        <v>758</v>
      </c>
      <c r="E1536" s="2" t="s">
        <v>847</v>
      </c>
      <c r="F1536" s="2" t="s">
        <v>846</v>
      </c>
      <c r="G1536" s="3">
        <v>46162</v>
      </c>
      <c r="H1536" s="2" t="s">
        <v>753</v>
      </c>
      <c r="I1536" s="2" t="s">
        <v>755</v>
      </c>
      <c r="J1536" s="2" t="s">
        <v>754</v>
      </c>
      <c r="K1536" s="2" t="s">
        <v>753</v>
      </c>
      <c r="L1536" s="6">
        <v>160</v>
      </c>
      <c r="M1536" s="2" t="s">
        <v>752</v>
      </c>
      <c r="N1536" s="7">
        <v>40</v>
      </c>
      <c r="O1536" s="4">
        <v>6400</v>
      </c>
      <c r="P1536" s="4">
        <v>6400</v>
      </c>
      <c r="Q1536" s="6">
        <v>0</v>
      </c>
    </row>
    <row r="1537" spans="1:17" x14ac:dyDescent="0.25">
      <c r="A1537" s="2" t="s">
        <v>220</v>
      </c>
      <c r="B1537" s="2" t="s">
        <v>41</v>
      </c>
      <c r="C1537" s="2" t="s">
        <v>42</v>
      </c>
      <c r="D1537" s="2" t="s">
        <v>758</v>
      </c>
      <c r="E1537" s="2" t="s">
        <v>847</v>
      </c>
      <c r="F1537" s="2" t="s">
        <v>846</v>
      </c>
      <c r="G1537" s="3">
        <v>46163</v>
      </c>
      <c r="H1537" s="2" t="s">
        <v>753</v>
      </c>
      <c r="I1537" s="2" t="s">
        <v>755</v>
      </c>
      <c r="J1537" s="2" t="s">
        <v>754</v>
      </c>
      <c r="K1537" s="2" t="s">
        <v>753</v>
      </c>
      <c r="L1537" s="6">
        <v>24</v>
      </c>
      <c r="M1537" s="2" t="s">
        <v>752</v>
      </c>
      <c r="N1537" s="7">
        <v>35.479999999999997</v>
      </c>
      <c r="O1537" s="4">
        <v>851.52</v>
      </c>
      <c r="P1537" s="4">
        <v>851.52</v>
      </c>
      <c r="Q1537" s="6">
        <v>0</v>
      </c>
    </row>
    <row r="1538" spans="1:17" x14ac:dyDescent="0.25">
      <c r="A1538" s="2" t="s">
        <v>220</v>
      </c>
      <c r="B1538" s="2" t="s">
        <v>41</v>
      </c>
      <c r="C1538" s="2" t="s">
        <v>42</v>
      </c>
      <c r="D1538" s="2" t="s">
        <v>758</v>
      </c>
      <c r="E1538" s="2" t="s">
        <v>920</v>
      </c>
      <c r="F1538" s="2" t="s">
        <v>919</v>
      </c>
      <c r="G1538" s="3">
        <v>46163</v>
      </c>
      <c r="H1538" s="2" t="s">
        <v>753</v>
      </c>
      <c r="I1538" s="2" t="s">
        <v>755</v>
      </c>
      <c r="J1538" s="2" t="s">
        <v>754</v>
      </c>
      <c r="K1538" s="2" t="s">
        <v>753</v>
      </c>
      <c r="L1538" s="6">
        <v>32</v>
      </c>
      <c r="M1538" s="2" t="s">
        <v>752</v>
      </c>
      <c r="N1538" s="7">
        <v>28.88</v>
      </c>
      <c r="O1538" s="4">
        <v>924.16</v>
      </c>
      <c r="P1538" s="4">
        <v>924.16</v>
      </c>
      <c r="Q1538" s="6">
        <v>0</v>
      </c>
    </row>
    <row r="1539" spans="1:17" x14ac:dyDescent="0.25">
      <c r="A1539" s="2" t="s">
        <v>220</v>
      </c>
      <c r="B1539" s="2" t="s">
        <v>41</v>
      </c>
      <c r="C1539" s="2" t="s">
        <v>42</v>
      </c>
      <c r="D1539" s="2" t="s">
        <v>758</v>
      </c>
      <c r="E1539" s="2" t="s">
        <v>875</v>
      </c>
      <c r="F1539" s="2" t="s">
        <v>874</v>
      </c>
      <c r="G1539" s="3">
        <v>46163</v>
      </c>
      <c r="H1539" s="2" t="s">
        <v>753</v>
      </c>
      <c r="I1539" s="2" t="s">
        <v>755</v>
      </c>
      <c r="J1539" s="2" t="s">
        <v>754</v>
      </c>
      <c r="K1539" s="2" t="s">
        <v>753</v>
      </c>
      <c r="L1539" s="6">
        <v>96</v>
      </c>
      <c r="M1539" s="2" t="s">
        <v>752</v>
      </c>
      <c r="N1539" s="7">
        <v>32.89</v>
      </c>
      <c r="O1539" s="4">
        <v>3157.44</v>
      </c>
      <c r="P1539" s="4">
        <v>3157.44</v>
      </c>
      <c r="Q1539" s="6">
        <v>0</v>
      </c>
    </row>
    <row r="1540" spans="1:17" x14ac:dyDescent="0.25">
      <c r="A1540" s="2" t="s">
        <v>220</v>
      </c>
      <c r="B1540" s="2" t="s">
        <v>41</v>
      </c>
      <c r="C1540" s="2" t="s">
        <v>42</v>
      </c>
      <c r="D1540" s="2" t="s">
        <v>758</v>
      </c>
      <c r="E1540" s="2" t="s">
        <v>794</v>
      </c>
      <c r="F1540" s="2" t="s">
        <v>793</v>
      </c>
      <c r="G1540" s="3">
        <v>46163</v>
      </c>
      <c r="H1540" s="2" t="s">
        <v>753</v>
      </c>
      <c r="I1540" s="2" t="s">
        <v>755</v>
      </c>
      <c r="J1540" s="2" t="s">
        <v>754</v>
      </c>
      <c r="K1540" s="2" t="s">
        <v>753</v>
      </c>
      <c r="L1540" s="6">
        <v>288</v>
      </c>
      <c r="M1540" s="2" t="s">
        <v>752</v>
      </c>
      <c r="N1540" s="7">
        <v>28.49</v>
      </c>
      <c r="O1540" s="4">
        <v>8205.1200000000008</v>
      </c>
      <c r="P1540" s="4">
        <v>8205.1200000000008</v>
      </c>
      <c r="Q1540" s="6">
        <v>0</v>
      </c>
    </row>
    <row r="1541" spans="1:17" x14ac:dyDescent="0.25">
      <c r="A1541" s="2" t="s">
        <v>220</v>
      </c>
      <c r="B1541" s="2" t="s">
        <v>41</v>
      </c>
      <c r="C1541" s="2" t="s">
        <v>42</v>
      </c>
      <c r="D1541" s="2" t="s">
        <v>758</v>
      </c>
      <c r="E1541" s="2" t="s">
        <v>843</v>
      </c>
      <c r="F1541" s="2" t="s">
        <v>842</v>
      </c>
      <c r="G1541" s="3">
        <v>46163</v>
      </c>
      <c r="H1541" s="2" t="s">
        <v>753</v>
      </c>
      <c r="I1541" s="2" t="s">
        <v>755</v>
      </c>
      <c r="J1541" s="2" t="s">
        <v>754</v>
      </c>
      <c r="K1541" s="2" t="s">
        <v>753</v>
      </c>
      <c r="L1541" s="6">
        <v>64</v>
      </c>
      <c r="M1541" s="2" t="s">
        <v>752</v>
      </c>
      <c r="N1541" s="7">
        <v>28.49</v>
      </c>
      <c r="O1541" s="4">
        <v>1823.36</v>
      </c>
      <c r="P1541" s="4">
        <v>1823.36</v>
      </c>
      <c r="Q1541" s="6">
        <v>0</v>
      </c>
    </row>
    <row r="1542" spans="1:17" x14ac:dyDescent="0.25">
      <c r="A1542" s="2" t="s">
        <v>220</v>
      </c>
      <c r="B1542" s="2" t="s">
        <v>41</v>
      </c>
      <c r="C1542" s="2" t="s">
        <v>42</v>
      </c>
      <c r="D1542" s="2" t="s">
        <v>758</v>
      </c>
      <c r="E1542" s="2" t="s">
        <v>786</v>
      </c>
      <c r="F1542" s="2" t="s">
        <v>785</v>
      </c>
      <c r="G1542" s="3">
        <v>46163</v>
      </c>
      <c r="H1542" s="2" t="s">
        <v>753</v>
      </c>
      <c r="I1542" s="2" t="s">
        <v>755</v>
      </c>
      <c r="J1542" s="2" t="s">
        <v>754</v>
      </c>
      <c r="K1542" s="2" t="s">
        <v>753</v>
      </c>
      <c r="L1542" s="6">
        <v>140</v>
      </c>
      <c r="M1542" s="2" t="s">
        <v>752</v>
      </c>
      <c r="N1542" s="7">
        <v>25.25</v>
      </c>
      <c r="O1542" s="4">
        <v>3535</v>
      </c>
      <c r="P1542" s="4">
        <v>3535</v>
      </c>
      <c r="Q1542" s="6">
        <v>0</v>
      </c>
    </row>
    <row r="1543" spans="1:17" x14ac:dyDescent="0.25">
      <c r="A1543" s="2" t="s">
        <v>220</v>
      </c>
      <c r="B1543" s="2" t="s">
        <v>41</v>
      </c>
      <c r="C1543" s="2" t="s">
        <v>42</v>
      </c>
      <c r="D1543" s="2" t="s">
        <v>758</v>
      </c>
      <c r="E1543" s="2" t="s">
        <v>763</v>
      </c>
      <c r="F1543" s="2" t="s">
        <v>762</v>
      </c>
      <c r="G1543" s="3">
        <v>46163</v>
      </c>
      <c r="H1543" s="2" t="s">
        <v>753</v>
      </c>
      <c r="I1543" s="2" t="s">
        <v>755</v>
      </c>
      <c r="J1543" s="2" t="s">
        <v>754</v>
      </c>
      <c r="K1543" s="2" t="s">
        <v>753</v>
      </c>
      <c r="L1543" s="6">
        <v>196</v>
      </c>
      <c r="M1543" s="2" t="s">
        <v>752</v>
      </c>
      <c r="N1543" s="7">
        <v>40.43</v>
      </c>
      <c r="O1543" s="4">
        <v>7924.28</v>
      </c>
      <c r="P1543" s="4">
        <v>7924.28</v>
      </c>
      <c r="Q1543" s="6">
        <v>0</v>
      </c>
    </row>
    <row r="1544" spans="1:17" x14ac:dyDescent="0.25">
      <c r="A1544" s="2" t="s">
        <v>218</v>
      </c>
      <c r="B1544" s="2" t="s">
        <v>55</v>
      </c>
      <c r="C1544" s="2" t="s">
        <v>56</v>
      </c>
      <c r="D1544" s="2" t="s">
        <v>758</v>
      </c>
      <c r="E1544" s="2" t="s">
        <v>859</v>
      </c>
      <c r="F1544" s="2" t="s">
        <v>858</v>
      </c>
      <c r="G1544" s="3">
        <v>46163</v>
      </c>
      <c r="H1544" s="2" t="s">
        <v>753</v>
      </c>
      <c r="I1544" s="2" t="s">
        <v>755</v>
      </c>
      <c r="J1544" s="2" t="s">
        <v>754</v>
      </c>
      <c r="K1544" s="2" t="s">
        <v>753</v>
      </c>
      <c r="L1544" s="6">
        <v>960</v>
      </c>
      <c r="M1544" s="2" t="s">
        <v>752</v>
      </c>
      <c r="N1544" s="7">
        <v>33.42</v>
      </c>
      <c r="O1544" s="4">
        <v>32083.200000000001</v>
      </c>
      <c r="P1544" s="4">
        <v>32083.200000000001</v>
      </c>
      <c r="Q1544" s="6">
        <v>0</v>
      </c>
    </row>
    <row r="1545" spans="1:17" x14ac:dyDescent="0.25">
      <c r="A1545" s="2" t="s">
        <v>192</v>
      </c>
      <c r="B1545" s="2" t="s">
        <v>81</v>
      </c>
      <c r="C1545" s="2" t="s">
        <v>82</v>
      </c>
      <c r="D1545" s="2" t="s">
        <v>758</v>
      </c>
      <c r="E1545" s="2" t="s">
        <v>763</v>
      </c>
      <c r="F1545" s="2" t="s">
        <v>762</v>
      </c>
      <c r="G1545" s="3">
        <v>46170</v>
      </c>
      <c r="H1545" s="2" t="s">
        <v>753</v>
      </c>
      <c r="I1545" s="2" t="s">
        <v>755</v>
      </c>
      <c r="J1545" s="2" t="s">
        <v>754</v>
      </c>
      <c r="K1545" s="2" t="s">
        <v>753</v>
      </c>
      <c r="L1545" s="6">
        <v>476</v>
      </c>
      <c r="M1545" s="2" t="s">
        <v>752</v>
      </c>
      <c r="N1545" s="7">
        <v>46</v>
      </c>
      <c r="O1545" s="4">
        <v>21896</v>
      </c>
      <c r="P1545" s="4">
        <v>21896</v>
      </c>
      <c r="Q1545" s="6">
        <v>0</v>
      </c>
    </row>
    <row r="1546" spans="1:17" x14ac:dyDescent="0.25">
      <c r="A1546" s="2" t="s">
        <v>192</v>
      </c>
      <c r="B1546" s="2" t="s">
        <v>81</v>
      </c>
      <c r="C1546" s="2" t="s">
        <v>82</v>
      </c>
      <c r="D1546" s="2" t="s">
        <v>758</v>
      </c>
      <c r="E1546" s="2" t="s">
        <v>766</v>
      </c>
      <c r="F1546" s="2" t="s">
        <v>765</v>
      </c>
      <c r="G1546" s="3">
        <v>46170</v>
      </c>
      <c r="H1546" s="2" t="s">
        <v>753</v>
      </c>
      <c r="I1546" s="2" t="s">
        <v>755</v>
      </c>
      <c r="J1546" s="2" t="s">
        <v>754</v>
      </c>
      <c r="K1546" s="2" t="s">
        <v>753</v>
      </c>
      <c r="L1546" s="6">
        <v>49</v>
      </c>
      <c r="M1546" s="2" t="s">
        <v>752</v>
      </c>
      <c r="N1546" s="7">
        <v>40</v>
      </c>
      <c r="O1546" s="4">
        <v>1960</v>
      </c>
      <c r="P1546" s="4">
        <v>1960</v>
      </c>
      <c r="Q1546" s="6">
        <v>0</v>
      </c>
    </row>
    <row r="1547" spans="1:17" x14ac:dyDescent="0.25">
      <c r="A1547" s="2" t="s">
        <v>192</v>
      </c>
      <c r="B1547" s="2" t="s">
        <v>81</v>
      </c>
      <c r="C1547" s="2" t="s">
        <v>82</v>
      </c>
      <c r="D1547" s="2" t="s">
        <v>758</v>
      </c>
      <c r="E1547" s="2" t="s">
        <v>807</v>
      </c>
      <c r="F1547" s="2" t="s">
        <v>806</v>
      </c>
      <c r="G1547" s="3">
        <v>46170</v>
      </c>
      <c r="H1547" s="2" t="s">
        <v>753</v>
      </c>
      <c r="I1547" s="2" t="s">
        <v>755</v>
      </c>
      <c r="J1547" s="2" t="s">
        <v>754</v>
      </c>
      <c r="K1547" s="2" t="s">
        <v>753</v>
      </c>
      <c r="L1547" s="6">
        <v>16</v>
      </c>
      <c r="M1547" s="2" t="s">
        <v>752</v>
      </c>
      <c r="N1547" s="7">
        <v>42</v>
      </c>
      <c r="O1547" s="4">
        <v>672</v>
      </c>
      <c r="P1547" s="4">
        <v>672</v>
      </c>
      <c r="Q1547" s="6">
        <v>0</v>
      </c>
    </row>
    <row r="1548" spans="1:17" x14ac:dyDescent="0.25">
      <c r="A1548" s="2" t="s">
        <v>192</v>
      </c>
      <c r="B1548" s="2" t="s">
        <v>81</v>
      </c>
      <c r="C1548" s="2" t="s">
        <v>82</v>
      </c>
      <c r="D1548" s="2" t="s">
        <v>758</v>
      </c>
      <c r="E1548" s="2" t="s">
        <v>805</v>
      </c>
      <c r="F1548" s="2" t="s">
        <v>804</v>
      </c>
      <c r="G1548" s="3">
        <v>46170</v>
      </c>
      <c r="H1548" s="2" t="s">
        <v>753</v>
      </c>
      <c r="I1548" s="2" t="s">
        <v>755</v>
      </c>
      <c r="J1548" s="2" t="s">
        <v>754</v>
      </c>
      <c r="K1548" s="2" t="s">
        <v>753</v>
      </c>
      <c r="L1548" s="6">
        <v>28</v>
      </c>
      <c r="M1548" s="2" t="s">
        <v>752</v>
      </c>
      <c r="N1548" s="7">
        <v>45</v>
      </c>
      <c r="O1548" s="4">
        <v>1260</v>
      </c>
      <c r="P1548" s="4">
        <v>1260</v>
      </c>
      <c r="Q1548" s="6">
        <v>0</v>
      </c>
    </row>
    <row r="1549" spans="1:17" x14ac:dyDescent="0.25">
      <c r="A1549" s="2" t="s">
        <v>192</v>
      </c>
      <c r="B1549" s="2" t="s">
        <v>81</v>
      </c>
      <c r="C1549" s="2" t="s">
        <v>82</v>
      </c>
      <c r="D1549" s="2" t="s">
        <v>758</v>
      </c>
      <c r="E1549" s="2" t="s">
        <v>780</v>
      </c>
      <c r="F1549" s="2" t="s">
        <v>779</v>
      </c>
      <c r="G1549" s="3">
        <v>46170</v>
      </c>
      <c r="H1549" s="2" t="s">
        <v>753</v>
      </c>
      <c r="I1549" s="2" t="s">
        <v>755</v>
      </c>
      <c r="J1549" s="2" t="s">
        <v>754</v>
      </c>
      <c r="K1549" s="2" t="s">
        <v>753</v>
      </c>
      <c r="L1549" s="6">
        <v>28</v>
      </c>
      <c r="M1549" s="2" t="s">
        <v>752</v>
      </c>
      <c r="N1549" s="7">
        <v>38</v>
      </c>
      <c r="O1549" s="4">
        <v>1064</v>
      </c>
      <c r="P1549" s="4">
        <v>1064</v>
      </c>
      <c r="Q1549" s="6">
        <v>0</v>
      </c>
    </row>
    <row r="1550" spans="1:17" x14ac:dyDescent="0.25">
      <c r="A1550" s="2" t="s">
        <v>216</v>
      </c>
      <c r="B1550" s="2" t="s">
        <v>21</v>
      </c>
      <c r="C1550" s="2" t="s">
        <v>22</v>
      </c>
      <c r="D1550" s="2" t="s">
        <v>758</v>
      </c>
      <c r="E1550" s="2" t="s">
        <v>763</v>
      </c>
      <c r="F1550" s="2" t="s">
        <v>762</v>
      </c>
      <c r="G1550" s="3">
        <v>46163</v>
      </c>
      <c r="H1550" s="2" t="s">
        <v>753</v>
      </c>
      <c r="I1550" s="2" t="s">
        <v>755</v>
      </c>
      <c r="J1550" s="2" t="s">
        <v>754</v>
      </c>
      <c r="K1550" s="2" t="s">
        <v>753</v>
      </c>
      <c r="L1550" s="6">
        <v>224</v>
      </c>
      <c r="M1550" s="2" t="s">
        <v>752</v>
      </c>
      <c r="N1550" s="7">
        <v>42.6</v>
      </c>
      <c r="O1550" s="4">
        <v>9542.4</v>
      </c>
      <c r="P1550" s="4">
        <v>9542.4</v>
      </c>
      <c r="Q1550" s="6">
        <v>0</v>
      </c>
    </row>
    <row r="1551" spans="1:17" x14ac:dyDescent="0.25">
      <c r="A1551" s="2" t="s">
        <v>216</v>
      </c>
      <c r="B1551" s="2" t="s">
        <v>21</v>
      </c>
      <c r="C1551" s="2" t="s">
        <v>22</v>
      </c>
      <c r="D1551" s="2" t="s">
        <v>758</v>
      </c>
      <c r="E1551" s="2" t="s">
        <v>800</v>
      </c>
      <c r="F1551" s="2" t="s">
        <v>799</v>
      </c>
      <c r="G1551" s="3">
        <v>46163</v>
      </c>
      <c r="H1551" s="2" t="s">
        <v>753</v>
      </c>
      <c r="I1551" s="2" t="s">
        <v>755</v>
      </c>
      <c r="J1551" s="2" t="s">
        <v>754</v>
      </c>
      <c r="K1551" s="2" t="s">
        <v>753</v>
      </c>
      <c r="L1551" s="6">
        <v>16</v>
      </c>
      <c r="M1551" s="2" t="s">
        <v>752</v>
      </c>
      <c r="N1551" s="7">
        <v>34.200000000000003</v>
      </c>
      <c r="O1551" s="4">
        <v>547.20000000000005</v>
      </c>
      <c r="P1551" s="4">
        <v>547.20000000000005</v>
      </c>
      <c r="Q1551" s="6">
        <v>0</v>
      </c>
    </row>
    <row r="1552" spans="1:17" x14ac:dyDescent="0.25">
      <c r="A1552" s="2" t="s">
        <v>216</v>
      </c>
      <c r="B1552" s="2" t="s">
        <v>21</v>
      </c>
      <c r="C1552" s="2" t="s">
        <v>22</v>
      </c>
      <c r="D1552" s="2" t="s">
        <v>758</v>
      </c>
      <c r="E1552" s="2" t="s">
        <v>796</v>
      </c>
      <c r="F1552" s="2" t="s">
        <v>795</v>
      </c>
      <c r="G1552" s="3">
        <v>46163</v>
      </c>
      <c r="H1552" s="2" t="s">
        <v>753</v>
      </c>
      <c r="I1552" s="2" t="s">
        <v>755</v>
      </c>
      <c r="J1552" s="2" t="s">
        <v>754</v>
      </c>
      <c r="K1552" s="2" t="s">
        <v>753</v>
      </c>
      <c r="L1552" s="6">
        <v>12</v>
      </c>
      <c r="M1552" s="2" t="s">
        <v>752</v>
      </c>
      <c r="N1552" s="7">
        <v>35.65</v>
      </c>
      <c r="O1552" s="4">
        <v>427.8</v>
      </c>
      <c r="P1552" s="4">
        <v>427.8</v>
      </c>
      <c r="Q1552" s="6">
        <v>0</v>
      </c>
    </row>
    <row r="1553" spans="1:17" x14ac:dyDescent="0.25">
      <c r="A1553" s="2" t="s">
        <v>216</v>
      </c>
      <c r="B1553" s="2" t="s">
        <v>21</v>
      </c>
      <c r="C1553" s="2" t="s">
        <v>22</v>
      </c>
      <c r="D1553" s="2" t="s">
        <v>758</v>
      </c>
      <c r="E1553" s="2" t="s">
        <v>794</v>
      </c>
      <c r="F1553" s="2" t="s">
        <v>793</v>
      </c>
      <c r="G1553" s="3">
        <v>46163</v>
      </c>
      <c r="H1553" s="2" t="s">
        <v>753</v>
      </c>
      <c r="I1553" s="2" t="s">
        <v>755</v>
      </c>
      <c r="J1553" s="2" t="s">
        <v>754</v>
      </c>
      <c r="K1553" s="2" t="s">
        <v>753</v>
      </c>
      <c r="L1553" s="6">
        <v>0</v>
      </c>
      <c r="M1553" s="2" t="s">
        <v>752</v>
      </c>
      <c r="N1553" s="7">
        <v>40.619999999999997</v>
      </c>
      <c r="O1553" s="4">
        <v>0</v>
      </c>
      <c r="P1553" s="4">
        <v>0</v>
      </c>
      <c r="Q1553" s="6">
        <v>0</v>
      </c>
    </row>
    <row r="1554" spans="1:17" x14ac:dyDescent="0.25">
      <c r="A1554" s="2" t="s">
        <v>216</v>
      </c>
      <c r="B1554" s="2" t="s">
        <v>21</v>
      </c>
      <c r="C1554" s="2" t="s">
        <v>22</v>
      </c>
      <c r="D1554" s="2" t="s">
        <v>758</v>
      </c>
      <c r="E1554" s="2" t="s">
        <v>792</v>
      </c>
      <c r="F1554" s="2" t="s">
        <v>791</v>
      </c>
      <c r="G1554" s="3">
        <v>46163</v>
      </c>
      <c r="H1554" s="2" t="s">
        <v>753</v>
      </c>
      <c r="I1554" s="2" t="s">
        <v>755</v>
      </c>
      <c r="J1554" s="2" t="s">
        <v>754</v>
      </c>
      <c r="K1554" s="2" t="s">
        <v>753</v>
      </c>
      <c r="L1554" s="6">
        <v>12</v>
      </c>
      <c r="M1554" s="2" t="s">
        <v>752</v>
      </c>
      <c r="N1554" s="7">
        <v>35</v>
      </c>
      <c r="O1554" s="4">
        <v>420</v>
      </c>
      <c r="P1554" s="4">
        <v>420</v>
      </c>
      <c r="Q1554" s="6">
        <v>0</v>
      </c>
    </row>
    <row r="1555" spans="1:17" x14ac:dyDescent="0.25">
      <c r="A1555" s="2" t="s">
        <v>216</v>
      </c>
      <c r="B1555" s="2" t="s">
        <v>21</v>
      </c>
      <c r="C1555" s="2" t="s">
        <v>22</v>
      </c>
      <c r="D1555" s="2" t="s">
        <v>758</v>
      </c>
      <c r="E1555" s="2" t="s">
        <v>790</v>
      </c>
      <c r="F1555" s="2" t="s">
        <v>789</v>
      </c>
      <c r="G1555" s="3">
        <v>46163</v>
      </c>
      <c r="H1555" s="2" t="s">
        <v>753</v>
      </c>
      <c r="I1555" s="2" t="s">
        <v>755</v>
      </c>
      <c r="J1555" s="2" t="s">
        <v>754</v>
      </c>
      <c r="K1555" s="2" t="s">
        <v>753</v>
      </c>
      <c r="L1555" s="6">
        <v>84</v>
      </c>
      <c r="M1555" s="2" t="s">
        <v>752</v>
      </c>
      <c r="N1555" s="7">
        <v>39.25</v>
      </c>
      <c r="O1555" s="4">
        <v>3297</v>
      </c>
      <c r="P1555" s="4">
        <v>3297</v>
      </c>
      <c r="Q1555" s="6">
        <v>0</v>
      </c>
    </row>
    <row r="1556" spans="1:17" x14ac:dyDescent="0.25">
      <c r="A1556" s="2" t="s">
        <v>216</v>
      </c>
      <c r="B1556" s="2" t="s">
        <v>21</v>
      </c>
      <c r="C1556" s="2" t="s">
        <v>22</v>
      </c>
      <c r="D1556" s="2" t="s">
        <v>758</v>
      </c>
      <c r="E1556" s="2" t="s">
        <v>788</v>
      </c>
      <c r="F1556" s="2" t="s">
        <v>787</v>
      </c>
      <c r="G1556" s="3">
        <v>46163</v>
      </c>
      <c r="H1556" s="2" t="s">
        <v>753</v>
      </c>
      <c r="I1556" s="2" t="s">
        <v>755</v>
      </c>
      <c r="J1556" s="2" t="s">
        <v>754</v>
      </c>
      <c r="K1556" s="2" t="s">
        <v>753</v>
      </c>
      <c r="L1556" s="6">
        <v>28</v>
      </c>
      <c r="M1556" s="2" t="s">
        <v>752</v>
      </c>
      <c r="N1556" s="7">
        <v>38.299999999999997</v>
      </c>
      <c r="O1556" s="4">
        <v>1072.4000000000001</v>
      </c>
      <c r="P1556" s="4">
        <v>1072.4000000000001</v>
      </c>
      <c r="Q1556" s="6">
        <v>0</v>
      </c>
    </row>
    <row r="1557" spans="1:17" x14ac:dyDescent="0.25">
      <c r="A1557" s="2" t="s">
        <v>216</v>
      </c>
      <c r="B1557" s="2" t="s">
        <v>21</v>
      </c>
      <c r="C1557" s="2" t="s">
        <v>22</v>
      </c>
      <c r="D1557" s="2" t="s">
        <v>758</v>
      </c>
      <c r="E1557" s="2" t="s">
        <v>772</v>
      </c>
      <c r="F1557" s="2" t="s">
        <v>771</v>
      </c>
      <c r="G1557" s="3">
        <v>46163</v>
      </c>
      <c r="H1557" s="2" t="s">
        <v>753</v>
      </c>
      <c r="I1557" s="2" t="s">
        <v>755</v>
      </c>
      <c r="J1557" s="2" t="s">
        <v>754</v>
      </c>
      <c r="K1557" s="2" t="s">
        <v>753</v>
      </c>
      <c r="L1557" s="6">
        <v>112</v>
      </c>
      <c r="M1557" s="2" t="s">
        <v>752</v>
      </c>
      <c r="N1557" s="7">
        <v>34.5</v>
      </c>
      <c r="O1557" s="4">
        <v>3864</v>
      </c>
      <c r="P1557" s="4">
        <v>3864</v>
      </c>
      <c r="Q1557" s="6">
        <v>0</v>
      </c>
    </row>
    <row r="1558" spans="1:17" x14ac:dyDescent="0.25">
      <c r="A1558" s="2" t="s">
        <v>216</v>
      </c>
      <c r="B1558" s="2" t="s">
        <v>21</v>
      </c>
      <c r="C1558" s="2" t="s">
        <v>22</v>
      </c>
      <c r="D1558" s="2" t="s">
        <v>758</v>
      </c>
      <c r="E1558" s="2" t="s">
        <v>786</v>
      </c>
      <c r="F1558" s="2" t="s">
        <v>785</v>
      </c>
      <c r="G1558" s="3">
        <v>46163</v>
      </c>
      <c r="H1558" s="2" t="s">
        <v>753</v>
      </c>
      <c r="I1558" s="2" t="s">
        <v>755</v>
      </c>
      <c r="J1558" s="2" t="s">
        <v>754</v>
      </c>
      <c r="K1558" s="2" t="s">
        <v>753</v>
      </c>
      <c r="L1558" s="6">
        <v>56</v>
      </c>
      <c r="M1558" s="2" t="s">
        <v>752</v>
      </c>
      <c r="N1558" s="7">
        <v>35</v>
      </c>
      <c r="O1558" s="4">
        <v>1960</v>
      </c>
      <c r="P1558" s="4">
        <v>1960</v>
      </c>
      <c r="Q1558" s="6">
        <v>0</v>
      </c>
    </row>
    <row r="1559" spans="1:17" x14ac:dyDescent="0.25">
      <c r="A1559" s="2" t="s">
        <v>216</v>
      </c>
      <c r="B1559" s="2" t="s">
        <v>21</v>
      </c>
      <c r="C1559" s="2" t="s">
        <v>22</v>
      </c>
      <c r="D1559" s="2" t="s">
        <v>758</v>
      </c>
      <c r="E1559" s="2" t="s">
        <v>782</v>
      </c>
      <c r="F1559" s="2" t="s">
        <v>781</v>
      </c>
      <c r="G1559" s="3">
        <v>46163</v>
      </c>
      <c r="H1559" s="2" t="s">
        <v>753</v>
      </c>
      <c r="I1559" s="2" t="s">
        <v>755</v>
      </c>
      <c r="J1559" s="2" t="s">
        <v>754</v>
      </c>
      <c r="K1559" s="2" t="s">
        <v>753</v>
      </c>
      <c r="L1559" s="6">
        <v>10</v>
      </c>
      <c r="M1559" s="2" t="s">
        <v>752</v>
      </c>
      <c r="N1559" s="7">
        <v>36.18</v>
      </c>
      <c r="O1559" s="4">
        <v>361.8</v>
      </c>
      <c r="P1559" s="4">
        <v>361.8</v>
      </c>
      <c r="Q1559" s="6">
        <v>0</v>
      </c>
    </row>
    <row r="1560" spans="1:17" x14ac:dyDescent="0.25">
      <c r="A1560" s="2" t="s">
        <v>216</v>
      </c>
      <c r="B1560" s="2" t="s">
        <v>21</v>
      </c>
      <c r="C1560" s="2" t="s">
        <v>22</v>
      </c>
      <c r="D1560" s="2" t="s">
        <v>758</v>
      </c>
      <c r="E1560" s="2" t="s">
        <v>780</v>
      </c>
      <c r="F1560" s="2" t="s">
        <v>779</v>
      </c>
      <c r="G1560" s="3">
        <v>46163</v>
      </c>
      <c r="H1560" s="2" t="s">
        <v>753</v>
      </c>
      <c r="I1560" s="2" t="s">
        <v>755</v>
      </c>
      <c r="J1560" s="2" t="s">
        <v>754</v>
      </c>
      <c r="K1560" s="2" t="s">
        <v>753</v>
      </c>
      <c r="L1560" s="6">
        <v>12</v>
      </c>
      <c r="M1560" s="2" t="s">
        <v>752</v>
      </c>
      <c r="N1560" s="7">
        <v>36.07</v>
      </c>
      <c r="O1560" s="4">
        <v>432.84</v>
      </c>
      <c r="P1560" s="4">
        <v>432.84</v>
      </c>
      <c r="Q1560" s="6">
        <v>0</v>
      </c>
    </row>
    <row r="1561" spans="1:17" x14ac:dyDescent="0.25">
      <c r="A1561" s="2" t="s">
        <v>216</v>
      </c>
      <c r="B1561" s="2" t="s">
        <v>21</v>
      </c>
      <c r="C1561" s="2" t="s">
        <v>22</v>
      </c>
      <c r="D1561" s="2" t="s">
        <v>758</v>
      </c>
      <c r="E1561" s="2" t="s">
        <v>776</v>
      </c>
      <c r="F1561" s="2" t="s">
        <v>775</v>
      </c>
      <c r="G1561" s="3">
        <v>46163</v>
      </c>
      <c r="H1561" s="2" t="s">
        <v>753</v>
      </c>
      <c r="I1561" s="2" t="s">
        <v>755</v>
      </c>
      <c r="J1561" s="2" t="s">
        <v>754</v>
      </c>
      <c r="K1561" s="2" t="s">
        <v>753</v>
      </c>
      <c r="L1561" s="6">
        <v>40</v>
      </c>
      <c r="M1561" s="2" t="s">
        <v>752</v>
      </c>
      <c r="N1561" s="7">
        <v>43.82</v>
      </c>
      <c r="O1561" s="4">
        <v>1752.8</v>
      </c>
      <c r="P1561" s="4">
        <v>1752.8</v>
      </c>
      <c r="Q1561" s="6">
        <v>0</v>
      </c>
    </row>
    <row r="1562" spans="1:17" x14ac:dyDescent="0.25">
      <c r="A1562" s="2" t="s">
        <v>198</v>
      </c>
      <c r="B1562" s="2" t="s">
        <v>199</v>
      </c>
      <c r="C1562" s="2" t="s">
        <v>200</v>
      </c>
      <c r="D1562" s="2" t="s">
        <v>758</v>
      </c>
      <c r="E1562" s="2" t="s">
        <v>817</v>
      </c>
      <c r="F1562" s="2" t="s">
        <v>816</v>
      </c>
      <c r="G1562" s="3">
        <v>46169</v>
      </c>
      <c r="H1562" s="2" t="s">
        <v>753</v>
      </c>
      <c r="I1562" s="2" t="s">
        <v>755</v>
      </c>
      <c r="J1562" s="2" t="s">
        <v>754</v>
      </c>
      <c r="K1562" s="2" t="s">
        <v>753</v>
      </c>
      <c r="L1562" s="6">
        <v>224</v>
      </c>
      <c r="M1562" s="2" t="s">
        <v>752</v>
      </c>
      <c r="N1562" s="7">
        <v>32.5</v>
      </c>
      <c r="O1562" s="4">
        <v>7280</v>
      </c>
      <c r="P1562" s="4">
        <v>7280</v>
      </c>
      <c r="Q1562" s="6">
        <v>0</v>
      </c>
    </row>
    <row r="1563" spans="1:17" x14ac:dyDescent="0.25">
      <c r="A1563" s="2" t="s">
        <v>198</v>
      </c>
      <c r="B1563" s="2" t="s">
        <v>199</v>
      </c>
      <c r="C1563" s="2" t="s">
        <v>200</v>
      </c>
      <c r="D1563" s="2" t="s">
        <v>758</v>
      </c>
      <c r="E1563" s="2" t="s">
        <v>879</v>
      </c>
      <c r="F1563" s="2" t="s">
        <v>878</v>
      </c>
      <c r="G1563" s="3">
        <v>46169</v>
      </c>
      <c r="H1563" s="2" t="s">
        <v>753</v>
      </c>
      <c r="I1563" s="2" t="s">
        <v>755</v>
      </c>
      <c r="J1563" s="2" t="s">
        <v>754</v>
      </c>
      <c r="K1563" s="2" t="s">
        <v>753</v>
      </c>
      <c r="L1563" s="6">
        <v>28</v>
      </c>
      <c r="M1563" s="2" t="s">
        <v>752</v>
      </c>
      <c r="N1563" s="7">
        <v>42.75</v>
      </c>
      <c r="O1563" s="4">
        <v>1197</v>
      </c>
      <c r="P1563" s="4">
        <v>1197</v>
      </c>
      <c r="Q1563" s="6">
        <v>0</v>
      </c>
    </row>
    <row r="1564" spans="1:17" x14ac:dyDescent="0.25">
      <c r="A1564" s="2" t="s">
        <v>190</v>
      </c>
      <c r="B1564" s="2" t="s">
        <v>55</v>
      </c>
      <c r="C1564" s="2" t="s">
        <v>56</v>
      </c>
      <c r="D1564" s="2" t="s">
        <v>758</v>
      </c>
      <c r="E1564" s="2" t="s">
        <v>859</v>
      </c>
      <c r="F1564" s="2" t="s">
        <v>858</v>
      </c>
      <c r="G1564" s="3">
        <v>46170</v>
      </c>
      <c r="H1564" s="2" t="s">
        <v>753</v>
      </c>
      <c r="I1564" s="2" t="s">
        <v>755</v>
      </c>
      <c r="J1564" s="2" t="s">
        <v>754</v>
      </c>
      <c r="K1564" s="2" t="s">
        <v>753</v>
      </c>
      <c r="L1564" s="6">
        <v>416</v>
      </c>
      <c r="M1564" s="2" t="s">
        <v>752</v>
      </c>
      <c r="N1564" s="7">
        <v>33.42</v>
      </c>
      <c r="O1564" s="4">
        <v>13902.72</v>
      </c>
      <c r="P1564" s="4">
        <v>13902.72</v>
      </c>
      <c r="Q1564" s="6">
        <v>0</v>
      </c>
    </row>
    <row r="1565" spans="1:17" x14ac:dyDescent="0.25">
      <c r="A1565" s="2" t="s">
        <v>194</v>
      </c>
      <c r="B1565" s="2" t="s">
        <v>195</v>
      </c>
      <c r="C1565" s="2" t="s">
        <v>196</v>
      </c>
      <c r="D1565" s="2" t="s">
        <v>758</v>
      </c>
      <c r="E1565" s="2" t="s">
        <v>869</v>
      </c>
      <c r="F1565" s="2" t="s">
        <v>868</v>
      </c>
      <c r="G1565" s="3">
        <v>46169</v>
      </c>
      <c r="H1565" s="2" t="s">
        <v>753</v>
      </c>
      <c r="I1565" s="2" t="s">
        <v>755</v>
      </c>
      <c r="J1565" s="2" t="s">
        <v>754</v>
      </c>
      <c r="K1565" s="2" t="s">
        <v>753</v>
      </c>
      <c r="L1565" s="6">
        <v>120</v>
      </c>
      <c r="M1565" s="2" t="s">
        <v>752</v>
      </c>
      <c r="N1565" s="7">
        <v>51.38</v>
      </c>
      <c r="O1565" s="4">
        <v>6165.6</v>
      </c>
      <c r="P1565" s="4">
        <v>6165.6</v>
      </c>
      <c r="Q1565" s="6">
        <v>0</v>
      </c>
    </row>
    <row r="1566" spans="1:17" x14ac:dyDescent="0.25">
      <c r="A1566" s="2" t="s">
        <v>194</v>
      </c>
      <c r="B1566" s="2" t="s">
        <v>195</v>
      </c>
      <c r="C1566" s="2" t="s">
        <v>196</v>
      </c>
      <c r="D1566" s="2" t="s">
        <v>758</v>
      </c>
      <c r="E1566" s="2" t="s">
        <v>831</v>
      </c>
      <c r="F1566" s="2" t="s">
        <v>830</v>
      </c>
      <c r="G1566" s="3">
        <v>46169</v>
      </c>
      <c r="H1566" s="2" t="s">
        <v>753</v>
      </c>
      <c r="I1566" s="2" t="s">
        <v>755</v>
      </c>
      <c r="J1566" s="2" t="s">
        <v>754</v>
      </c>
      <c r="K1566" s="2" t="s">
        <v>753</v>
      </c>
      <c r="L1566" s="6">
        <v>72</v>
      </c>
      <c r="M1566" s="2" t="s">
        <v>752</v>
      </c>
      <c r="N1566" s="7">
        <v>54.38</v>
      </c>
      <c r="O1566" s="4">
        <v>3915.36</v>
      </c>
      <c r="P1566" s="4">
        <v>3915.36</v>
      </c>
      <c r="Q1566" s="6">
        <v>0</v>
      </c>
    </row>
    <row r="1567" spans="1:17" x14ac:dyDescent="0.25">
      <c r="A1567" s="2" t="s">
        <v>194</v>
      </c>
      <c r="B1567" s="2" t="s">
        <v>195</v>
      </c>
      <c r="C1567" s="2" t="s">
        <v>196</v>
      </c>
      <c r="D1567" s="2" t="s">
        <v>758</v>
      </c>
      <c r="E1567" s="2" t="s">
        <v>929</v>
      </c>
      <c r="F1567" s="2" t="s">
        <v>928</v>
      </c>
      <c r="G1567" s="3">
        <v>46169</v>
      </c>
      <c r="H1567" s="2" t="s">
        <v>753</v>
      </c>
      <c r="I1567" s="2" t="s">
        <v>755</v>
      </c>
      <c r="J1567" s="2" t="s">
        <v>754</v>
      </c>
      <c r="K1567" s="2" t="s">
        <v>753</v>
      </c>
      <c r="L1567" s="6">
        <v>220</v>
      </c>
      <c r="M1567" s="2" t="s">
        <v>752</v>
      </c>
      <c r="N1567" s="7">
        <v>61.02</v>
      </c>
      <c r="O1567" s="4">
        <v>13424.4</v>
      </c>
      <c r="P1567" s="4">
        <v>13424.4</v>
      </c>
      <c r="Q1567" s="6">
        <v>0</v>
      </c>
    </row>
    <row r="1568" spans="1:17" x14ac:dyDescent="0.25">
      <c r="A1568" s="2" t="s">
        <v>194</v>
      </c>
      <c r="B1568" s="2" t="s">
        <v>195</v>
      </c>
      <c r="C1568" s="2" t="s">
        <v>196</v>
      </c>
      <c r="D1568" s="2" t="s">
        <v>758</v>
      </c>
      <c r="E1568" s="2" t="s">
        <v>829</v>
      </c>
      <c r="F1568" s="2" t="s">
        <v>828</v>
      </c>
      <c r="G1568" s="3">
        <v>46169</v>
      </c>
      <c r="H1568" s="2" t="s">
        <v>753</v>
      </c>
      <c r="I1568" s="2" t="s">
        <v>755</v>
      </c>
      <c r="J1568" s="2" t="s">
        <v>754</v>
      </c>
      <c r="K1568" s="2" t="s">
        <v>753</v>
      </c>
      <c r="L1568" s="6">
        <v>48</v>
      </c>
      <c r="M1568" s="2" t="s">
        <v>752</v>
      </c>
      <c r="N1568" s="7">
        <v>28.5</v>
      </c>
      <c r="O1568" s="4">
        <v>1368</v>
      </c>
      <c r="P1568" s="4">
        <v>1368</v>
      </c>
      <c r="Q1568" s="6">
        <v>0</v>
      </c>
    </row>
    <row r="1569" spans="1:17" x14ac:dyDescent="0.25">
      <c r="A1569" s="2" t="s">
        <v>180</v>
      </c>
      <c r="B1569" s="2" t="s">
        <v>181</v>
      </c>
      <c r="C1569" s="2" t="s">
        <v>182</v>
      </c>
      <c r="D1569" s="2" t="s">
        <v>758</v>
      </c>
      <c r="E1569" s="2" t="s">
        <v>871</v>
      </c>
      <c r="F1569" s="2" t="s">
        <v>870</v>
      </c>
      <c r="G1569" s="3">
        <v>46174</v>
      </c>
      <c r="H1569" s="2" t="s">
        <v>753</v>
      </c>
      <c r="I1569" s="2" t="s">
        <v>755</v>
      </c>
      <c r="J1569" s="2" t="s">
        <v>754</v>
      </c>
      <c r="K1569" s="2" t="s">
        <v>753</v>
      </c>
      <c r="L1569" s="6">
        <v>140</v>
      </c>
      <c r="M1569" s="2" t="s">
        <v>752</v>
      </c>
      <c r="N1569" s="7">
        <v>37.659999999999997</v>
      </c>
      <c r="O1569" s="4">
        <v>5272.4</v>
      </c>
      <c r="P1569" s="4">
        <v>5272.4</v>
      </c>
      <c r="Q1569" s="6">
        <v>0</v>
      </c>
    </row>
    <row r="1570" spans="1:17" x14ac:dyDescent="0.25">
      <c r="A1570" s="2" t="s">
        <v>180</v>
      </c>
      <c r="B1570" s="2" t="s">
        <v>181</v>
      </c>
      <c r="C1570" s="2" t="s">
        <v>182</v>
      </c>
      <c r="D1570" s="2" t="s">
        <v>758</v>
      </c>
      <c r="E1570" s="2" t="s">
        <v>918</v>
      </c>
      <c r="F1570" s="2" t="s">
        <v>917</v>
      </c>
      <c r="G1570" s="3">
        <v>46174</v>
      </c>
      <c r="H1570" s="2" t="s">
        <v>753</v>
      </c>
      <c r="I1570" s="2" t="s">
        <v>755</v>
      </c>
      <c r="J1570" s="2" t="s">
        <v>754</v>
      </c>
      <c r="K1570" s="2" t="s">
        <v>753</v>
      </c>
      <c r="L1570" s="6">
        <v>12</v>
      </c>
      <c r="M1570" s="2" t="s">
        <v>752</v>
      </c>
      <c r="N1570" s="7">
        <v>42.53</v>
      </c>
      <c r="O1570" s="4">
        <v>510.36</v>
      </c>
      <c r="P1570" s="4">
        <v>510.36</v>
      </c>
      <c r="Q1570" s="6">
        <v>0</v>
      </c>
    </row>
    <row r="1571" spans="1:17" x14ac:dyDescent="0.25">
      <c r="A1571" s="2" t="s">
        <v>180</v>
      </c>
      <c r="B1571" s="2" t="s">
        <v>181</v>
      </c>
      <c r="C1571" s="2" t="s">
        <v>182</v>
      </c>
      <c r="D1571" s="2" t="s">
        <v>758</v>
      </c>
      <c r="E1571" s="2" t="s">
        <v>778</v>
      </c>
      <c r="F1571" s="2" t="s">
        <v>777</v>
      </c>
      <c r="G1571" s="3">
        <v>46174</v>
      </c>
      <c r="H1571" s="2" t="s">
        <v>753</v>
      </c>
      <c r="I1571" s="2" t="s">
        <v>755</v>
      </c>
      <c r="J1571" s="2" t="s">
        <v>754</v>
      </c>
      <c r="K1571" s="2" t="s">
        <v>753</v>
      </c>
      <c r="L1571" s="6">
        <v>4</v>
      </c>
      <c r="M1571" s="2" t="s">
        <v>752</v>
      </c>
      <c r="N1571" s="7">
        <v>39.96</v>
      </c>
      <c r="O1571" s="4">
        <v>159.84</v>
      </c>
      <c r="P1571" s="4">
        <v>159.84</v>
      </c>
      <c r="Q1571" s="6">
        <v>0</v>
      </c>
    </row>
    <row r="1572" spans="1:17" x14ac:dyDescent="0.25">
      <c r="A1572" s="2" t="s">
        <v>180</v>
      </c>
      <c r="B1572" s="2" t="s">
        <v>181</v>
      </c>
      <c r="C1572" s="2" t="s">
        <v>182</v>
      </c>
      <c r="D1572" s="2" t="s">
        <v>758</v>
      </c>
      <c r="E1572" s="2" t="s">
        <v>794</v>
      </c>
      <c r="F1572" s="2" t="s">
        <v>793</v>
      </c>
      <c r="G1572" s="3">
        <v>46174</v>
      </c>
      <c r="H1572" s="2" t="s">
        <v>753</v>
      </c>
      <c r="I1572" s="2" t="s">
        <v>755</v>
      </c>
      <c r="J1572" s="2" t="s">
        <v>754</v>
      </c>
      <c r="K1572" s="2" t="s">
        <v>753</v>
      </c>
      <c r="L1572" s="6">
        <v>64</v>
      </c>
      <c r="M1572" s="2" t="s">
        <v>752</v>
      </c>
      <c r="N1572" s="7">
        <v>40</v>
      </c>
      <c r="O1572" s="4">
        <v>2560</v>
      </c>
      <c r="P1572" s="4">
        <v>2560</v>
      </c>
      <c r="Q1572" s="6">
        <v>0</v>
      </c>
    </row>
    <row r="1573" spans="1:17" x14ac:dyDescent="0.25">
      <c r="A1573" s="2" t="s">
        <v>180</v>
      </c>
      <c r="B1573" s="2" t="s">
        <v>181</v>
      </c>
      <c r="C1573" s="2" t="s">
        <v>182</v>
      </c>
      <c r="D1573" s="2" t="s">
        <v>758</v>
      </c>
      <c r="E1573" s="2" t="s">
        <v>879</v>
      </c>
      <c r="F1573" s="2" t="s">
        <v>878</v>
      </c>
      <c r="G1573" s="3">
        <v>46174</v>
      </c>
      <c r="H1573" s="2" t="s">
        <v>753</v>
      </c>
      <c r="I1573" s="2" t="s">
        <v>755</v>
      </c>
      <c r="J1573" s="2" t="s">
        <v>754</v>
      </c>
      <c r="K1573" s="2" t="s">
        <v>753</v>
      </c>
      <c r="L1573" s="6">
        <v>44</v>
      </c>
      <c r="M1573" s="2" t="s">
        <v>752</v>
      </c>
      <c r="N1573" s="7">
        <v>39</v>
      </c>
      <c r="O1573" s="4">
        <v>1716</v>
      </c>
      <c r="P1573" s="4">
        <v>1716</v>
      </c>
      <c r="Q1573" s="6">
        <v>0</v>
      </c>
    </row>
    <row r="1574" spans="1:17" x14ac:dyDescent="0.25">
      <c r="A1574" s="2" t="s">
        <v>180</v>
      </c>
      <c r="B1574" s="2" t="s">
        <v>181</v>
      </c>
      <c r="C1574" s="2" t="s">
        <v>182</v>
      </c>
      <c r="D1574" s="2" t="s">
        <v>758</v>
      </c>
      <c r="E1574" s="2" t="s">
        <v>763</v>
      </c>
      <c r="F1574" s="2" t="s">
        <v>762</v>
      </c>
      <c r="G1574" s="3">
        <v>46174</v>
      </c>
      <c r="H1574" s="2" t="s">
        <v>753</v>
      </c>
      <c r="I1574" s="2" t="s">
        <v>755</v>
      </c>
      <c r="J1574" s="2" t="s">
        <v>754</v>
      </c>
      <c r="K1574" s="2" t="s">
        <v>753</v>
      </c>
      <c r="L1574" s="6">
        <v>268</v>
      </c>
      <c r="M1574" s="2" t="s">
        <v>752</v>
      </c>
      <c r="N1574" s="7">
        <v>44</v>
      </c>
      <c r="O1574" s="4">
        <v>11792</v>
      </c>
      <c r="P1574" s="4">
        <v>11792</v>
      </c>
      <c r="Q1574" s="6">
        <v>0</v>
      </c>
    </row>
    <row r="1575" spans="1:17" x14ac:dyDescent="0.25">
      <c r="A1575" s="2" t="s">
        <v>180</v>
      </c>
      <c r="B1575" s="2" t="s">
        <v>181</v>
      </c>
      <c r="C1575" s="2" t="s">
        <v>182</v>
      </c>
      <c r="D1575" s="2" t="s">
        <v>758</v>
      </c>
      <c r="E1575" s="2" t="s">
        <v>782</v>
      </c>
      <c r="F1575" s="2" t="s">
        <v>781</v>
      </c>
      <c r="G1575" s="3">
        <v>46174</v>
      </c>
      <c r="H1575" s="2" t="s">
        <v>753</v>
      </c>
      <c r="I1575" s="2" t="s">
        <v>755</v>
      </c>
      <c r="J1575" s="2" t="s">
        <v>754</v>
      </c>
      <c r="K1575" s="2" t="s">
        <v>753</v>
      </c>
      <c r="L1575" s="6">
        <v>4</v>
      </c>
      <c r="M1575" s="2" t="s">
        <v>752</v>
      </c>
      <c r="N1575" s="7">
        <v>37</v>
      </c>
      <c r="O1575" s="4">
        <v>148</v>
      </c>
      <c r="P1575" s="4">
        <v>148</v>
      </c>
      <c r="Q1575" s="6">
        <v>0</v>
      </c>
    </row>
    <row r="1576" spans="1:17" x14ac:dyDescent="0.25">
      <c r="A1576" s="2" t="s">
        <v>174</v>
      </c>
      <c r="B1576" s="2" t="s">
        <v>87</v>
      </c>
      <c r="C1576" s="2" t="s">
        <v>88</v>
      </c>
      <c r="D1576" s="2" t="s">
        <v>758</v>
      </c>
      <c r="E1576" s="2" t="s">
        <v>845</v>
      </c>
      <c r="F1576" s="2" t="s">
        <v>844</v>
      </c>
      <c r="G1576" s="3">
        <v>46175</v>
      </c>
      <c r="H1576" s="2" t="s">
        <v>753</v>
      </c>
      <c r="I1576" s="2" t="s">
        <v>755</v>
      </c>
      <c r="J1576" s="2" t="s">
        <v>754</v>
      </c>
      <c r="K1576" s="2" t="s">
        <v>753</v>
      </c>
      <c r="L1576" s="6">
        <v>120</v>
      </c>
      <c r="M1576" s="2" t="s">
        <v>752</v>
      </c>
      <c r="N1576" s="7">
        <v>40.119999999999997</v>
      </c>
      <c r="O1576" s="4">
        <v>4814.3999999999996</v>
      </c>
      <c r="P1576" s="4">
        <v>4814.3999999999996</v>
      </c>
      <c r="Q1576" s="6">
        <v>0</v>
      </c>
    </row>
    <row r="1577" spans="1:17" x14ac:dyDescent="0.25">
      <c r="A1577" s="2" t="s">
        <v>174</v>
      </c>
      <c r="B1577" s="2" t="s">
        <v>87</v>
      </c>
      <c r="C1577" s="2" t="s">
        <v>88</v>
      </c>
      <c r="D1577" s="2" t="s">
        <v>758</v>
      </c>
      <c r="E1577" s="2" t="s">
        <v>910</v>
      </c>
      <c r="F1577" s="2" t="s">
        <v>909</v>
      </c>
      <c r="G1577" s="3">
        <v>46175</v>
      </c>
      <c r="H1577" s="2" t="s">
        <v>753</v>
      </c>
      <c r="I1577" s="2" t="s">
        <v>755</v>
      </c>
      <c r="J1577" s="2" t="s">
        <v>754</v>
      </c>
      <c r="K1577" s="2" t="s">
        <v>753</v>
      </c>
      <c r="L1577" s="6">
        <v>12</v>
      </c>
      <c r="M1577" s="2" t="s">
        <v>752</v>
      </c>
      <c r="N1577" s="7">
        <v>42.03</v>
      </c>
      <c r="O1577" s="4">
        <v>504.36</v>
      </c>
      <c r="P1577" s="4">
        <v>504.36</v>
      </c>
      <c r="Q1577" s="6">
        <v>0</v>
      </c>
    </row>
    <row r="1578" spans="1:17" x14ac:dyDescent="0.25">
      <c r="A1578" s="2" t="s">
        <v>174</v>
      </c>
      <c r="B1578" s="2" t="s">
        <v>87</v>
      </c>
      <c r="C1578" s="2" t="s">
        <v>88</v>
      </c>
      <c r="D1578" s="2" t="s">
        <v>758</v>
      </c>
      <c r="E1578" s="2" t="s">
        <v>908</v>
      </c>
      <c r="F1578" s="2" t="s">
        <v>907</v>
      </c>
      <c r="G1578" s="3">
        <v>46175</v>
      </c>
      <c r="H1578" s="2" t="s">
        <v>753</v>
      </c>
      <c r="I1578" s="2" t="s">
        <v>755</v>
      </c>
      <c r="J1578" s="2" t="s">
        <v>754</v>
      </c>
      <c r="K1578" s="2" t="s">
        <v>753</v>
      </c>
      <c r="L1578" s="6">
        <v>140</v>
      </c>
      <c r="M1578" s="2" t="s">
        <v>752</v>
      </c>
      <c r="N1578" s="7">
        <v>39</v>
      </c>
      <c r="O1578" s="4">
        <v>5460</v>
      </c>
      <c r="P1578" s="4">
        <v>5460</v>
      </c>
      <c r="Q1578" s="6">
        <v>0</v>
      </c>
    </row>
    <row r="1579" spans="1:17" x14ac:dyDescent="0.25">
      <c r="A1579" s="2" t="s">
        <v>174</v>
      </c>
      <c r="B1579" s="2" t="s">
        <v>87</v>
      </c>
      <c r="C1579" s="2" t="s">
        <v>88</v>
      </c>
      <c r="D1579" s="2" t="s">
        <v>758</v>
      </c>
      <c r="E1579" s="2" t="s">
        <v>815</v>
      </c>
      <c r="F1579" s="2" t="s">
        <v>814</v>
      </c>
      <c r="G1579" s="3">
        <v>46175</v>
      </c>
      <c r="H1579" s="2" t="s">
        <v>753</v>
      </c>
      <c r="I1579" s="2" t="s">
        <v>755</v>
      </c>
      <c r="J1579" s="2" t="s">
        <v>754</v>
      </c>
      <c r="K1579" s="2" t="s">
        <v>753</v>
      </c>
      <c r="L1579" s="6">
        <v>52</v>
      </c>
      <c r="M1579" s="2" t="s">
        <v>752</v>
      </c>
      <c r="N1579" s="7">
        <v>36.24</v>
      </c>
      <c r="O1579" s="4">
        <v>1884.48</v>
      </c>
      <c r="P1579" s="4">
        <v>1884.48</v>
      </c>
      <c r="Q1579" s="6">
        <v>0</v>
      </c>
    </row>
    <row r="1580" spans="1:17" x14ac:dyDescent="0.25">
      <c r="A1580" s="2" t="s">
        <v>174</v>
      </c>
      <c r="B1580" s="2" t="s">
        <v>87</v>
      </c>
      <c r="C1580" s="2" t="s">
        <v>88</v>
      </c>
      <c r="D1580" s="2" t="s">
        <v>758</v>
      </c>
      <c r="E1580" s="2" t="s">
        <v>757</v>
      </c>
      <c r="F1580" s="2" t="s">
        <v>756</v>
      </c>
      <c r="G1580" s="3">
        <v>46175</v>
      </c>
      <c r="H1580" s="2" t="s">
        <v>753</v>
      </c>
      <c r="I1580" s="2" t="s">
        <v>755</v>
      </c>
      <c r="J1580" s="2" t="s">
        <v>754</v>
      </c>
      <c r="K1580" s="2" t="s">
        <v>753</v>
      </c>
      <c r="L1580" s="6">
        <v>40</v>
      </c>
      <c r="M1580" s="2" t="s">
        <v>752</v>
      </c>
      <c r="N1580" s="7">
        <v>41.5</v>
      </c>
      <c r="O1580" s="4">
        <v>1660</v>
      </c>
      <c r="P1580" s="4">
        <v>1660</v>
      </c>
      <c r="Q1580" s="6">
        <v>0</v>
      </c>
    </row>
    <row r="1581" spans="1:17" x14ac:dyDescent="0.25">
      <c r="A1581" s="2" t="s">
        <v>174</v>
      </c>
      <c r="B1581" s="2" t="s">
        <v>87</v>
      </c>
      <c r="C1581" s="2" t="s">
        <v>88</v>
      </c>
      <c r="D1581" s="2" t="s">
        <v>758</v>
      </c>
      <c r="E1581" s="2" t="s">
        <v>906</v>
      </c>
      <c r="F1581" s="2" t="s">
        <v>905</v>
      </c>
      <c r="G1581" s="3">
        <v>46175</v>
      </c>
      <c r="H1581" s="2" t="s">
        <v>753</v>
      </c>
      <c r="I1581" s="2" t="s">
        <v>755</v>
      </c>
      <c r="J1581" s="2" t="s">
        <v>754</v>
      </c>
      <c r="K1581" s="2" t="s">
        <v>753</v>
      </c>
      <c r="L1581" s="6">
        <v>28</v>
      </c>
      <c r="M1581" s="2" t="s">
        <v>752</v>
      </c>
      <c r="N1581" s="7">
        <v>35.21</v>
      </c>
      <c r="O1581" s="4">
        <v>985.88</v>
      </c>
      <c r="P1581" s="4">
        <v>985.88</v>
      </c>
      <c r="Q1581" s="6">
        <v>0</v>
      </c>
    </row>
    <row r="1582" spans="1:17" x14ac:dyDescent="0.25">
      <c r="A1582" s="2" t="s">
        <v>174</v>
      </c>
      <c r="B1582" s="2" t="s">
        <v>87</v>
      </c>
      <c r="C1582" s="2" t="s">
        <v>88</v>
      </c>
      <c r="D1582" s="2" t="s">
        <v>758</v>
      </c>
      <c r="E1582" s="2" t="s">
        <v>763</v>
      </c>
      <c r="F1582" s="2" t="s">
        <v>762</v>
      </c>
      <c r="G1582" s="3">
        <v>46175</v>
      </c>
      <c r="H1582" s="2" t="s">
        <v>753</v>
      </c>
      <c r="I1582" s="2" t="s">
        <v>755</v>
      </c>
      <c r="J1582" s="2" t="s">
        <v>754</v>
      </c>
      <c r="K1582" s="2" t="s">
        <v>753</v>
      </c>
      <c r="L1582" s="6">
        <v>196</v>
      </c>
      <c r="M1582" s="2" t="s">
        <v>752</v>
      </c>
      <c r="N1582" s="7">
        <v>45.49</v>
      </c>
      <c r="O1582" s="4">
        <v>8916.0400000000009</v>
      </c>
      <c r="P1582" s="4">
        <v>8916.0400000000009</v>
      </c>
      <c r="Q1582" s="6">
        <v>0</v>
      </c>
    </row>
    <row r="1583" spans="1:17" x14ac:dyDescent="0.25">
      <c r="A1583" s="2" t="s">
        <v>174</v>
      </c>
      <c r="B1583" s="2" t="s">
        <v>87</v>
      </c>
      <c r="C1583" s="2" t="s">
        <v>88</v>
      </c>
      <c r="D1583" s="2" t="s">
        <v>758</v>
      </c>
      <c r="E1583" s="2" t="s">
        <v>774</v>
      </c>
      <c r="F1583" s="2" t="s">
        <v>773</v>
      </c>
      <c r="G1583" s="3">
        <v>46175</v>
      </c>
      <c r="H1583" s="2" t="s">
        <v>753</v>
      </c>
      <c r="I1583" s="2" t="s">
        <v>755</v>
      </c>
      <c r="J1583" s="2" t="s">
        <v>754</v>
      </c>
      <c r="K1583" s="2" t="s">
        <v>753</v>
      </c>
      <c r="L1583" s="6">
        <v>16</v>
      </c>
      <c r="M1583" s="2" t="s">
        <v>752</v>
      </c>
      <c r="N1583" s="7">
        <v>37.020000000000003</v>
      </c>
      <c r="O1583" s="4">
        <v>592.32000000000005</v>
      </c>
      <c r="P1583" s="4">
        <v>592.32000000000005</v>
      </c>
      <c r="Q1583" s="6">
        <v>0</v>
      </c>
    </row>
    <row r="1584" spans="1:17" x14ac:dyDescent="0.25">
      <c r="A1584" s="2" t="s">
        <v>174</v>
      </c>
      <c r="B1584" s="2" t="s">
        <v>87</v>
      </c>
      <c r="C1584" s="2" t="s">
        <v>88</v>
      </c>
      <c r="D1584" s="2" t="s">
        <v>758</v>
      </c>
      <c r="E1584" s="2" t="s">
        <v>863</v>
      </c>
      <c r="F1584" s="2" t="s">
        <v>862</v>
      </c>
      <c r="G1584" s="3">
        <v>46175</v>
      </c>
      <c r="H1584" s="2" t="s">
        <v>753</v>
      </c>
      <c r="I1584" s="2" t="s">
        <v>755</v>
      </c>
      <c r="J1584" s="2" t="s">
        <v>754</v>
      </c>
      <c r="K1584" s="2" t="s">
        <v>753</v>
      </c>
      <c r="L1584" s="6">
        <v>4</v>
      </c>
      <c r="M1584" s="2" t="s">
        <v>752</v>
      </c>
      <c r="N1584" s="7">
        <v>52.47</v>
      </c>
      <c r="O1584" s="4">
        <v>209.88</v>
      </c>
      <c r="P1584" s="4">
        <v>209.88</v>
      </c>
      <c r="Q1584" s="6">
        <v>0</v>
      </c>
    </row>
    <row r="1585" spans="1:17" x14ac:dyDescent="0.25">
      <c r="A1585" s="2" t="s">
        <v>174</v>
      </c>
      <c r="B1585" s="2" t="s">
        <v>87</v>
      </c>
      <c r="C1585" s="2" t="s">
        <v>88</v>
      </c>
      <c r="D1585" s="2" t="s">
        <v>758</v>
      </c>
      <c r="E1585" s="2" t="s">
        <v>813</v>
      </c>
      <c r="F1585" s="2" t="s">
        <v>812</v>
      </c>
      <c r="G1585" s="3">
        <v>46175</v>
      </c>
      <c r="H1585" s="2" t="s">
        <v>753</v>
      </c>
      <c r="I1585" s="2" t="s">
        <v>755</v>
      </c>
      <c r="J1585" s="2" t="s">
        <v>754</v>
      </c>
      <c r="K1585" s="2" t="s">
        <v>753</v>
      </c>
      <c r="L1585" s="6">
        <v>16</v>
      </c>
      <c r="M1585" s="2" t="s">
        <v>752</v>
      </c>
      <c r="N1585" s="7">
        <v>54</v>
      </c>
      <c r="O1585" s="4">
        <v>864</v>
      </c>
      <c r="P1585" s="4">
        <v>864</v>
      </c>
      <c r="Q1585" s="6">
        <v>0</v>
      </c>
    </row>
    <row r="1586" spans="1:17" x14ac:dyDescent="0.25">
      <c r="A1586" s="2" t="s">
        <v>174</v>
      </c>
      <c r="B1586" s="2" t="s">
        <v>87</v>
      </c>
      <c r="C1586" s="2" t="s">
        <v>88</v>
      </c>
      <c r="D1586" s="2" t="s">
        <v>758</v>
      </c>
      <c r="E1586" s="2" t="s">
        <v>776</v>
      </c>
      <c r="F1586" s="2" t="s">
        <v>775</v>
      </c>
      <c r="G1586" s="3">
        <v>46175</v>
      </c>
      <c r="H1586" s="2" t="s">
        <v>753</v>
      </c>
      <c r="I1586" s="2" t="s">
        <v>755</v>
      </c>
      <c r="J1586" s="2" t="s">
        <v>754</v>
      </c>
      <c r="K1586" s="2" t="s">
        <v>753</v>
      </c>
      <c r="L1586" s="6">
        <v>12</v>
      </c>
      <c r="M1586" s="2" t="s">
        <v>752</v>
      </c>
      <c r="N1586" s="7">
        <v>43.2</v>
      </c>
      <c r="O1586" s="4">
        <v>518.4</v>
      </c>
      <c r="P1586" s="4">
        <v>518.4</v>
      </c>
      <c r="Q1586" s="6">
        <v>0</v>
      </c>
    </row>
    <row r="1587" spans="1:17" x14ac:dyDescent="0.25">
      <c r="A1587" s="2" t="s">
        <v>174</v>
      </c>
      <c r="B1587" s="2" t="s">
        <v>87</v>
      </c>
      <c r="C1587" s="2" t="s">
        <v>88</v>
      </c>
      <c r="D1587" s="2" t="s">
        <v>758</v>
      </c>
      <c r="E1587" s="2" t="s">
        <v>807</v>
      </c>
      <c r="F1587" s="2" t="s">
        <v>806</v>
      </c>
      <c r="G1587" s="3">
        <v>46175</v>
      </c>
      <c r="H1587" s="2" t="s">
        <v>753</v>
      </c>
      <c r="I1587" s="2" t="s">
        <v>755</v>
      </c>
      <c r="J1587" s="2" t="s">
        <v>754</v>
      </c>
      <c r="K1587" s="2" t="s">
        <v>753</v>
      </c>
      <c r="L1587" s="6">
        <v>28</v>
      </c>
      <c r="M1587" s="2" t="s">
        <v>752</v>
      </c>
      <c r="N1587" s="7">
        <v>44.15</v>
      </c>
      <c r="O1587" s="4">
        <v>1236.2</v>
      </c>
      <c r="P1587" s="4">
        <v>1236.2</v>
      </c>
      <c r="Q1587" s="6">
        <v>0</v>
      </c>
    </row>
    <row r="1588" spans="1:17" x14ac:dyDescent="0.25">
      <c r="A1588" s="2" t="s">
        <v>174</v>
      </c>
      <c r="B1588" s="2" t="s">
        <v>87</v>
      </c>
      <c r="C1588" s="2" t="s">
        <v>88</v>
      </c>
      <c r="D1588" s="2" t="s">
        <v>758</v>
      </c>
      <c r="E1588" s="2" t="s">
        <v>904</v>
      </c>
      <c r="F1588" s="2" t="s">
        <v>903</v>
      </c>
      <c r="G1588" s="3">
        <v>46175</v>
      </c>
      <c r="H1588" s="2" t="s">
        <v>753</v>
      </c>
      <c r="I1588" s="2" t="s">
        <v>755</v>
      </c>
      <c r="J1588" s="2" t="s">
        <v>754</v>
      </c>
      <c r="K1588" s="2" t="s">
        <v>753</v>
      </c>
      <c r="L1588" s="6">
        <v>16</v>
      </c>
      <c r="M1588" s="2" t="s">
        <v>752</v>
      </c>
      <c r="N1588" s="7">
        <v>40.22</v>
      </c>
      <c r="O1588" s="4">
        <v>643.52</v>
      </c>
      <c r="P1588" s="4">
        <v>643.52</v>
      </c>
      <c r="Q1588" s="6">
        <v>0</v>
      </c>
    </row>
    <row r="1589" spans="1:17" x14ac:dyDescent="0.25">
      <c r="A1589" s="2" t="s">
        <v>174</v>
      </c>
      <c r="B1589" s="2" t="s">
        <v>87</v>
      </c>
      <c r="C1589" s="2" t="s">
        <v>88</v>
      </c>
      <c r="D1589" s="2" t="s">
        <v>758</v>
      </c>
      <c r="E1589" s="2" t="s">
        <v>855</v>
      </c>
      <c r="F1589" s="2" t="s">
        <v>854</v>
      </c>
      <c r="G1589" s="3">
        <v>46175</v>
      </c>
      <c r="H1589" s="2" t="s">
        <v>753</v>
      </c>
      <c r="I1589" s="2" t="s">
        <v>755</v>
      </c>
      <c r="J1589" s="2" t="s">
        <v>754</v>
      </c>
      <c r="K1589" s="2" t="s">
        <v>753</v>
      </c>
      <c r="L1589" s="6">
        <v>56</v>
      </c>
      <c r="M1589" s="2" t="s">
        <v>752</v>
      </c>
      <c r="N1589" s="7">
        <v>42.37</v>
      </c>
      <c r="O1589" s="4">
        <v>2372.7199999999998</v>
      </c>
      <c r="P1589" s="4">
        <v>2372.7199999999998</v>
      </c>
      <c r="Q1589" s="6">
        <v>0</v>
      </c>
    </row>
    <row r="1590" spans="1:17" x14ac:dyDescent="0.25">
      <c r="A1590" s="2" t="s">
        <v>174</v>
      </c>
      <c r="B1590" s="2" t="s">
        <v>87</v>
      </c>
      <c r="C1590" s="2" t="s">
        <v>88</v>
      </c>
      <c r="D1590" s="2" t="s">
        <v>758</v>
      </c>
      <c r="E1590" s="2" t="s">
        <v>902</v>
      </c>
      <c r="F1590" s="2" t="s">
        <v>901</v>
      </c>
      <c r="G1590" s="3">
        <v>46175</v>
      </c>
      <c r="H1590" s="2" t="s">
        <v>753</v>
      </c>
      <c r="I1590" s="2" t="s">
        <v>755</v>
      </c>
      <c r="J1590" s="2" t="s">
        <v>754</v>
      </c>
      <c r="K1590" s="2" t="s">
        <v>753</v>
      </c>
      <c r="L1590" s="6">
        <v>14</v>
      </c>
      <c r="M1590" s="2" t="s">
        <v>752</v>
      </c>
      <c r="N1590" s="7">
        <v>42.22</v>
      </c>
      <c r="O1590" s="4">
        <v>591.08000000000004</v>
      </c>
      <c r="P1590" s="4">
        <v>591.08000000000004</v>
      </c>
      <c r="Q1590" s="6">
        <v>0</v>
      </c>
    </row>
    <row r="1591" spans="1:17" x14ac:dyDescent="0.25">
      <c r="A1591" s="2" t="s">
        <v>174</v>
      </c>
      <c r="B1591" s="2" t="s">
        <v>87</v>
      </c>
      <c r="C1591" s="2" t="s">
        <v>88</v>
      </c>
      <c r="D1591" s="2" t="s">
        <v>758</v>
      </c>
      <c r="E1591" s="2" t="s">
        <v>900</v>
      </c>
      <c r="F1591" s="2" t="s">
        <v>899</v>
      </c>
      <c r="G1591" s="3">
        <v>46175</v>
      </c>
      <c r="H1591" s="2" t="s">
        <v>753</v>
      </c>
      <c r="I1591" s="2" t="s">
        <v>755</v>
      </c>
      <c r="J1591" s="2" t="s">
        <v>754</v>
      </c>
      <c r="K1591" s="2" t="s">
        <v>753</v>
      </c>
      <c r="L1591" s="6">
        <v>44</v>
      </c>
      <c r="M1591" s="2" t="s">
        <v>752</v>
      </c>
      <c r="N1591" s="7">
        <v>32.549999999999997</v>
      </c>
      <c r="O1591" s="4">
        <v>1432.2</v>
      </c>
      <c r="P1591" s="4">
        <v>1432.2</v>
      </c>
      <c r="Q1591" s="6">
        <v>0</v>
      </c>
    </row>
    <row r="1592" spans="1:17" x14ac:dyDescent="0.25">
      <c r="A1592" s="2" t="s">
        <v>174</v>
      </c>
      <c r="B1592" s="2" t="s">
        <v>87</v>
      </c>
      <c r="C1592" s="2" t="s">
        <v>88</v>
      </c>
      <c r="D1592" s="2" t="s">
        <v>758</v>
      </c>
      <c r="E1592" s="2" t="s">
        <v>780</v>
      </c>
      <c r="F1592" s="2" t="s">
        <v>779</v>
      </c>
      <c r="G1592" s="3">
        <v>46175</v>
      </c>
      <c r="H1592" s="2" t="s">
        <v>753</v>
      </c>
      <c r="I1592" s="2" t="s">
        <v>755</v>
      </c>
      <c r="J1592" s="2" t="s">
        <v>754</v>
      </c>
      <c r="K1592" s="2" t="s">
        <v>753</v>
      </c>
      <c r="L1592" s="6">
        <v>28</v>
      </c>
      <c r="M1592" s="2" t="s">
        <v>752</v>
      </c>
      <c r="N1592" s="7">
        <v>35.57</v>
      </c>
      <c r="O1592" s="4">
        <v>995.96</v>
      </c>
      <c r="P1592" s="4">
        <v>995.96</v>
      </c>
      <c r="Q1592" s="6">
        <v>0</v>
      </c>
    </row>
    <row r="1593" spans="1:17" x14ac:dyDescent="0.25">
      <c r="A1593" s="2" t="s">
        <v>174</v>
      </c>
      <c r="B1593" s="2" t="s">
        <v>87</v>
      </c>
      <c r="C1593" s="2" t="s">
        <v>88</v>
      </c>
      <c r="D1593" s="2" t="s">
        <v>758</v>
      </c>
      <c r="E1593" s="2" t="s">
        <v>819</v>
      </c>
      <c r="F1593" s="2" t="s">
        <v>818</v>
      </c>
      <c r="G1593" s="3">
        <v>46175</v>
      </c>
      <c r="H1593" s="2" t="s">
        <v>753</v>
      </c>
      <c r="I1593" s="2" t="s">
        <v>755</v>
      </c>
      <c r="J1593" s="2" t="s">
        <v>754</v>
      </c>
      <c r="K1593" s="2" t="s">
        <v>753</v>
      </c>
      <c r="L1593" s="6">
        <v>16</v>
      </c>
      <c r="M1593" s="2" t="s">
        <v>752</v>
      </c>
      <c r="N1593" s="7">
        <v>40.22</v>
      </c>
      <c r="O1593" s="4">
        <v>643.52</v>
      </c>
      <c r="P1593" s="4">
        <v>643.52</v>
      </c>
      <c r="Q1593" s="6">
        <v>0</v>
      </c>
    </row>
    <row r="1594" spans="1:17" x14ac:dyDescent="0.25">
      <c r="A1594" s="2" t="s">
        <v>202</v>
      </c>
      <c r="B1594" s="2" t="s">
        <v>33</v>
      </c>
      <c r="C1594" s="2" t="s">
        <v>34</v>
      </c>
      <c r="D1594" s="2" t="s">
        <v>758</v>
      </c>
      <c r="E1594" s="2" t="s">
        <v>784</v>
      </c>
      <c r="F1594" s="2" t="s">
        <v>783</v>
      </c>
      <c r="G1594" s="3">
        <v>46168</v>
      </c>
      <c r="H1594" s="2" t="s">
        <v>753</v>
      </c>
      <c r="I1594" s="2" t="s">
        <v>755</v>
      </c>
      <c r="J1594" s="2" t="s">
        <v>754</v>
      </c>
      <c r="K1594" s="2" t="s">
        <v>753</v>
      </c>
      <c r="L1594" s="6">
        <v>16</v>
      </c>
      <c r="M1594" s="2" t="s">
        <v>752</v>
      </c>
      <c r="N1594" s="7">
        <v>37.049999999999997</v>
      </c>
      <c r="O1594" s="4">
        <v>592.79999999999995</v>
      </c>
      <c r="P1594" s="4">
        <v>592.79999999999995</v>
      </c>
      <c r="Q1594" s="6">
        <v>0</v>
      </c>
    </row>
    <row r="1595" spans="1:17" x14ac:dyDescent="0.25">
      <c r="A1595" s="2" t="s">
        <v>202</v>
      </c>
      <c r="B1595" s="2" t="s">
        <v>33</v>
      </c>
      <c r="C1595" s="2" t="s">
        <v>34</v>
      </c>
      <c r="D1595" s="2" t="s">
        <v>758</v>
      </c>
      <c r="E1595" s="2" t="s">
        <v>837</v>
      </c>
      <c r="F1595" s="2" t="s">
        <v>836</v>
      </c>
      <c r="G1595" s="3">
        <v>46168</v>
      </c>
      <c r="H1595" s="2" t="s">
        <v>753</v>
      </c>
      <c r="I1595" s="2" t="s">
        <v>755</v>
      </c>
      <c r="J1595" s="2" t="s">
        <v>754</v>
      </c>
      <c r="K1595" s="2" t="s">
        <v>753</v>
      </c>
      <c r="L1595" s="6">
        <v>48</v>
      </c>
      <c r="M1595" s="2" t="s">
        <v>752</v>
      </c>
      <c r="N1595" s="7">
        <v>60.07</v>
      </c>
      <c r="O1595" s="4">
        <v>2883.36</v>
      </c>
      <c r="P1595" s="4">
        <v>2883.36</v>
      </c>
      <c r="Q1595" s="6">
        <v>0</v>
      </c>
    </row>
    <row r="1596" spans="1:17" x14ac:dyDescent="0.25">
      <c r="A1596" s="2" t="s">
        <v>202</v>
      </c>
      <c r="B1596" s="2" t="s">
        <v>33</v>
      </c>
      <c r="C1596" s="2" t="s">
        <v>34</v>
      </c>
      <c r="D1596" s="2" t="s">
        <v>758</v>
      </c>
      <c r="E1596" s="2" t="s">
        <v>835</v>
      </c>
      <c r="F1596" s="2" t="s">
        <v>834</v>
      </c>
      <c r="G1596" s="3">
        <v>46168</v>
      </c>
      <c r="H1596" s="2" t="s">
        <v>753</v>
      </c>
      <c r="I1596" s="2" t="s">
        <v>755</v>
      </c>
      <c r="J1596" s="2" t="s">
        <v>754</v>
      </c>
      <c r="K1596" s="2" t="s">
        <v>753</v>
      </c>
      <c r="L1596" s="6">
        <v>56</v>
      </c>
      <c r="M1596" s="2" t="s">
        <v>752</v>
      </c>
      <c r="N1596" s="7">
        <v>64</v>
      </c>
      <c r="O1596" s="4">
        <v>3584</v>
      </c>
      <c r="P1596" s="4">
        <v>3584</v>
      </c>
      <c r="Q1596" s="6">
        <v>0</v>
      </c>
    </row>
    <row r="1597" spans="1:17" x14ac:dyDescent="0.25">
      <c r="A1597" s="2" t="s">
        <v>202</v>
      </c>
      <c r="B1597" s="2" t="s">
        <v>33</v>
      </c>
      <c r="C1597" s="2" t="s">
        <v>34</v>
      </c>
      <c r="D1597" s="2" t="s">
        <v>758</v>
      </c>
      <c r="E1597" s="2" t="s">
        <v>763</v>
      </c>
      <c r="F1597" s="2" t="s">
        <v>762</v>
      </c>
      <c r="G1597" s="3">
        <v>46168</v>
      </c>
      <c r="H1597" s="2" t="s">
        <v>753</v>
      </c>
      <c r="I1597" s="2" t="s">
        <v>755</v>
      </c>
      <c r="J1597" s="2" t="s">
        <v>754</v>
      </c>
      <c r="K1597" s="2" t="s">
        <v>753</v>
      </c>
      <c r="L1597" s="6">
        <v>108</v>
      </c>
      <c r="M1597" s="2" t="s">
        <v>752</v>
      </c>
      <c r="N1597" s="7">
        <v>46.1</v>
      </c>
      <c r="O1597" s="4">
        <v>4978.8</v>
      </c>
      <c r="P1597" s="4">
        <v>4978.8</v>
      </c>
      <c r="Q1597" s="6">
        <v>0</v>
      </c>
    </row>
    <row r="1598" spans="1:17" x14ac:dyDescent="0.25">
      <c r="A1598" s="2" t="s">
        <v>202</v>
      </c>
      <c r="B1598" s="2" t="s">
        <v>33</v>
      </c>
      <c r="C1598" s="2" t="s">
        <v>34</v>
      </c>
      <c r="D1598" s="2" t="s">
        <v>758</v>
      </c>
      <c r="E1598" s="2" t="s">
        <v>766</v>
      </c>
      <c r="F1598" s="2" t="s">
        <v>765</v>
      </c>
      <c r="G1598" s="3">
        <v>46168</v>
      </c>
      <c r="H1598" s="2" t="s">
        <v>753</v>
      </c>
      <c r="I1598" s="2" t="s">
        <v>755</v>
      </c>
      <c r="J1598" s="2" t="s">
        <v>754</v>
      </c>
      <c r="K1598" s="2" t="s">
        <v>753</v>
      </c>
      <c r="L1598" s="6">
        <v>56</v>
      </c>
      <c r="M1598" s="2" t="s">
        <v>752</v>
      </c>
      <c r="N1598" s="7">
        <v>36.35</v>
      </c>
      <c r="O1598" s="4">
        <v>2035.6</v>
      </c>
      <c r="P1598" s="4">
        <v>2035.6</v>
      </c>
      <c r="Q1598" s="6">
        <v>0</v>
      </c>
    </row>
    <row r="1599" spans="1:17" x14ac:dyDescent="0.25">
      <c r="A1599" s="2" t="s">
        <v>202</v>
      </c>
      <c r="B1599" s="2" t="s">
        <v>33</v>
      </c>
      <c r="C1599" s="2" t="s">
        <v>34</v>
      </c>
      <c r="D1599" s="2" t="s">
        <v>758</v>
      </c>
      <c r="E1599" s="2" t="s">
        <v>833</v>
      </c>
      <c r="F1599" s="2" t="s">
        <v>832</v>
      </c>
      <c r="G1599" s="3">
        <v>46168</v>
      </c>
      <c r="H1599" s="2" t="s">
        <v>753</v>
      </c>
      <c r="I1599" s="2" t="s">
        <v>755</v>
      </c>
      <c r="J1599" s="2" t="s">
        <v>754</v>
      </c>
      <c r="K1599" s="2" t="s">
        <v>753</v>
      </c>
      <c r="L1599" s="6">
        <v>140</v>
      </c>
      <c r="M1599" s="2" t="s">
        <v>752</v>
      </c>
      <c r="N1599" s="7">
        <v>45</v>
      </c>
      <c r="O1599" s="4">
        <v>6300</v>
      </c>
      <c r="P1599" s="4">
        <v>6300</v>
      </c>
      <c r="Q1599" s="6">
        <v>0</v>
      </c>
    </row>
    <row r="1600" spans="1:17" x14ac:dyDescent="0.25">
      <c r="A1600" s="2" t="s">
        <v>170</v>
      </c>
      <c r="B1600" s="2" t="s">
        <v>171</v>
      </c>
      <c r="C1600" s="2" t="s">
        <v>172</v>
      </c>
      <c r="D1600" s="2" t="s">
        <v>758</v>
      </c>
      <c r="E1600" s="2" t="s">
        <v>780</v>
      </c>
      <c r="F1600" s="2" t="s">
        <v>779</v>
      </c>
      <c r="G1600" s="3">
        <v>46175</v>
      </c>
      <c r="H1600" s="2" t="s">
        <v>753</v>
      </c>
      <c r="I1600" s="2" t="s">
        <v>755</v>
      </c>
      <c r="J1600" s="2" t="s">
        <v>754</v>
      </c>
      <c r="K1600" s="2" t="s">
        <v>753</v>
      </c>
      <c r="L1600" s="6">
        <v>960</v>
      </c>
      <c r="M1600" s="2" t="s">
        <v>752</v>
      </c>
      <c r="N1600" s="7">
        <v>26.25</v>
      </c>
      <c r="O1600" s="4">
        <v>25200</v>
      </c>
      <c r="P1600" s="4">
        <v>25200</v>
      </c>
      <c r="Q1600" s="6">
        <v>0</v>
      </c>
    </row>
    <row r="1601" spans="1:17" x14ac:dyDescent="0.25">
      <c r="A1601" s="2" t="s">
        <v>166</v>
      </c>
      <c r="B1601" s="2" t="s">
        <v>167</v>
      </c>
      <c r="C1601" s="2" t="s">
        <v>168</v>
      </c>
      <c r="D1601" s="2" t="s">
        <v>758</v>
      </c>
      <c r="E1601" s="2" t="s">
        <v>794</v>
      </c>
      <c r="F1601" s="2" t="s">
        <v>793</v>
      </c>
      <c r="G1601" s="3">
        <v>46175</v>
      </c>
      <c r="H1601" s="2" t="s">
        <v>770</v>
      </c>
      <c r="I1601" s="2" t="s">
        <v>755</v>
      </c>
      <c r="J1601" s="2" t="s">
        <v>754</v>
      </c>
      <c r="K1601" s="2" t="s">
        <v>753</v>
      </c>
      <c r="L1601" s="6">
        <v>336</v>
      </c>
      <c r="M1601" s="2" t="s">
        <v>752</v>
      </c>
      <c r="N1601" s="7">
        <v>35</v>
      </c>
      <c r="O1601" s="4">
        <v>11760</v>
      </c>
      <c r="P1601" s="4">
        <v>11760</v>
      </c>
      <c r="Q1601" s="6">
        <v>0</v>
      </c>
    </row>
    <row r="1602" spans="1:17" x14ac:dyDescent="0.25">
      <c r="A1602" s="2" t="s">
        <v>166</v>
      </c>
      <c r="B1602" s="2" t="s">
        <v>167</v>
      </c>
      <c r="C1602" s="2" t="s">
        <v>168</v>
      </c>
      <c r="D1602" s="2" t="s">
        <v>758</v>
      </c>
      <c r="E1602" s="2" t="s">
        <v>766</v>
      </c>
      <c r="F1602" s="2" t="s">
        <v>765</v>
      </c>
      <c r="G1602" s="3">
        <v>46175</v>
      </c>
      <c r="H1602" s="2" t="s">
        <v>770</v>
      </c>
      <c r="I1602" s="2" t="s">
        <v>755</v>
      </c>
      <c r="J1602" s="2" t="s">
        <v>754</v>
      </c>
      <c r="K1602" s="2" t="s">
        <v>753</v>
      </c>
      <c r="L1602" s="6">
        <v>112</v>
      </c>
      <c r="M1602" s="2" t="s">
        <v>752</v>
      </c>
      <c r="N1602" s="7">
        <v>39.65</v>
      </c>
      <c r="O1602" s="4">
        <v>4440.8</v>
      </c>
      <c r="P1602" s="4">
        <v>4440.8</v>
      </c>
      <c r="Q1602" s="6">
        <v>0</v>
      </c>
    </row>
    <row r="1603" spans="1:17" x14ac:dyDescent="0.25">
      <c r="A1603" s="2" t="s">
        <v>166</v>
      </c>
      <c r="B1603" s="2" t="s">
        <v>167</v>
      </c>
      <c r="C1603" s="2" t="s">
        <v>168</v>
      </c>
      <c r="D1603" s="2" t="s">
        <v>758</v>
      </c>
      <c r="E1603" s="2" t="s">
        <v>855</v>
      </c>
      <c r="F1603" s="2" t="s">
        <v>854</v>
      </c>
      <c r="G1603" s="3">
        <v>46175</v>
      </c>
      <c r="H1603" s="2" t="s">
        <v>770</v>
      </c>
      <c r="I1603" s="2" t="s">
        <v>755</v>
      </c>
      <c r="J1603" s="2" t="s">
        <v>754</v>
      </c>
      <c r="K1603" s="2" t="s">
        <v>753</v>
      </c>
      <c r="L1603" s="6">
        <v>28</v>
      </c>
      <c r="M1603" s="2" t="s">
        <v>752</v>
      </c>
      <c r="N1603" s="7">
        <v>65</v>
      </c>
      <c r="O1603" s="4">
        <v>1820</v>
      </c>
      <c r="P1603" s="4">
        <v>1820</v>
      </c>
      <c r="Q1603" s="6">
        <v>0</v>
      </c>
    </row>
    <row r="1604" spans="1:17" x14ac:dyDescent="0.25">
      <c r="A1604" s="2" t="s">
        <v>158</v>
      </c>
      <c r="B1604" s="2" t="s">
        <v>37</v>
      </c>
      <c r="C1604" s="2" t="s">
        <v>38</v>
      </c>
      <c r="D1604" s="2" t="s">
        <v>758</v>
      </c>
      <c r="E1604" s="2" t="s">
        <v>875</v>
      </c>
      <c r="F1604" s="2" t="s">
        <v>874</v>
      </c>
      <c r="G1604" s="3">
        <v>46176</v>
      </c>
      <c r="H1604" s="2" t="s">
        <v>753</v>
      </c>
      <c r="I1604" s="2" t="s">
        <v>755</v>
      </c>
      <c r="J1604" s="2" t="s">
        <v>754</v>
      </c>
      <c r="K1604" s="2" t="s">
        <v>753</v>
      </c>
      <c r="L1604" s="6">
        <v>28</v>
      </c>
      <c r="M1604" s="2" t="s">
        <v>752</v>
      </c>
      <c r="N1604" s="7">
        <v>37.5</v>
      </c>
      <c r="O1604" s="4">
        <v>1050</v>
      </c>
      <c r="P1604" s="4">
        <v>1050</v>
      </c>
      <c r="Q1604" s="6">
        <v>0</v>
      </c>
    </row>
    <row r="1605" spans="1:17" x14ac:dyDescent="0.25">
      <c r="A1605" s="2" t="s">
        <v>158</v>
      </c>
      <c r="B1605" s="2" t="s">
        <v>37</v>
      </c>
      <c r="C1605" s="2" t="s">
        <v>38</v>
      </c>
      <c r="D1605" s="2" t="s">
        <v>758</v>
      </c>
      <c r="E1605" s="2" t="s">
        <v>865</v>
      </c>
      <c r="F1605" s="2" t="s">
        <v>864</v>
      </c>
      <c r="G1605" s="3">
        <v>46176</v>
      </c>
      <c r="H1605" s="2" t="s">
        <v>753</v>
      </c>
      <c r="I1605" s="2" t="s">
        <v>755</v>
      </c>
      <c r="J1605" s="2" t="s">
        <v>754</v>
      </c>
      <c r="K1605" s="2" t="s">
        <v>753</v>
      </c>
      <c r="L1605" s="6">
        <v>56</v>
      </c>
      <c r="M1605" s="2" t="s">
        <v>752</v>
      </c>
      <c r="N1605" s="7">
        <v>37</v>
      </c>
      <c r="O1605" s="4">
        <v>2072</v>
      </c>
      <c r="P1605" s="4">
        <v>2072</v>
      </c>
      <c r="Q1605" s="6">
        <v>0</v>
      </c>
    </row>
    <row r="1606" spans="1:17" x14ac:dyDescent="0.25">
      <c r="A1606" s="2" t="s">
        <v>158</v>
      </c>
      <c r="B1606" s="2" t="s">
        <v>37</v>
      </c>
      <c r="C1606" s="2" t="s">
        <v>38</v>
      </c>
      <c r="D1606" s="2" t="s">
        <v>758</v>
      </c>
      <c r="E1606" s="2" t="s">
        <v>827</v>
      </c>
      <c r="F1606" s="2" t="s">
        <v>826</v>
      </c>
      <c r="G1606" s="3">
        <v>46176</v>
      </c>
      <c r="H1606" s="2" t="s">
        <v>753</v>
      </c>
      <c r="I1606" s="2" t="s">
        <v>755</v>
      </c>
      <c r="J1606" s="2" t="s">
        <v>754</v>
      </c>
      <c r="K1606" s="2" t="s">
        <v>753</v>
      </c>
      <c r="L1606" s="6">
        <v>56</v>
      </c>
      <c r="M1606" s="2" t="s">
        <v>752</v>
      </c>
      <c r="N1606" s="7">
        <v>42</v>
      </c>
      <c r="O1606" s="4">
        <v>2352</v>
      </c>
      <c r="P1606" s="4">
        <v>2352</v>
      </c>
      <c r="Q1606" s="6">
        <v>0</v>
      </c>
    </row>
    <row r="1607" spans="1:17" x14ac:dyDescent="0.25">
      <c r="A1607" s="2" t="s">
        <v>158</v>
      </c>
      <c r="B1607" s="2" t="s">
        <v>37</v>
      </c>
      <c r="C1607" s="2" t="s">
        <v>38</v>
      </c>
      <c r="D1607" s="2" t="s">
        <v>758</v>
      </c>
      <c r="E1607" s="2" t="s">
        <v>763</v>
      </c>
      <c r="F1607" s="2" t="s">
        <v>762</v>
      </c>
      <c r="G1607" s="3">
        <v>46176</v>
      </c>
      <c r="H1607" s="2" t="s">
        <v>753</v>
      </c>
      <c r="I1607" s="2" t="s">
        <v>755</v>
      </c>
      <c r="J1607" s="2" t="s">
        <v>754</v>
      </c>
      <c r="K1607" s="2" t="s">
        <v>753</v>
      </c>
      <c r="L1607" s="6">
        <v>140</v>
      </c>
      <c r="M1607" s="2" t="s">
        <v>752</v>
      </c>
      <c r="N1607" s="7">
        <v>42</v>
      </c>
      <c r="O1607" s="4">
        <v>5880</v>
      </c>
      <c r="P1607" s="4">
        <v>5880</v>
      </c>
      <c r="Q1607" s="6">
        <v>0</v>
      </c>
    </row>
    <row r="1608" spans="1:17" x14ac:dyDescent="0.25">
      <c r="A1608" s="2" t="s">
        <v>158</v>
      </c>
      <c r="B1608" s="2" t="s">
        <v>37</v>
      </c>
      <c r="C1608" s="2" t="s">
        <v>38</v>
      </c>
      <c r="D1608" s="2" t="s">
        <v>758</v>
      </c>
      <c r="E1608" s="2" t="s">
        <v>847</v>
      </c>
      <c r="F1608" s="2" t="s">
        <v>846</v>
      </c>
      <c r="G1608" s="3">
        <v>46176</v>
      </c>
      <c r="H1608" s="2" t="s">
        <v>753</v>
      </c>
      <c r="I1608" s="2" t="s">
        <v>755</v>
      </c>
      <c r="J1608" s="2" t="s">
        <v>754</v>
      </c>
      <c r="K1608" s="2" t="s">
        <v>753</v>
      </c>
      <c r="L1608" s="6">
        <v>280</v>
      </c>
      <c r="M1608" s="2" t="s">
        <v>752</v>
      </c>
      <c r="N1608" s="7">
        <v>38.08</v>
      </c>
      <c r="O1608" s="4">
        <v>10662.4</v>
      </c>
      <c r="P1608" s="4">
        <v>10662.4</v>
      </c>
      <c r="Q1608" s="6">
        <v>0</v>
      </c>
    </row>
    <row r="1609" spans="1:17" x14ac:dyDescent="0.25">
      <c r="A1609" s="2" t="s">
        <v>206</v>
      </c>
      <c r="B1609" s="2" t="s">
        <v>29</v>
      </c>
      <c r="C1609" s="2" t="s">
        <v>30</v>
      </c>
      <c r="D1609" s="2" t="s">
        <v>758</v>
      </c>
      <c r="E1609" s="2" t="s">
        <v>780</v>
      </c>
      <c r="F1609" s="2" t="s">
        <v>779</v>
      </c>
      <c r="G1609" s="3">
        <v>46167</v>
      </c>
      <c r="H1609" s="2" t="s">
        <v>753</v>
      </c>
      <c r="I1609" s="2" t="s">
        <v>755</v>
      </c>
      <c r="J1609" s="2" t="s">
        <v>754</v>
      </c>
      <c r="K1609" s="2" t="s">
        <v>753</v>
      </c>
      <c r="L1609" s="6">
        <v>16</v>
      </c>
      <c r="M1609" s="2" t="s">
        <v>752</v>
      </c>
      <c r="N1609" s="7">
        <v>36.5</v>
      </c>
      <c r="O1609" s="4">
        <v>584</v>
      </c>
      <c r="P1609" s="4">
        <v>584</v>
      </c>
      <c r="Q1609" s="6">
        <v>0</v>
      </c>
    </row>
    <row r="1610" spans="1:17" x14ac:dyDescent="0.25">
      <c r="A1610" s="2" t="s">
        <v>206</v>
      </c>
      <c r="B1610" s="2" t="s">
        <v>29</v>
      </c>
      <c r="C1610" s="2" t="s">
        <v>30</v>
      </c>
      <c r="D1610" s="2" t="s">
        <v>758</v>
      </c>
      <c r="E1610" s="2" t="s">
        <v>817</v>
      </c>
      <c r="F1610" s="2" t="s">
        <v>816</v>
      </c>
      <c r="G1610" s="3">
        <v>46167</v>
      </c>
      <c r="H1610" s="2" t="s">
        <v>753</v>
      </c>
      <c r="I1610" s="2" t="s">
        <v>755</v>
      </c>
      <c r="J1610" s="2" t="s">
        <v>754</v>
      </c>
      <c r="K1610" s="2" t="s">
        <v>753</v>
      </c>
      <c r="L1610" s="6">
        <v>84</v>
      </c>
      <c r="M1610" s="2" t="s">
        <v>752</v>
      </c>
      <c r="N1610" s="7">
        <v>31.42</v>
      </c>
      <c r="O1610" s="4">
        <v>2639.28</v>
      </c>
      <c r="P1610" s="4">
        <v>2639.28</v>
      </c>
      <c r="Q1610" s="6">
        <v>0</v>
      </c>
    </row>
    <row r="1611" spans="1:17" x14ac:dyDescent="0.25">
      <c r="A1611" s="2" t="s">
        <v>206</v>
      </c>
      <c r="B1611" s="2" t="s">
        <v>29</v>
      </c>
      <c r="C1611" s="2" t="s">
        <v>30</v>
      </c>
      <c r="D1611" s="2" t="s">
        <v>758</v>
      </c>
      <c r="E1611" s="2" t="s">
        <v>815</v>
      </c>
      <c r="F1611" s="2" t="s">
        <v>814</v>
      </c>
      <c r="G1611" s="3">
        <v>46167</v>
      </c>
      <c r="H1611" s="2" t="s">
        <v>753</v>
      </c>
      <c r="I1611" s="2" t="s">
        <v>755</v>
      </c>
      <c r="J1611" s="2" t="s">
        <v>754</v>
      </c>
      <c r="K1611" s="2" t="s">
        <v>753</v>
      </c>
      <c r="L1611" s="6">
        <v>196</v>
      </c>
      <c r="M1611" s="2" t="s">
        <v>752</v>
      </c>
      <c r="N1611" s="7">
        <v>34</v>
      </c>
      <c r="O1611" s="4">
        <v>6664</v>
      </c>
      <c r="P1611" s="4">
        <v>6664</v>
      </c>
      <c r="Q1611" s="6">
        <v>0</v>
      </c>
    </row>
    <row r="1612" spans="1:17" x14ac:dyDescent="0.25">
      <c r="A1612" s="2" t="s">
        <v>206</v>
      </c>
      <c r="B1612" s="2" t="s">
        <v>29</v>
      </c>
      <c r="C1612" s="2" t="s">
        <v>30</v>
      </c>
      <c r="D1612" s="2" t="s">
        <v>758</v>
      </c>
      <c r="E1612" s="2" t="s">
        <v>813</v>
      </c>
      <c r="F1612" s="2" t="s">
        <v>812</v>
      </c>
      <c r="G1612" s="3">
        <v>46167</v>
      </c>
      <c r="H1612" s="2" t="s">
        <v>753</v>
      </c>
      <c r="I1612" s="2" t="s">
        <v>755</v>
      </c>
      <c r="J1612" s="2" t="s">
        <v>754</v>
      </c>
      <c r="K1612" s="2" t="s">
        <v>753</v>
      </c>
      <c r="L1612" s="6">
        <v>24</v>
      </c>
      <c r="M1612" s="2" t="s">
        <v>752</v>
      </c>
      <c r="N1612" s="7">
        <v>43.26</v>
      </c>
      <c r="O1612" s="4">
        <v>1038.24</v>
      </c>
      <c r="P1612" s="4">
        <v>1038.24</v>
      </c>
      <c r="Q1612" s="6">
        <v>0</v>
      </c>
    </row>
    <row r="1613" spans="1:17" x14ac:dyDescent="0.25">
      <c r="A1613" s="2" t="s">
        <v>206</v>
      </c>
      <c r="B1613" s="2" t="s">
        <v>29</v>
      </c>
      <c r="C1613" s="2" t="s">
        <v>30</v>
      </c>
      <c r="D1613" s="2" t="s">
        <v>758</v>
      </c>
      <c r="E1613" s="2" t="s">
        <v>811</v>
      </c>
      <c r="F1613" s="2" t="s">
        <v>810</v>
      </c>
      <c r="G1613" s="3">
        <v>46167</v>
      </c>
      <c r="H1613" s="2" t="s">
        <v>753</v>
      </c>
      <c r="I1613" s="2" t="s">
        <v>755</v>
      </c>
      <c r="J1613" s="2" t="s">
        <v>754</v>
      </c>
      <c r="K1613" s="2" t="s">
        <v>753</v>
      </c>
      <c r="L1613" s="6">
        <v>20</v>
      </c>
      <c r="M1613" s="2" t="s">
        <v>752</v>
      </c>
      <c r="N1613" s="7">
        <v>43.26</v>
      </c>
      <c r="O1613" s="4">
        <v>865.2</v>
      </c>
      <c r="P1613" s="4">
        <v>865.2</v>
      </c>
      <c r="Q1613" s="6">
        <v>0</v>
      </c>
    </row>
    <row r="1614" spans="1:17" x14ac:dyDescent="0.25">
      <c r="A1614" s="2" t="s">
        <v>206</v>
      </c>
      <c r="B1614" s="2" t="s">
        <v>29</v>
      </c>
      <c r="C1614" s="2" t="s">
        <v>30</v>
      </c>
      <c r="D1614" s="2" t="s">
        <v>758</v>
      </c>
      <c r="E1614" s="2" t="s">
        <v>763</v>
      </c>
      <c r="F1614" s="2" t="s">
        <v>762</v>
      </c>
      <c r="G1614" s="3">
        <v>46167</v>
      </c>
      <c r="H1614" s="2" t="s">
        <v>753</v>
      </c>
      <c r="I1614" s="2" t="s">
        <v>755</v>
      </c>
      <c r="J1614" s="2" t="s">
        <v>754</v>
      </c>
      <c r="K1614" s="2" t="s">
        <v>753</v>
      </c>
      <c r="L1614" s="6">
        <v>84</v>
      </c>
      <c r="M1614" s="2" t="s">
        <v>752</v>
      </c>
      <c r="N1614" s="7">
        <v>43.36</v>
      </c>
      <c r="O1614" s="4">
        <v>3642.24</v>
      </c>
      <c r="P1614" s="4">
        <v>3642.24</v>
      </c>
      <c r="Q1614" s="6">
        <v>0</v>
      </c>
    </row>
    <row r="1615" spans="1:17" x14ac:dyDescent="0.25">
      <c r="A1615" s="2" t="s">
        <v>206</v>
      </c>
      <c r="B1615" s="2" t="s">
        <v>29</v>
      </c>
      <c r="C1615" s="2" t="s">
        <v>30</v>
      </c>
      <c r="D1615" s="2" t="s">
        <v>758</v>
      </c>
      <c r="E1615" s="2" t="s">
        <v>809</v>
      </c>
      <c r="F1615" s="2" t="s">
        <v>808</v>
      </c>
      <c r="G1615" s="3">
        <v>46167</v>
      </c>
      <c r="H1615" s="2" t="s">
        <v>753</v>
      </c>
      <c r="I1615" s="2" t="s">
        <v>755</v>
      </c>
      <c r="J1615" s="2" t="s">
        <v>754</v>
      </c>
      <c r="K1615" s="2" t="s">
        <v>753</v>
      </c>
      <c r="L1615" s="6">
        <v>28</v>
      </c>
      <c r="M1615" s="2" t="s">
        <v>752</v>
      </c>
      <c r="N1615" s="7">
        <v>39.53</v>
      </c>
      <c r="O1615" s="4">
        <v>1106.8399999999999</v>
      </c>
      <c r="P1615" s="4">
        <v>1106.8399999999999</v>
      </c>
      <c r="Q1615" s="6">
        <v>0</v>
      </c>
    </row>
    <row r="1616" spans="1:17" x14ac:dyDescent="0.25">
      <c r="A1616" s="2" t="s">
        <v>206</v>
      </c>
      <c r="B1616" s="2" t="s">
        <v>29</v>
      </c>
      <c r="C1616" s="2" t="s">
        <v>30</v>
      </c>
      <c r="D1616" s="2" t="s">
        <v>758</v>
      </c>
      <c r="E1616" s="2" t="s">
        <v>776</v>
      </c>
      <c r="F1616" s="2" t="s">
        <v>775</v>
      </c>
      <c r="G1616" s="3">
        <v>46167</v>
      </c>
      <c r="H1616" s="2" t="s">
        <v>753</v>
      </c>
      <c r="I1616" s="2" t="s">
        <v>755</v>
      </c>
      <c r="J1616" s="2" t="s">
        <v>754</v>
      </c>
      <c r="K1616" s="2" t="s">
        <v>753</v>
      </c>
      <c r="L1616" s="6">
        <v>20</v>
      </c>
      <c r="M1616" s="2" t="s">
        <v>752</v>
      </c>
      <c r="N1616" s="7">
        <v>41.2</v>
      </c>
      <c r="O1616" s="4">
        <v>824</v>
      </c>
      <c r="P1616" s="4">
        <v>824</v>
      </c>
      <c r="Q1616" s="6">
        <v>0</v>
      </c>
    </row>
    <row r="1617" spans="1:17" x14ac:dyDescent="0.25">
      <c r="A1617" s="2" t="s">
        <v>206</v>
      </c>
      <c r="B1617" s="2" t="s">
        <v>29</v>
      </c>
      <c r="C1617" s="2" t="s">
        <v>30</v>
      </c>
      <c r="D1617" s="2" t="s">
        <v>758</v>
      </c>
      <c r="E1617" s="2" t="s">
        <v>847</v>
      </c>
      <c r="F1617" s="2" t="s">
        <v>846</v>
      </c>
      <c r="G1617" s="3">
        <v>46167</v>
      </c>
      <c r="H1617" s="2" t="s">
        <v>753</v>
      </c>
      <c r="I1617" s="2" t="s">
        <v>755</v>
      </c>
      <c r="J1617" s="2" t="s">
        <v>754</v>
      </c>
      <c r="K1617" s="2" t="s">
        <v>753</v>
      </c>
      <c r="L1617" s="6">
        <v>12</v>
      </c>
      <c r="M1617" s="2" t="s">
        <v>752</v>
      </c>
      <c r="N1617" s="7">
        <v>38.19</v>
      </c>
      <c r="O1617" s="4">
        <v>458.28</v>
      </c>
      <c r="P1617" s="4">
        <v>458.28</v>
      </c>
      <c r="Q1617" s="6">
        <v>0</v>
      </c>
    </row>
    <row r="1618" spans="1:17" x14ac:dyDescent="0.25">
      <c r="A1618" s="2" t="s">
        <v>206</v>
      </c>
      <c r="B1618" s="2" t="s">
        <v>29</v>
      </c>
      <c r="C1618" s="2" t="s">
        <v>30</v>
      </c>
      <c r="D1618" s="2" t="s">
        <v>758</v>
      </c>
      <c r="E1618" s="2" t="s">
        <v>927</v>
      </c>
      <c r="F1618" s="2" t="s">
        <v>926</v>
      </c>
      <c r="G1618" s="3">
        <v>46167</v>
      </c>
      <c r="H1618" s="2" t="s">
        <v>753</v>
      </c>
      <c r="I1618" s="2" t="s">
        <v>755</v>
      </c>
      <c r="J1618" s="2" t="s">
        <v>754</v>
      </c>
      <c r="K1618" s="2" t="s">
        <v>753</v>
      </c>
      <c r="L1618" s="6">
        <v>8</v>
      </c>
      <c r="M1618" s="2" t="s">
        <v>752</v>
      </c>
      <c r="N1618" s="7">
        <v>45.84</v>
      </c>
      <c r="O1618" s="4">
        <v>366.72</v>
      </c>
      <c r="P1618" s="4">
        <v>366.72</v>
      </c>
      <c r="Q1618" s="6">
        <v>0</v>
      </c>
    </row>
    <row r="1619" spans="1:17" x14ac:dyDescent="0.25">
      <c r="A1619" s="2" t="s">
        <v>206</v>
      </c>
      <c r="B1619" s="2" t="s">
        <v>29</v>
      </c>
      <c r="C1619" s="2" t="s">
        <v>30</v>
      </c>
      <c r="D1619" s="2" t="s">
        <v>758</v>
      </c>
      <c r="E1619" s="2" t="s">
        <v>807</v>
      </c>
      <c r="F1619" s="2" t="s">
        <v>806</v>
      </c>
      <c r="G1619" s="3">
        <v>46167</v>
      </c>
      <c r="H1619" s="2" t="s">
        <v>753</v>
      </c>
      <c r="I1619" s="2" t="s">
        <v>755</v>
      </c>
      <c r="J1619" s="2" t="s">
        <v>754</v>
      </c>
      <c r="K1619" s="2" t="s">
        <v>753</v>
      </c>
      <c r="L1619" s="6">
        <v>12</v>
      </c>
      <c r="M1619" s="2" t="s">
        <v>752</v>
      </c>
      <c r="N1619" s="7">
        <v>42.02</v>
      </c>
      <c r="O1619" s="4">
        <v>504.24</v>
      </c>
      <c r="P1619" s="4">
        <v>504.24</v>
      </c>
      <c r="Q1619" s="6">
        <v>0</v>
      </c>
    </row>
    <row r="1620" spans="1:17" x14ac:dyDescent="0.25">
      <c r="A1620" s="2" t="s">
        <v>206</v>
      </c>
      <c r="B1620" s="2" t="s">
        <v>29</v>
      </c>
      <c r="C1620" s="2" t="s">
        <v>30</v>
      </c>
      <c r="D1620" s="2" t="s">
        <v>758</v>
      </c>
      <c r="E1620" s="2" t="s">
        <v>805</v>
      </c>
      <c r="F1620" s="2" t="s">
        <v>804</v>
      </c>
      <c r="G1620" s="3">
        <v>46167</v>
      </c>
      <c r="H1620" s="2" t="s">
        <v>753</v>
      </c>
      <c r="I1620" s="2" t="s">
        <v>755</v>
      </c>
      <c r="J1620" s="2" t="s">
        <v>754</v>
      </c>
      <c r="K1620" s="2" t="s">
        <v>753</v>
      </c>
      <c r="L1620" s="6">
        <v>80</v>
      </c>
      <c r="M1620" s="2" t="s">
        <v>752</v>
      </c>
      <c r="N1620" s="7">
        <v>41</v>
      </c>
      <c r="O1620" s="4">
        <v>3280</v>
      </c>
      <c r="P1620" s="4">
        <v>3280</v>
      </c>
      <c r="Q1620" s="6">
        <v>0</v>
      </c>
    </row>
    <row r="1621" spans="1:17" x14ac:dyDescent="0.25">
      <c r="A1621" s="2" t="s">
        <v>156</v>
      </c>
      <c r="B1621" s="2" t="s">
        <v>55</v>
      </c>
      <c r="C1621" s="2" t="s">
        <v>56</v>
      </c>
      <c r="D1621" s="2" t="s">
        <v>758</v>
      </c>
      <c r="E1621" s="2" t="s">
        <v>859</v>
      </c>
      <c r="F1621" s="2" t="s">
        <v>858</v>
      </c>
      <c r="G1621" s="3">
        <v>46176</v>
      </c>
      <c r="H1621" s="2" t="s">
        <v>753</v>
      </c>
      <c r="I1621" s="2" t="s">
        <v>755</v>
      </c>
      <c r="J1621" s="2" t="s">
        <v>754</v>
      </c>
      <c r="K1621" s="2" t="s">
        <v>753</v>
      </c>
      <c r="L1621" s="6">
        <v>512</v>
      </c>
      <c r="M1621" s="2" t="s">
        <v>752</v>
      </c>
      <c r="N1621" s="7">
        <v>33.42</v>
      </c>
      <c r="O1621" s="4">
        <v>17111.04</v>
      </c>
      <c r="P1621" s="4">
        <v>17111.04</v>
      </c>
      <c r="Q1621" s="6">
        <v>0</v>
      </c>
    </row>
    <row r="1622" spans="1:17" x14ac:dyDescent="0.25">
      <c r="A1622" s="2" t="s">
        <v>154</v>
      </c>
      <c r="B1622" s="2" t="s">
        <v>81</v>
      </c>
      <c r="C1622" s="2" t="s">
        <v>82</v>
      </c>
      <c r="D1622" s="2" t="s">
        <v>758</v>
      </c>
      <c r="E1622" s="2" t="s">
        <v>763</v>
      </c>
      <c r="F1622" s="2" t="s">
        <v>762</v>
      </c>
      <c r="G1622" s="3">
        <v>46176</v>
      </c>
      <c r="H1622" s="2" t="s">
        <v>753</v>
      </c>
      <c r="I1622" s="2" t="s">
        <v>755</v>
      </c>
      <c r="J1622" s="2" t="s">
        <v>754</v>
      </c>
      <c r="K1622" s="2" t="s">
        <v>753</v>
      </c>
      <c r="L1622" s="6">
        <v>476</v>
      </c>
      <c r="M1622" s="2" t="s">
        <v>752</v>
      </c>
      <c r="N1622" s="7">
        <v>46</v>
      </c>
      <c r="O1622" s="4">
        <v>21896</v>
      </c>
      <c r="P1622" s="4">
        <v>21896</v>
      </c>
      <c r="Q1622" s="6">
        <v>0</v>
      </c>
    </row>
    <row r="1623" spans="1:17" x14ac:dyDescent="0.25">
      <c r="A1623" s="2" t="s">
        <v>154</v>
      </c>
      <c r="B1623" s="2" t="s">
        <v>81</v>
      </c>
      <c r="C1623" s="2" t="s">
        <v>82</v>
      </c>
      <c r="D1623" s="2" t="s">
        <v>758</v>
      </c>
      <c r="E1623" s="2" t="s">
        <v>766</v>
      </c>
      <c r="F1623" s="2" t="s">
        <v>765</v>
      </c>
      <c r="G1623" s="3">
        <v>46176</v>
      </c>
      <c r="H1623" s="2" t="s">
        <v>753</v>
      </c>
      <c r="I1623" s="2" t="s">
        <v>755</v>
      </c>
      <c r="J1623" s="2" t="s">
        <v>754</v>
      </c>
      <c r="K1623" s="2" t="s">
        <v>753</v>
      </c>
      <c r="L1623" s="6">
        <v>49</v>
      </c>
      <c r="M1623" s="2" t="s">
        <v>752</v>
      </c>
      <c r="N1623" s="7">
        <v>40</v>
      </c>
      <c r="O1623" s="4">
        <v>1960</v>
      </c>
      <c r="P1623" s="4">
        <v>1960</v>
      </c>
      <c r="Q1623" s="6">
        <v>0</v>
      </c>
    </row>
    <row r="1624" spans="1:17" x14ac:dyDescent="0.25">
      <c r="A1624" s="2" t="s">
        <v>242</v>
      </c>
      <c r="B1624" s="2" t="s">
        <v>69</v>
      </c>
      <c r="C1624" s="2" t="s">
        <v>70</v>
      </c>
      <c r="D1624" s="2" t="s">
        <v>758</v>
      </c>
      <c r="E1624" s="2" t="s">
        <v>847</v>
      </c>
      <c r="F1624" s="2" t="s">
        <v>846</v>
      </c>
      <c r="G1624" s="3">
        <v>46157</v>
      </c>
      <c r="H1624" s="2" t="s">
        <v>753</v>
      </c>
      <c r="I1624" s="2" t="s">
        <v>755</v>
      </c>
      <c r="J1624" s="2" t="s">
        <v>754</v>
      </c>
      <c r="K1624" s="2" t="s">
        <v>753</v>
      </c>
      <c r="L1624" s="6">
        <v>15</v>
      </c>
      <c r="M1624" s="2" t="s">
        <v>752</v>
      </c>
      <c r="N1624" s="7">
        <v>30.32</v>
      </c>
      <c r="O1624" s="4">
        <v>454.8</v>
      </c>
      <c r="P1624" s="4">
        <v>454.8</v>
      </c>
      <c r="Q1624" s="6">
        <v>0</v>
      </c>
    </row>
    <row r="1625" spans="1:17" x14ac:dyDescent="0.25">
      <c r="A1625" s="2" t="s">
        <v>242</v>
      </c>
      <c r="B1625" s="2" t="s">
        <v>69</v>
      </c>
      <c r="C1625" s="2" t="s">
        <v>70</v>
      </c>
      <c r="D1625" s="2" t="s">
        <v>758</v>
      </c>
      <c r="E1625" s="2" t="s">
        <v>857</v>
      </c>
      <c r="F1625" s="2" t="s">
        <v>856</v>
      </c>
      <c r="G1625" s="3">
        <v>46157</v>
      </c>
      <c r="H1625" s="2" t="s">
        <v>753</v>
      </c>
      <c r="I1625" s="2" t="s">
        <v>755</v>
      </c>
      <c r="J1625" s="2" t="s">
        <v>754</v>
      </c>
      <c r="K1625" s="2" t="s">
        <v>753</v>
      </c>
      <c r="L1625" s="6">
        <v>29</v>
      </c>
      <c r="M1625" s="2" t="s">
        <v>752</v>
      </c>
      <c r="N1625" s="7">
        <v>34.18</v>
      </c>
      <c r="O1625" s="4">
        <v>991.22</v>
      </c>
      <c r="P1625" s="4">
        <v>991.22</v>
      </c>
      <c r="Q1625" s="6">
        <v>0</v>
      </c>
    </row>
    <row r="1626" spans="1:17" x14ac:dyDescent="0.25">
      <c r="A1626" s="2" t="s">
        <v>188</v>
      </c>
      <c r="B1626" s="2" t="s">
        <v>21</v>
      </c>
      <c r="C1626" s="2" t="s">
        <v>22</v>
      </c>
      <c r="D1626" s="2" t="s">
        <v>758</v>
      </c>
      <c r="E1626" s="2" t="s">
        <v>763</v>
      </c>
      <c r="F1626" s="2" t="s">
        <v>762</v>
      </c>
      <c r="G1626" s="3">
        <v>46170</v>
      </c>
      <c r="H1626" s="2" t="s">
        <v>753</v>
      </c>
      <c r="I1626" s="2" t="s">
        <v>755</v>
      </c>
      <c r="J1626" s="2" t="s">
        <v>754</v>
      </c>
      <c r="K1626" s="2" t="s">
        <v>753</v>
      </c>
      <c r="L1626" s="6">
        <v>280</v>
      </c>
      <c r="M1626" s="2" t="s">
        <v>752</v>
      </c>
      <c r="N1626" s="7">
        <v>42.6</v>
      </c>
      <c r="O1626" s="4">
        <v>11928</v>
      </c>
      <c r="P1626" s="4">
        <v>11928</v>
      </c>
      <c r="Q1626" s="6">
        <v>0</v>
      </c>
    </row>
    <row r="1627" spans="1:17" x14ac:dyDescent="0.25">
      <c r="A1627" s="2" t="s">
        <v>188</v>
      </c>
      <c r="B1627" s="2" t="s">
        <v>21</v>
      </c>
      <c r="C1627" s="2" t="s">
        <v>22</v>
      </c>
      <c r="D1627" s="2" t="s">
        <v>758</v>
      </c>
      <c r="E1627" s="2" t="s">
        <v>800</v>
      </c>
      <c r="F1627" s="2" t="s">
        <v>799</v>
      </c>
      <c r="G1627" s="3">
        <v>46170</v>
      </c>
      <c r="H1627" s="2" t="s">
        <v>753</v>
      </c>
      <c r="I1627" s="2" t="s">
        <v>755</v>
      </c>
      <c r="J1627" s="2" t="s">
        <v>754</v>
      </c>
      <c r="K1627" s="2" t="s">
        <v>753</v>
      </c>
      <c r="L1627" s="6">
        <v>24</v>
      </c>
      <c r="M1627" s="2" t="s">
        <v>752</v>
      </c>
      <c r="N1627" s="7">
        <v>34.200000000000003</v>
      </c>
      <c r="O1627" s="4">
        <v>820.8</v>
      </c>
      <c r="P1627" s="4">
        <v>820.8</v>
      </c>
      <c r="Q1627" s="6">
        <v>0</v>
      </c>
    </row>
    <row r="1628" spans="1:17" x14ac:dyDescent="0.25">
      <c r="A1628" s="2" t="s">
        <v>188</v>
      </c>
      <c r="B1628" s="2" t="s">
        <v>21</v>
      </c>
      <c r="C1628" s="2" t="s">
        <v>22</v>
      </c>
      <c r="D1628" s="2" t="s">
        <v>758</v>
      </c>
      <c r="E1628" s="2" t="s">
        <v>796</v>
      </c>
      <c r="F1628" s="2" t="s">
        <v>795</v>
      </c>
      <c r="G1628" s="3">
        <v>46170</v>
      </c>
      <c r="H1628" s="2" t="s">
        <v>753</v>
      </c>
      <c r="I1628" s="2" t="s">
        <v>755</v>
      </c>
      <c r="J1628" s="2" t="s">
        <v>754</v>
      </c>
      <c r="K1628" s="2" t="s">
        <v>753</v>
      </c>
      <c r="L1628" s="6">
        <v>12</v>
      </c>
      <c r="M1628" s="2" t="s">
        <v>752</v>
      </c>
      <c r="N1628" s="7">
        <v>35.65</v>
      </c>
      <c r="O1628" s="4">
        <v>427.8</v>
      </c>
      <c r="P1628" s="4">
        <v>427.8</v>
      </c>
      <c r="Q1628" s="6">
        <v>0</v>
      </c>
    </row>
    <row r="1629" spans="1:17" x14ac:dyDescent="0.25">
      <c r="A1629" s="2" t="s">
        <v>188</v>
      </c>
      <c r="B1629" s="2" t="s">
        <v>21</v>
      </c>
      <c r="C1629" s="2" t="s">
        <v>22</v>
      </c>
      <c r="D1629" s="2" t="s">
        <v>758</v>
      </c>
      <c r="E1629" s="2" t="s">
        <v>794</v>
      </c>
      <c r="F1629" s="2" t="s">
        <v>793</v>
      </c>
      <c r="G1629" s="3">
        <v>46170</v>
      </c>
      <c r="H1629" s="2" t="s">
        <v>753</v>
      </c>
      <c r="I1629" s="2" t="s">
        <v>755</v>
      </c>
      <c r="J1629" s="2" t="s">
        <v>754</v>
      </c>
      <c r="K1629" s="2" t="s">
        <v>753</v>
      </c>
      <c r="L1629" s="6">
        <v>28</v>
      </c>
      <c r="M1629" s="2" t="s">
        <v>752</v>
      </c>
      <c r="N1629" s="7">
        <v>40.619999999999997</v>
      </c>
      <c r="O1629" s="4">
        <v>1137.3599999999999</v>
      </c>
      <c r="P1629" s="4">
        <v>1137.3599999999999</v>
      </c>
      <c r="Q1629" s="6">
        <v>0</v>
      </c>
    </row>
    <row r="1630" spans="1:17" x14ac:dyDescent="0.25">
      <c r="A1630" s="2" t="s">
        <v>188</v>
      </c>
      <c r="B1630" s="2" t="s">
        <v>21</v>
      </c>
      <c r="C1630" s="2" t="s">
        <v>22</v>
      </c>
      <c r="D1630" s="2" t="s">
        <v>758</v>
      </c>
      <c r="E1630" s="2" t="s">
        <v>792</v>
      </c>
      <c r="F1630" s="2" t="s">
        <v>791</v>
      </c>
      <c r="G1630" s="3">
        <v>46170</v>
      </c>
      <c r="H1630" s="2" t="s">
        <v>753</v>
      </c>
      <c r="I1630" s="2" t="s">
        <v>755</v>
      </c>
      <c r="J1630" s="2" t="s">
        <v>754</v>
      </c>
      <c r="K1630" s="2" t="s">
        <v>753</v>
      </c>
      <c r="L1630" s="6">
        <v>16</v>
      </c>
      <c r="M1630" s="2" t="s">
        <v>752</v>
      </c>
      <c r="N1630" s="7">
        <v>35</v>
      </c>
      <c r="O1630" s="4">
        <v>560</v>
      </c>
      <c r="P1630" s="4">
        <v>560</v>
      </c>
      <c r="Q1630" s="6">
        <v>0</v>
      </c>
    </row>
    <row r="1631" spans="1:17" x14ac:dyDescent="0.25">
      <c r="A1631" s="2" t="s">
        <v>188</v>
      </c>
      <c r="B1631" s="2" t="s">
        <v>21</v>
      </c>
      <c r="C1631" s="2" t="s">
        <v>22</v>
      </c>
      <c r="D1631" s="2" t="s">
        <v>758</v>
      </c>
      <c r="E1631" s="2" t="s">
        <v>790</v>
      </c>
      <c r="F1631" s="2" t="s">
        <v>789</v>
      </c>
      <c r="G1631" s="3">
        <v>46170</v>
      </c>
      <c r="H1631" s="2" t="s">
        <v>753</v>
      </c>
      <c r="I1631" s="2" t="s">
        <v>755</v>
      </c>
      <c r="J1631" s="2" t="s">
        <v>754</v>
      </c>
      <c r="K1631" s="2" t="s">
        <v>753</v>
      </c>
      <c r="L1631" s="6">
        <v>28</v>
      </c>
      <c r="M1631" s="2" t="s">
        <v>752</v>
      </c>
      <c r="N1631" s="7">
        <v>39.25</v>
      </c>
      <c r="O1631" s="4">
        <v>1099</v>
      </c>
      <c r="P1631" s="4">
        <v>1099</v>
      </c>
      <c r="Q1631" s="6">
        <v>0</v>
      </c>
    </row>
    <row r="1632" spans="1:17" x14ac:dyDescent="0.25">
      <c r="A1632" s="2" t="s">
        <v>188</v>
      </c>
      <c r="B1632" s="2" t="s">
        <v>21</v>
      </c>
      <c r="C1632" s="2" t="s">
        <v>22</v>
      </c>
      <c r="D1632" s="2" t="s">
        <v>758</v>
      </c>
      <c r="E1632" s="2" t="s">
        <v>788</v>
      </c>
      <c r="F1632" s="2" t="s">
        <v>787</v>
      </c>
      <c r="G1632" s="3">
        <v>46170</v>
      </c>
      <c r="H1632" s="2" t="s">
        <v>753</v>
      </c>
      <c r="I1632" s="2" t="s">
        <v>755</v>
      </c>
      <c r="J1632" s="2" t="s">
        <v>754</v>
      </c>
      <c r="K1632" s="2" t="s">
        <v>753</v>
      </c>
      <c r="L1632" s="6">
        <v>84</v>
      </c>
      <c r="M1632" s="2" t="s">
        <v>752</v>
      </c>
      <c r="N1632" s="7">
        <v>38.299999999999997</v>
      </c>
      <c r="O1632" s="4">
        <v>3217.2</v>
      </c>
      <c r="P1632" s="4">
        <v>3217.2</v>
      </c>
      <c r="Q1632" s="6">
        <v>0</v>
      </c>
    </row>
    <row r="1633" spans="1:17" x14ac:dyDescent="0.25">
      <c r="A1633" s="2" t="s">
        <v>188</v>
      </c>
      <c r="B1633" s="2" t="s">
        <v>21</v>
      </c>
      <c r="C1633" s="2" t="s">
        <v>22</v>
      </c>
      <c r="D1633" s="2" t="s">
        <v>758</v>
      </c>
      <c r="E1633" s="2" t="s">
        <v>772</v>
      </c>
      <c r="F1633" s="2" t="s">
        <v>771</v>
      </c>
      <c r="G1633" s="3">
        <v>46170</v>
      </c>
      <c r="H1633" s="2" t="s">
        <v>753</v>
      </c>
      <c r="I1633" s="2" t="s">
        <v>755</v>
      </c>
      <c r="J1633" s="2" t="s">
        <v>754</v>
      </c>
      <c r="K1633" s="2" t="s">
        <v>753</v>
      </c>
      <c r="L1633" s="6">
        <v>0</v>
      </c>
      <c r="M1633" s="2" t="s">
        <v>752</v>
      </c>
      <c r="N1633" s="7">
        <v>34.5</v>
      </c>
      <c r="O1633" s="4">
        <v>0</v>
      </c>
      <c r="P1633" s="4">
        <v>0</v>
      </c>
      <c r="Q1633" s="6">
        <v>0</v>
      </c>
    </row>
    <row r="1634" spans="1:17" x14ac:dyDescent="0.25">
      <c r="A1634" s="2" t="s">
        <v>188</v>
      </c>
      <c r="B1634" s="2" t="s">
        <v>21</v>
      </c>
      <c r="C1634" s="2" t="s">
        <v>22</v>
      </c>
      <c r="D1634" s="2" t="s">
        <v>758</v>
      </c>
      <c r="E1634" s="2" t="s">
        <v>786</v>
      </c>
      <c r="F1634" s="2" t="s">
        <v>785</v>
      </c>
      <c r="G1634" s="3">
        <v>46170</v>
      </c>
      <c r="H1634" s="2" t="s">
        <v>753</v>
      </c>
      <c r="I1634" s="2" t="s">
        <v>755</v>
      </c>
      <c r="J1634" s="2" t="s">
        <v>754</v>
      </c>
      <c r="K1634" s="2" t="s">
        <v>753</v>
      </c>
      <c r="L1634" s="6">
        <v>28</v>
      </c>
      <c r="M1634" s="2" t="s">
        <v>752</v>
      </c>
      <c r="N1634" s="7">
        <v>35</v>
      </c>
      <c r="O1634" s="4">
        <v>980</v>
      </c>
      <c r="P1634" s="4">
        <v>980</v>
      </c>
      <c r="Q1634" s="6">
        <v>0</v>
      </c>
    </row>
    <row r="1635" spans="1:17" x14ac:dyDescent="0.25">
      <c r="A1635" s="2" t="s">
        <v>188</v>
      </c>
      <c r="B1635" s="2" t="s">
        <v>21</v>
      </c>
      <c r="C1635" s="2" t="s">
        <v>22</v>
      </c>
      <c r="D1635" s="2" t="s">
        <v>758</v>
      </c>
      <c r="E1635" s="2" t="s">
        <v>851</v>
      </c>
      <c r="F1635" s="2" t="s">
        <v>850</v>
      </c>
      <c r="G1635" s="3">
        <v>46170</v>
      </c>
      <c r="H1635" s="2" t="s">
        <v>753</v>
      </c>
      <c r="I1635" s="2" t="s">
        <v>755</v>
      </c>
      <c r="J1635" s="2" t="s">
        <v>754</v>
      </c>
      <c r="K1635" s="2" t="s">
        <v>753</v>
      </c>
      <c r="L1635" s="6">
        <v>0</v>
      </c>
      <c r="M1635" s="2" t="s">
        <v>752</v>
      </c>
      <c r="N1635" s="7">
        <v>43.82</v>
      </c>
      <c r="O1635" s="4">
        <v>0</v>
      </c>
      <c r="P1635" s="4">
        <v>0</v>
      </c>
      <c r="Q1635" s="6">
        <v>0</v>
      </c>
    </row>
    <row r="1636" spans="1:17" x14ac:dyDescent="0.25">
      <c r="A1636" s="2" t="s">
        <v>188</v>
      </c>
      <c r="B1636" s="2" t="s">
        <v>21</v>
      </c>
      <c r="C1636" s="2" t="s">
        <v>22</v>
      </c>
      <c r="D1636" s="2" t="s">
        <v>758</v>
      </c>
      <c r="E1636" s="2" t="s">
        <v>782</v>
      </c>
      <c r="F1636" s="2" t="s">
        <v>781</v>
      </c>
      <c r="G1636" s="3">
        <v>46170</v>
      </c>
      <c r="H1636" s="2" t="s">
        <v>753</v>
      </c>
      <c r="I1636" s="2" t="s">
        <v>755</v>
      </c>
      <c r="J1636" s="2" t="s">
        <v>754</v>
      </c>
      <c r="K1636" s="2" t="s">
        <v>753</v>
      </c>
      <c r="L1636" s="6">
        <v>40</v>
      </c>
      <c r="M1636" s="2" t="s">
        <v>752</v>
      </c>
      <c r="N1636" s="7">
        <v>36.18</v>
      </c>
      <c r="O1636" s="4">
        <v>1447.2</v>
      </c>
      <c r="P1636" s="4">
        <v>1447.2</v>
      </c>
      <c r="Q1636" s="6">
        <v>0</v>
      </c>
    </row>
    <row r="1637" spans="1:17" x14ac:dyDescent="0.25">
      <c r="A1637" s="2" t="s">
        <v>188</v>
      </c>
      <c r="B1637" s="2" t="s">
        <v>21</v>
      </c>
      <c r="C1637" s="2" t="s">
        <v>22</v>
      </c>
      <c r="D1637" s="2" t="s">
        <v>758</v>
      </c>
      <c r="E1637" s="2" t="s">
        <v>780</v>
      </c>
      <c r="F1637" s="2" t="s">
        <v>779</v>
      </c>
      <c r="G1637" s="3">
        <v>46170</v>
      </c>
      <c r="H1637" s="2" t="s">
        <v>753</v>
      </c>
      <c r="I1637" s="2" t="s">
        <v>755</v>
      </c>
      <c r="J1637" s="2" t="s">
        <v>754</v>
      </c>
      <c r="K1637" s="2" t="s">
        <v>753</v>
      </c>
      <c r="L1637" s="6">
        <v>16</v>
      </c>
      <c r="M1637" s="2" t="s">
        <v>752</v>
      </c>
      <c r="N1637" s="7">
        <v>36.07</v>
      </c>
      <c r="O1637" s="4">
        <v>577.12</v>
      </c>
      <c r="P1637" s="4">
        <v>577.12</v>
      </c>
      <c r="Q1637" s="6">
        <v>0</v>
      </c>
    </row>
    <row r="1638" spans="1:17" x14ac:dyDescent="0.25">
      <c r="A1638" s="2" t="s">
        <v>188</v>
      </c>
      <c r="B1638" s="2" t="s">
        <v>21</v>
      </c>
      <c r="C1638" s="2" t="s">
        <v>22</v>
      </c>
      <c r="D1638" s="2" t="s">
        <v>758</v>
      </c>
      <c r="E1638" s="2" t="s">
        <v>776</v>
      </c>
      <c r="F1638" s="2" t="s">
        <v>775</v>
      </c>
      <c r="G1638" s="3">
        <v>46170</v>
      </c>
      <c r="H1638" s="2" t="s">
        <v>753</v>
      </c>
      <c r="I1638" s="2" t="s">
        <v>755</v>
      </c>
      <c r="J1638" s="2" t="s">
        <v>754</v>
      </c>
      <c r="K1638" s="2" t="s">
        <v>753</v>
      </c>
      <c r="L1638" s="6">
        <v>32</v>
      </c>
      <c r="M1638" s="2" t="s">
        <v>752</v>
      </c>
      <c r="N1638" s="7">
        <v>43.82</v>
      </c>
      <c r="O1638" s="4">
        <v>1402.24</v>
      </c>
      <c r="P1638" s="4">
        <v>1402.24</v>
      </c>
      <c r="Q1638" s="6">
        <v>0</v>
      </c>
    </row>
    <row r="1639" spans="1:17" x14ac:dyDescent="0.25">
      <c r="A1639" s="2" t="s">
        <v>188</v>
      </c>
      <c r="B1639" s="2" t="s">
        <v>21</v>
      </c>
      <c r="C1639" s="2" t="s">
        <v>22</v>
      </c>
      <c r="D1639" s="2" t="s">
        <v>758</v>
      </c>
      <c r="E1639" s="2" t="s">
        <v>774</v>
      </c>
      <c r="F1639" s="2" t="s">
        <v>773</v>
      </c>
      <c r="G1639" s="3">
        <v>46170</v>
      </c>
      <c r="H1639" s="2" t="s">
        <v>753</v>
      </c>
      <c r="I1639" s="2" t="s">
        <v>755</v>
      </c>
      <c r="J1639" s="2" t="s">
        <v>754</v>
      </c>
      <c r="K1639" s="2" t="s">
        <v>753</v>
      </c>
      <c r="L1639" s="6">
        <v>16</v>
      </c>
      <c r="M1639" s="2" t="s">
        <v>752</v>
      </c>
      <c r="N1639" s="7">
        <v>38.299999999999997</v>
      </c>
      <c r="O1639" s="4">
        <v>612.79999999999995</v>
      </c>
      <c r="P1639" s="4">
        <v>612.79999999999995</v>
      </c>
      <c r="Q1639" s="6">
        <v>0</v>
      </c>
    </row>
    <row r="1640" spans="1:17" x14ac:dyDescent="0.25">
      <c r="A1640" s="2" t="s">
        <v>162</v>
      </c>
      <c r="B1640" s="2" t="s">
        <v>163</v>
      </c>
      <c r="C1640" s="2" t="s">
        <v>164</v>
      </c>
      <c r="D1640" s="2" t="s">
        <v>758</v>
      </c>
      <c r="E1640" s="2" t="s">
        <v>766</v>
      </c>
      <c r="F1640" s="2" t="s">
        <v>765</v>
      </c>
      <c r="G1640" s="3">
        <v>46175</v>
      </c>
      <c r="H1640" s="2" t="s">
        <v>770</v>
      </c>
      <c r="I1640" s="2" t="s">
        <v>755</v>
      </c>
      <c r="J1640" s="2" t="s">
        <v>754</v>
      </c>
      <c r="K1640" s="2" t="s">
        <v>753</v>
      </c>
      <c r="L1640" s="6">
        <v>252</v>
      </c>
      <c r="M1640" s="2" t="s">
        <v>752</v>
      </c>
      <c r="N1640" s="7">
        <v>38.880000000000003</v>
      </c>
      <c r="O1640" s="4">
        <v>9797.76</v>
      </c>
      <c r="P1640" s="4">
        <v>9797.76</v>
      </c>
      <c r="Q1640" s="6">
        <v>0</v>
      </c>
    </row>
    <row r="1641" spans="1:17" x14ac:dyDescent="0.25">
      <c r="A1641" s="2" t="s">
        <v>162</v>
      </c>
      <c r="B1641" s="2" t="s">
        <v>163</v>
      </c>
      <c r="C1641" s="2" t="s">
        <v>164</v>
      </c>
      <c r="D1641" s="2" t="s">
        <v>758</v>
      </c>
      <c r="E1641" s="2" t="s">
        <v>817</v>
      </c>
      <c r="F1641" s="2" t="s">
        <v>816</v>
      </c>
      <c r="G1641" s="3">
        <v>46175</v>
      </c>
      <c r="H1641" s="2" t="s">
        <v>770</v>
      </c>
      <c r="I1641" s="2" t="s">
        <v>755</v>
      </c>
      <c r="J1641" s="2" t="s">
        <v>754</v>
      </c>
      <c r="K1641" s="2" t="s">
        <v>753</v>
      </c>
      <c r="L1641" s="6">
        <v>40</v>
      </c>
      <c r="M1641" s="2" t="s">
        <v>752</v>
      </c>
      <c r="N1641" s="7">
        <v>31.82</v>
      </c>
      <c r="O1641" s="4">
        <v>1272.8</v>
      </c>
      <c r="P1641" s="4">
        <v>1272.8</v>
      </c>
      <c r="Q1641" s="6">
        <v>0</v>
      </c>
    </row>
    <row r="1642" spans="1:17" x14ac:dyDescent="0.25">
      <c r="A1642" s="2" t="s">
        <v>162</v>
      </c>
      <c r="B1642" s="2" t="s">
        <v>163</v>
      </c>
      <c r="C1642" s="2" t="s">
        <v>164</v>
      </c>
      <c r="D1642" s="2" t="s">
        <v>758</v>
      </c>
      <c r="E1642" s="2" t="s">
        <v>863</v>
      </c>
      <c r="F1642" s="2" t="s">
        <v>862</v>
      </c>
      <c r="G1642" s="3">
        <v>46175</v>
      </c>
      <c r="H1642" s="2" t="s">
        <v>770</v>
      </c>
      <c r="I1642" s="2" t="s">
        <v>755</v>
      </c>
      <c r="J1642" s="2" t="s">
        <v>754</v>
      </c>
      <c r="K1642" s="2" t="s">
        <v>753</v>
      </c>
      <c r="L1642" s="6">
        <v>30</v>
      </c>
      <c r="M1642" s="2" t="s">
        <v>752</v>
      </c>
      <c r="N1642" s="7">
        <v>29.92</v>
      </c>
      <c r="O1642" s="4">
        <v>897.6</v>
      </c>
      <c r="P1642" s="4">
        <v>897.6</v>
      </c>
      <c r="Q1642" s="6">
        <v>0</v>
      </c>
    </row>
    <row r="1643" spans="1:17" x14ac:dyDescent="0.25">
      <c r="A1643" s="2" t="s">
        <v>186</v>
      </c>
      <c r="B1643" s="2" t="s">
        <v>45</v>
      </c>
      <c r="C1643" s="2" t="s">
        <v>46</v>
      </c>
      <c r="D1643" s="2" t="s">
        <v>758</v>
      </c>
      <c r="E1643" s="2" t="s">
        <v>757</v>
      </c>
      <c r="F1643" s="2" t="s">
        <v>756</v>
      </c>
      <c r="G1643" s="3">
        <v>46170</v>
      </c>
      <c r="H1643" s="2" t="s">
        <v>753</v>
      </c>
      <c r="I1643" s="2" t="s">
        <v>755</v>
      </c>
      <c r="J1643" s="2" t="s">
        <v>754</v>
      </c>
      <c r="K1643" s="2" t="s">
        <v>753</v>
      </c>
      <c r="L1643" s="6">
        <v>84</v>
      </c>
      <c r="M1643" s="2" t="s">
        <v>752</v>
      </c>
      <c r="N1643" s="7">
        <v>44</v>
      </c>
      <c r="O1643" s="4">
        <v>3696</v>
      </c>
      <c r="P1643" s="4">
        <v>3696</v>
      </c>
      <c r="Q1643" s="6">
        <v>0</v>
      </c>
    </row>
    <row r="1644" spans="1:17" x14ac:dyDescent="0.25">
      <c r="A1644" s="2" t="s">
        <v>186</v>
      </c>
      <c r="B1644" s="2" t="s">
        <v>45</v>
      </c>
      <c r="C1644" s="2" t="s">
        <v>46</v>
      </c>
      <c r="D1644" s="2" t="s">
        <v>758</v>
      </c>
      <c r="E1644" s="2" t="s">
        <v>849</v>
      </c>
      <c r="F1644" s="2" t="s">
        <v>848</v>
      </c>
      <c r="G1644" s="3">
        <v>46170</v>
      </c>
      <c r="H1644" s="2" t="s">
        <v>753</v>
      </c>
      <c r="I1644" s="2" t="s">
        <v>755</v>
      </c>
      <c r="J1644" s="2" t="s">
        <v>754</v>
      </c>
      <c r="K1644" s="2" t="s">
        <v>753</v>
      </c>
      <c r="L1644" s="6">
        <v>56</v>
      </c>
      <c r="M1644" s="2" t="s">
        <v>752</v>
      </c>
      <c r="N1644" s="7">
        <v>38</v>
      </c>
      <c r="O1644" s="4">
        <v>2128</v>
      </c>
      <c r="P1644" s="4">
        <v>2128</v>
      </c>
      <c r="Q1644" s="6">
        <v>0</v>
      </c>
    </row>
    <row r="1645" spans="1:17" x14ac:dyDescent="0.25">
      <c r="A1645" s="2" t="s">
        <v>186</v>
      </c>
      <c r="B1645" s="2" t="s">
        <v>45</v>
      </c>
      <c r="C1645" s="2" t="s">
        <v>46</v>
      </c>
      <c r="D1645" s="2" t="s">
        <v>758</v>
      </c>
      <c r="E1645" s="2" t="s">
        <v>817</v>
      </c>
      <c r="F1645" s="2" t="s">
        <v>816</v>
      </c>
      <c r="G1645" s="3">
        <v>46170</v>
      </c>
      <c r="H1645" s="2" t="s">
        <v>753</v>
      </c>
      <c r="I1645" s="2" t="s">
        <v>755</v>
      </c>
      <c r="J1645" s="2" t="s">
        <v>754</v>
      </c>
      <c r="K1645" s="2" t="s">
        <v>753</v>
      </c>
      <c r="L1645" s="6">
        <v>56</v>
      </c>
      <c r="M1645" s="2" t="s">
        <v>752</v>
      </c>
      <c r="N1645" s="7">
        <v>36</v>
      </c>
      <c r="O1645" s="4">
        <v>2016</v>
      </c>
      <c r="P1645" s="4">
        <v>2016</v>
      </c>
      <c r="Q1645" s="6">
        <v>0</v>
      </c>
    </row>
    <row r="1646" spans="1:17" x14ac:dyDescent="0.25">
      <c r="A1646" s="2" t="s">
        <v>186</v>
      </c>
      <c r="B1646" s="2" t="s">
        <v>45</v>
      </c>
      <c r="C1646" s="2" t="s">
        <v>46</v>
      </c>
      <c r="D1646" s="2" t="s">
        <v>758</v>
      </c>
      <c r="E1646" s="2" t="s">
        <v>786</v>
      </c>
      <c r="F1646" s="2" t="s">
        <v>785</v>
      </c>
      <c r="G1646" s="3">
        <v>46170</v>
      </c>
      <c r="H1646" s="2" t="s">
        <v>753</v>
      </c>
      <c r="I1646" s="2" t="s">
        <v>755</v>
      </c>
      <c r="J1646" s="2" t="s">
        <v>754</v>
      </c>
      <c r="K1646" s="2" t="s">
        <v>753</v>
      </c>
      <c r="L1646" s="6">
        <v>56</v>
      </c>
      <c r="M1646" s="2" t="s">
        <v>752</v>
      </c>
      <c r="N1646" s="7">
        <v>35</v>
      </c>
      <c r="O1646" s="4">
        <v>1960</v>
      </c>
      <c r="P1646" s="4">
        <v>1960</v>
      </c>
      <c r="Q1646" s="6">
        <v>0</v>
      </c>
    </row>
    <row r="1647" spans="1:17" x14ac:dyDescent="0.25">
      <c r="A1647" s="2" t="s">
        <v>186</v>
      </c>
      <c r="B1647" s="2" t="s">
        <v>45</v>
      </c>
      <c r="C1647" s="2" t="s">
        <v>46</v>
      </c>
      <c r="D1647" s="2" t="s">
        <v>758</v>
      </c>
      <c r="E1647" s="2" t="s">
        <v>772</v>
      </c>
      <c r="F1647" s="2" t="s">
        <v>771</v>
      </c>
      <c r="G1647" s="3">
        <v>46170</v>
      </c>
      <c r="H1647" s="2" t="s">
        <v>753</v>
      </c>
      <c r="I1647" s="2" t="s">
        <v>755</v>
      </c>
      <c r="J1647" s="2" t="s">
        <v>754</v>
      </c>
      <c r="K1647" s="2" t="s">
        <v>753</v>
      </c>
      <c r="L1647" s="6">
        <v>28</v>
      </c>
      <c r="M1647" s="2" t="s">
        <v>752</v>
      </c>
      <c r="N1647" s="7">
        <v>34.5</v>
      </c>
      <c r="O1647" s="4">
        <v>966</v>
      </c>
      <c r="P1647" s="4">
        <v>966</v>
      </c>
      <c r="Q1647" s="6">
        <v>0</v>
      </c>
    </row>
    <row r="1648" spans="1:17" x14ac:dyDescent="0.25">
      <c r="A1648" s="2" t="s">
        <v>186</v>
      </c>
      <c r="B1648" s="2" t="s">
        <v>45</v>
      </c>
      <c r="C1648" s="2" t="s">
        <v>46</v>
      </c>
      <c r="D1648" s="2" t="s">
        <v>758</v>
      </c>
      <c r="E1648" s="2" t="s">
        <v>776</v>
      </c>
      <c r="F1648" s="2" t="s">
        <v>775</v>
      </c>
      <c r="G1648" s="3">
        <v>46170</v>
      </c>
      <c r="H1648" s="2" t="s">
        <v>753</v>
      </c>
      <c r="I1648" s="2" t="s">
        <v>755</v>
      </c>
      <c r="J1648" s="2" t="s">
        <v>754</v>
      </c>
      <c r="K1648" s="2" t="s">
        <v>753</v>
      </c>
      <c r="L1648" s="6">
        <v>140</v>
      </c>
      <c r="M1648" s="2" t="s">
        <v>752</v>
      </c>
      <c r="N1648" s="7">
        <v>43.82</v>
      </c>
      <c r="O1648" s="4">
        <v>6134.8</v>
      </c>
      <c r="P1648" s="4">
        <v>6134.8</v>
      </c>
      <c r="Q1648" s="6">
        <v>0</v>
      </c>
    </row>
    <row r="1649" spans="1:17" x14ac:dyDescent="0.25">
      <c r="A1649" s="2" t="s">
        <v>186</v>
      </c>
      <c r="B1649" s="2" t="s">
        <v>45</v>
      </c>
      <c r="C1649" s="2" t="s">
        <v>46</v>
      </c>
      <c r="D1649" s="2" t="s">
        <v>758</v>
      </c>
      <c r="E1649" s="2" t="s">
        <v>763</v>
      </c>
      <c r="F1649" s="2" t="s">
        <v>762</v>
      </c>
      <c r="G1649" s="3">
        <v>46170</v>
      </c>
      <c r="H1649" s="2" t="s">
        <v>753</v>
      </c>
      <c r="I1649" s="2" t="s">
        <v>755</v>
      </c>
      <c r="J1649" s="2" t="s">
        <v>754</v>
      </c>
      <c r="K1649" s="2" t="s">
        <v>753</v>
      </c>
      <c r="L1649" s="6">
        <v>280</v>
      </c>
      <c r="M1649" s="2" t="s">
        <v>752</v>
      </c>
      <c r="N1649" s="7">
        <v>42.6</v>
      </c>
      <c r="O1649" s="4">
        <v>11928</v>
      </c>
      <c r="P1649" s="4">
        <v>11928</v>
      </c>
      <c r="Q1649" s="6">
        <v>0</v>
      </c>
    </row>
    <row r="1650" spans="1:17" x14ac:dyDescent="0.25">
      <c r="A1650" s="2" t="s">
        <v>186</v>
      </c>
      <c r="B1650" s="2" t="s">
        <v>45</v>
      </c>
      <c r="C1650" s="2" t="s">
        <v>46</v>
      </c>
      <c r="D1650" s="2" t="s">
        <v>758</v>
      </c>
      <c r="E1650" s="2" t="s">
        <v>827</v>
      </c>
      <c r="F1650" s="2" t="s">
        <v>826</v>
      </c>
      <c r="G1650" s="3">
        <v>46170</v>
      </c>
      <c r="H1650" s="2" t="s">
        <v>753</v>
      </c>
      <c r="I1650" s="2" t="s">
        <v>755</v>
      </c>
      <c r="J1650" s="2" t="s">
        <v>754</v>
      </c>
      <c r="K1650" s="2" t="s">
        <v>753</v>
      </c>
      <c r="L1650" s="6">
        <v>28</v>
      </c>
      <c r="M1650" s="2" t="s">
        <v>752</v>
      </c>
      <c r="N1650" s="7">
        <v>44</v>
      </c>
      <c r="O1650" s="4">
        <v>1232</v>
      </c>
      <c r="P1650" s="4">
        <v>1232</v>
      </c>
      <c r="Q1650" s="6">
        <v>0</v>
      </c>
    </row>
    <row r="1651" spans="1:17" x14ac:dyDescent="0.25">
      <c r="A1651" s="2" t="s">
        <v>176</v>
      </c>
      <c r="B1651" s="2" t="s">
        <v>177</v>
      </c>
      <c r="C1651" s="2" t="s">
        <v>178</v>
      </c>
      <c r="D1651" s="2" t="s">
        <v>758</v>
      </c>
      <c r="E1651" s="2" t="s">
        <v>763</v>
      </c>
      <c r="F1651" s="2" t="s">
        <v>762</v>
      </c>
      <c r="G1651" s="3">
        <v>46174</v>
      </c>
      <c r="H1651" s="2" t="s">
        <v>753</v>
      </c>
      <c r="I1651" s="2" t="s">
        <v>755</v>
      </c>
      <c r="J1651" s="2" t="s">
        <v>754</v>
      </c>
      <c r="K1651" s="2" t="s">
        <v>753</v>
      </c>
      <c r="L1651" s="6">
        <v>284</v>
      </c>
      <c r="M1651" s="2" t="s">
        <v>752</v>
      </c>
      <c r="N1651" s="7">
        <v>42.6</v>
      </c>
      <c r="O1651" s="4">
        <v>12098.4</v>
      </c>
      <c r="P1651" s="4">
        <v>12098.4</v>
      </c>
      <c r="Q1651" s="6">
        <v>0</v>
      </c>
    </row>
    <row r="1652" spans="1:17" x14ac:dyDescent="0.25">
      <c r="A1652" s="2" t="s">
        <v>176</v>
      </c>
      <c r="B1652" s="2" t="s">
        <v>177</v>
      </c>
      <c r="C1652" s="2" t="s">
        <v>178</v>
      </c>
      <c r="D1652" s="2" t="s">
        <v>758</v>
      </c>
      <c r="E1652" s="2" t="s">
        <v>881</v>
      </c>
      <c r="F1652" s="2" t="s">
        <v>880</v>
      </c>
      <c r="G1652" s="3">
        <v>46174</v>
      </c>
      <c r="H1652" s="2" t="s">
        <v>753</v>
      </c>
      <c r="I1652" s="2" t="s">
        <v>755</v>
      </c>
      <c r="J1652" s="2" t="s">
        <v>754</v>
      </c>
      <c r="K1652" s="2" t="s">
        <v>753</v>
      </c>
      <c r="L1652" s="6">
        <v>12</v>
      </c>
      <c r="M1652" s="2" t="s">
        <v>752</v>
      </c>
      <c r="N1652" s="7">
        <v>41.15</v>
      </c>
      <c r="O1652" s="4">
        <v>493.8</v>
      </c>
      <c r="P1652" s="4">
        <v>493.8</v>
      </c>
      <c r="Q1652" s="6">
        <v>0</v>
      </c>
    </row>
    <row r="1653" spans="1:17" x14ac:dyDescent="0.25">
      <c r="A1653" s="2" t="s">
        <v>176</v>
      </c>
      <c r="B1653" s="2" t="s">
        <v>177</v>
      </c>
      <c r="C1653" s="2" t="s">
        <v>178</v>
      </c>
      <c r="D1653" s="2" t="s">
        <v>758</v>
      </c>
      <c r="E1653" s="2" t="s">
        <v>772</v>
      </c>
      <c r="F1653" s="2" t="s">
        <v>771</v>
      </c>
      <c r="G1653" s="3">
        <v>46174</v>
      </c>
      <c r="H1653" s="2" t="s">
        <v>753</v>
      </c>
      <c r="I1653" s="2" t="s">
        <v>755</v>
      </c>
      <c r="J1653" s="2" t="s">
        <v>754</v>
      </c>
      <c r="K1653" s="2" t="s">
        <v>753</v>
      </c>
      <c r="L1653" s="6">
        <v>28</v>
      </c>
      <c r="M1653" s="2" t="s">
        <v>752</v>
      </c>
      <c r="N1653" s="7">
        <v>34.5</v>
      </c>
      <c r="O1653" s="4">
        <v>966</v>
      </c>
      <c r="P1653" s="4">
        <v>966</v>
      </c>
      <c r="Q1653" s="6">
        <v>0</v>
      </c>
    </row>
    <row r="1654" spans="1:17" x14ac:dyDescent="0.25">
      <c r="A1654" s="2" t="s">
        <v>144</v>
      </c>
      <c r="B1654" s="2" t="s">
        <v>145</v>
      </c>
      <c r="C1654" s="2" t="s">
        <v>146</v>
      </c>
      <c r="D1654" s="2" t="s">
        <v>758</v>
      </c>
      <c r="E1654" s="2" t="s">
        <v>847</v>
      </c>
      <c r="F1654" s="2" t="s">
        <v>846</v>
      </c>
      <c r="G1654" s="3">
        <v>46177</v>
      </c>
      <c r="H1654" s="2" t="s">
        <v>753</v>
      </c>
      <c r="I1654" s="2" t="s">
        <v>755</v>
      </c>
      <c r="J1654" s="2" t="s">
        <v>754</v>
      </c>
      <c r="K1654" s="2" t="s">
        <v>753</v>
      </c>
      <c r="L1654" s="6">
        <v>336</v>
      </c>
      <c r="M1654" s="2" t="s">
        <v>752</v>
      </c>
      <c r="N1654" s="7">
        <v>40.799999999999997</v>
      </c>
      <c r="O1654" s="4">
        <v>13708.8</v>
      </c>
      <c r="P1654" s="4">
        <v>13708.8</v>
      </c>
      <c r="Q1654" s="6">
        <v>0</v>
      </c>
    </row>
    <row r="1655" spans="1:17" x14ac:dyDescent="0.25">
      <c r="A1655" s="2" t="s">
        <v>144</v>
      </c>
      <c r="B1655" s="2" t="s">
        <v>145</v>
      </c>
      <c r="C1655" s="2" t="s">
        <v>146</v>
      </c>
      <c r="D1655" s="2" t="s">
        <v>758</v>
      </c>
      <c r="E1655" s="2" t="s">
        <v>794</v>
      </c>
      <c r="F1655" s="2" t="s">
        <v>793</v>
      </c>
      <c r="G1655" s="3">
        <v>46177</v>
      </c>
      <c r="H1655" s="2" t="s">
        <v>753</v>
      </c>
      <c r="I1655" s="2" t="s">
        <v>755</v>
      </c>
      <c r="J1655" s="2" t="s">
        <v>754</v>
      </c>
      <c r="K1655" s="2" t="s">
        <v>753</v>
      </c>
      <c r="L1655" s="6">
        <v>112</v>
      </c>
      <c r="M1655" s="2" t="s">
        <v>752</v>
      </c>
      <c r="N1655" s="7">
        <v>39.9</v>
      </c>
      <c r="O1655" s="4">
        <v>4468.8</v>
      </c>
      <c r="P1655" s="4">
        <v>4468.8</v>
      </c>
      <c r="Q1655" s="6">
        <v>0</v>
      </c>
    </row>
    <row r="1656" spans="1:17" x14ac:dyDescent="0.25">
      <c r="A1656" s="2" t="s">
        <v>144</v>
      </c>
      <c r="B1656" s="2" t="s">
        <v>145</v>
      </c>
      <c r="C1656" s="2" t="s">
        <v>146</v>
      </c>
      <c r="D1656" s="2" t="s">
        <v>758</v>
      </c>
      <c r="E1656" s="2" t="s">
        <v>776</v>
      </c>
      <c r="F1656" s="2" t="s">
        <v>775</v>
      </c>
      <c r="G1656" s="3">
        <v>46177</v>
      </c>
      <c r="H1656" s="2" t="s">
        <v>753</v>
      </c>
      <c r="I1656" s="2" t="s">
        <v>755</v>
      </c>
      <c r="J1656" s="2" t="s">
        <v>754</v>
      </c>
      <c r="K1656" s="2" t="s">
        <v>753</v>
      </c>
      <c r="L1656" s="6">
        <v>6</v>
      </c>
      <c r="M1656" s="2" t="s">
        <v>752</v>
      </c>
      <c r="N1656" s="7">
        <v>45</v>
      </c>
      <c r="O1656" s="4">
        <v>270</v>
      </c>
      <c r="P1656" s="4">
        <v>270</v>
      </c>
      <c r="Q1656" s="6">
        <v>0</v>
      </c>
    </row>
    <row r="1657" spans="1:17" x14ac:dyDescent="0.25">
      <c r="A1657" s="2" t="s">
        <v>134</v>
      </c>
      <c r="B1657" s="2" t="s">
        <v>135</v>
      </c>
      <c r="C1657" s="2" t="s">
        <v>136</v>
      </c>
      <c r="D1657" s="2" t="s">
        <v>758</v>
      </c>
      <c r="E1657" s="2" t="s">
        <v>763</v>
      </c>
      <c r="F1657" s="2" t="s">
        <v>762</v>
      </c>
      <c r="G1657" s="3">
        <v>46182</v>
      </c>
      <c r="H1657" s="2" t="s">
        <v>753</v>
      </c>
      <c r="I1657" s="2" t="s">
        <v>755</v>
      </c>
      <c r="J1657" s="2" t="s">
        <v>754</v>
      </c>
      <c r="K1657" s="2" t="s">
        <v>753</v>
      </c>
      <c r="L1657" s="6">
        <v>180</v>
      </c>
      <c r="M1657" s="2" t="s">
        <v>752</v>
      </c>
      <c r="N1657" s="7">
        <v>42</v>
      </c>
      <c r="O1657" s="4">
        <v>7560</v>
      </c>
      <c r="P1657" s="4">
        <v>7560</v>
      </c>
      <c r="Q1657" s="6">
        <v>0</v>
      </c>
    </row>
    <row r="1658" spans="1:17" x14ac:dyDescent="0.25">
      <c r="A1658" s="2" t="s">
        <v>134</v>
      </c>
      <c r="B1658" s="2" t="s">
        <v>135</v>
      </c>
      <c r="C1658" s="2" t="s">
        <v>136</v>
      </c>
      <c r="D1658" s="2" t="s">
        <v>758</v>
      </c>
      <c r="E1658" s="2" t="s">
        <v>788</v>
      </c>
      <c r="F1658" s="2" t="s">
        <v>787</v>
      </c>
      <c r="G1658" s="3">
        <v>46182</v>
      </c>
      <c r="H1658" s="2" t="s">
        <v>753</v>
      </c>
      <c r="I1658" s="2" t="s">
        <v>755</v>
      </c>
      <c r="J1658" s="2" t="s">
        <v>754</v>
      </c>
      <c r="K1658" s="2" t="s">
        <v>753</v>
      </c>
      <c r="L1658" s="6">
        <v>280</v>
      </c>
      <c r="M1658" s="2" t="s">
        <v>752</v>
      </c>
      <c r="N1658" s="7">
        <v>38.299999999999997</v>
      </c>
      <c r="O1658" s="4">
        <v>10724</v>
      </c>
      <c r="P1658" s="4">
        <v>10724</v>
      </c>
      <c r="Q1658" s="6">
        <v>0</v>
      </c>
    </row>
    <row r="1659" spans="1:17" x14ac:dyDescent="0.25">
      <c r="A1659" s="2" t="s">
        <v>134</v>
      </c>
      <c r="B1659" s="2" t="s">
        <v>135</v>
      </c>
      <c r="C1659" s="2" t="s">
        <v>136</v>
      </c>
      <c r="D1659" s="2" t="s">
        <v>758</v>
      </c>
      <c r="E1659" s="2" t="s">
        <v>894</v>
      </c>
      <c r="F1659" s="2" t="s">
        <v>893</v>
      </c>
      <c r="G1659" s="3">
        <v>46182</v>
      </c>
      <c r="H1659" s="2" t="s">
        <v>753</v>
      </c>
      <c r="I1659" s="2" t="s">
        <v>755</v>
      </c>
      <c r="J1659" s="2" t="s">
        <v>754</v>
      </c>
      <c r="K1659" s="2" t="s">
        <v>753</v>
      </c>
      <c r="L1659" s="6">
        <v>36</v>
      </c>
      <c r="M1659" s="2" t="s">
        <v>752</v>
      </c>
      <c r="N1659" s="7">
        <v>33.25</v>
      </c>
      <c r="O1659" s="4">
        <v>1197</v>
      </c>
      <c r="P1659" s="4">
        <v>1197</v>
      </c>
      <c r="Q1659" s="6">
        <v>0</v>
      </c>
    </row>
    <row r="1660" spans="1:17" x14ac:dyDescent="0.25">
      <c r="A1660" s="2" t="s">
        <v>134</v>
      </c>
      <c r="B1660" s="2" t="s">
        <v>135</v>
      </c>
      <c r="C1660" s="2" t="s">
        <v>136</v>
      </c>
      <c r="D1660" s="2" t="s">
        <v>758</v>
      </c>
      <c r="E1660" s="2" t="s">
        <v>925</v>
      </c>
      <c r="F1660" s="2" t="s">
        <v>924</v>
      </c>
      <c r="G1660" s="3">
        <v>46182</v>
      </c>
      <c r="H1660" s="2" t="s">
        <v>753</v>
      </c>
      <c r="I1660" s="2" t="s">
        <v>755</v>
      </c>
      <c r="J1660" s="2" t="s">
        <v>754</v>
      </c>
      <c r="K1660" s="2" t="s">
        <v>753</v>
      </c>
      <c r="L1660" s="6">
        <v>60</v>
      </c>
      <c r="M1660" s="2" t="s">
        <v>752</v>
      </c>
      <c r="N1660" s="7">
        <v>35.75</v>
      </c>
      <c r="O1660" s="4">
        <v>2145</v>
      </c>
      <c r="P1660" s="4">
        <v>2145</v>
      </c>
      <c r="Q1660" s="6">
        <v>0</v>
      </c>
    </row>
    <row r="1661" spans="1:17" x14ac:dyDescent="0.25">
      <c r="A1661" s="2" t="s">
        <v>134</v>
      </c>
      <c r="B1661" s="2" t="s">
        <v>135</v>
      </c>
      <c r="C1661" s="2" t="s">
        <v>136</v>
      </c>
      <c r="D1661" s="2" t="s">
        <v>758</v>
      </c>
      <c r="E1661" s="2" t="s">
        <v>890</v>
      </c>
      <c r="F1661" s="2" t="s">
        <v>889</v>
      </c>
      <c r="G1661" s="3">
        <v>46182</v>
      </c>
      <c r="H1661" s="2" t="s">
        <v>753</v>
      </c>
      <c r="I1661" s="2" t="s">
        <v>755</v>
      </c>
      <c r="J1661" s="2" t="s">
        <v>754</v>
      </c>
      <c r="K1661" s="2" t="s">
        <v>753</v>
      </c>
      <c r="L1661" s="6">
        <v>32</v>
      </c>
      <c r="M1661" s="2" t="s">
        <v>752</v>
      </c>
      <c r="N1661" s="7">
        <v>46</v>
      </c>
      <c r="O1661" s="4">
        <v>1472</v>
      </c>
      <c r="P1661" s="4">
        <v>1472</v>
      </c>
      <c r="Q1661" s="6">
        <v>0</v>
      </c>
    </row>
    <row r="1662" spans="1:17" x14ac:dyDescent="0.25">
      <c r="A1662" s="2" t="s">
        <v>152</v>
      </c>
      <c r="B1662" s="2" t="s">
        <v>99</v>
      </c>
      <c r="C1662" s="2" t="s">
        <v>100</v>
      </c>
      <c r="D1662" s="2" t="s">
        <v>758</v>
      </c>
      <c r="E1662" s="2" t="s">
        <v>863</v>
      </c>
      <c r="F1662" s="2" t="s">
        <v>862</v>
      </c>
      <c r="G1662" s="3">
        <v>46176</v>
      </c>
      <c r="H1662" s="2" t="s">
        <v>770</v>
      </c>
      <c r="I1662" s="2" t="s">
        <v>755</v>
      </c>
      <c r="J1662" s="2" t="s">
        <v>754</v>
      </c>
      <c r="K1662" s="2" t="s">
        <v>753</v>
      </c>
      <c r="L1662" s="6">
        <v>192</v>
      </c>
      <c r="M1662" s="2" t="s">
        <v>752</v>
      </c>
      <c r="N1662" s="7">
        <v>33.299999999999997</v>
      </c>
      <c r="O1662" s="4">
        <v>6393.6</v>
      </c>
      <c r="P1662" s="4">
        <v>6393.6</v>
      </c>
      <c r="Q1662" s="6">
        <v>0</v>
      </c>
    </row>
    <row r="1663" spans="1:17" x14ac:dyDescent="0.25">
      <c r="A1663" s="2" t="s">
        <v>152</v>
      </c>
      <c r="B1663" s="2" t="s">
        <v>99</v>
      </c>
      <c r="C1663" s="2" t="s">
        <v>100</v>
      </c>
      <c r="D1663" s="2" t="s">
        <v>758</v>
      </c>
      <c r="E1663" s="2" t="s">
        <v>861</v>
      </c>
      <c r="F1663" s="2" t="s">
        <v>860</v>
      </c>
      <c r="G1663" s="3">
        <v>46176</v>
      </c>
      <c r="H1663" s="2" t="s">
        <v>770</v>
      </c>
      <c r="I1663" s="2" t="s">
        <v>755</v>
      </c>
      <c r="J1663" s="2" t="s">
        <v>754</v>
      </c>
      <c r="K1663" s="2" t="s">
        <v>753</v>
      </c>
      <c r="L1663" s="6">
        <v>80</v>
      </c>
      <c r="M1663" s="2" t="s">
        <v>752</v>
      </c>
      <c r="N1663" s="7">
        <v>39.700000000000003</v>
      </c>
      <c r="O1663" s="4">
        <v>3176</v>
      </c>
      <c r="P1663" s="4">
        <v>3176</v>
      </c>
      <c r="Q1663" s="6">
        <v>0</v>
      </c>
    </row>
    <row r="1664" spans="1:17" x14ac:dyDescent="0.25">
      <c r="A1664" s="2" t="s">
        <v>152</v>
      </c>
      <c r="B1664" s="2" t="s">
        <v>99</v>
      </c>
      <c r="C1664" s="2" t="s">
        <v>100</v>
      </c>
      <c r="D1664" s="2" t="s">
        <v>758</v>
      </c>
      <c r="E1664" s="2" t="s">
        <v>757</v>
      </c>
      <c r="F1664" s="2" t="s">
        <v>756</v>
      </c>
      <c r="G1664" s="3">
        <v>46176</v>
      </c>
      <c r="H1664" s="2" t="s">
        <v>770</v>
      </c>
      <c r="I1664" s="2" t="s">
        <v>755</v>
      </c>
      <c r="J1664" s="2" t="s">
        <v>754</v>
      </c>
      <c r="K1664" s="2" t="s">
        <v>753</v>
      </c>
      <c r="L1664" s="6">
        <v>568</v>
      </c>
      <c r="M1664" s="2" t="s">
        <v>752</v>
      </c>
      <c r="N1664" s="7">
        <v>39.700000000000003</v>
      </c>
      <c r="O1664" s="4">
        <v>22549.599999999999</v>
      </c>
      <c r="P1664" s="4">
        <v>22549.599999999999</v>
      </c>
      <c r="Q1664" s="6">
        <v>0</v>
      </c>
    </row>
    <row r="1665" spans="1:17" x14ac:dyDescent="0.25">
      <c r="A1665" s="2" t="s">
        <v>923</v>
      </c>
      <c r="B1665" s="2" t="s">
        <v>760</v>
      </c>
      <c r="C1665" s="2" t="s">
        <v>759</v>
      </c>
      <c r="D1665" s="2" t="s">
        <v>758</v>
      </c>
      <c r="E1665" s="2" t="s">
        <v>757</v>
      </c>
      <c r="F1665" s="2" t="s">
        <v>756</v>
      </c>
      <c r="G1665" s="3">
        <v>46168</v>
      </c>
      <c r="H1665" s="2" t="s">
        <v>753</v>
      </c>
      <c r="I1665" s="2" t="s">
        <v>755</v>
      </c>
      <c r="J1665" s="2" t="s">
        <v>754</v>
      </c>
      <c r="K1665" s="2" t="s">
        <v>753</v>
      </c>
      <c r="L1665" s="6">
        <v>1</v>
      </c>
      <c r="M1665" s="2" t="s">
        <v>752</v>
      </c>
      <c r="N1665" s="7">
        <v>0</v>
      </c>
      <c r="O1665" s="4">
        <v>0</v>
      </c>
      <c r="P1665" s="4">
        <v>0</v>
      </c>
      <c r="Q1665" s="6">
        <v>0</v>
      </c>
    </row>
    <row r="1666" spans="1:17" x14ac:dyDescent="0.25">
      <c r="A1666" s="2" t="s">
        <v>142</v>
      </c>
      <c r="B1666" s="2" t="s">
        <v>29</v>
      </c>
      <c r="C1666" s="2" t="s">
        <v>30</v>
      </c>
      <c r="D1666" s="2" t="s">
        <v>758</v>
      </c>
      <c r="E1666" s="2" t="s">
        <v>817</v>
      </c>
      <c r="F1666" s="2" t="s">
        <v>816</v>
      </c>
      <c r="G1666" s="3">
        <v>46178</v>
      </c>
      <c r="H1666" s="2" t="s">
        <v>753</v>
      </c>
      <c r="I1666" s="2" t="s">
        <v>755</v>
      </c>
      <c r="J1666" s="2" t="s">
        <v>754</v>
      </c>
      <c r="K1666" s="2" t="s">
        <v>753</v>
      </c>
      <c r="L1666" s="6">
        <v>84</v>
      </c>
      <c r="M1666" s="2" t="s">
        <v>752</v>
      </c>
      <c r="N1666" s="7">
        <v>31.42</v>
      </c>
      <c r="O1666" s="4">
        <v>2639.28</v>
      </c>
      <c r="P1666" s="4">
        <v>2639.28</v>
      </c>
      <c r="Q1666" s="6">
        <v>0</v>
      </c>
    </row>
    <row r="1667" spans="1:17" x14ac:dyDescent="0.25">
      <c r="A1667" s="2" t="s">
        <v>142</v>
      </c>
      <c r="B1667" s="2" t="s">
        <v>29</v>
      </c>
      <c r="C1667" s="2" t="s">
        <v>30</v>
      </c>
      <c r="D1667" s="2" t="s">
        <v>758</v>
      </c>
      <c r="E1667" s="2" t="s">
        <v>815</v>
      </c>
      <c r="F1667" s="2" t="s">
        <v>814</v>
      </c>
      <c r="G1667" s="3">
        <v>46178</v>
      </c>
      <c r="H1667" s="2" t="s">
        <v>753</v>
      </c>
      <c r="I1667" s="2" t="s">
        <v>755</v>
      </c>
      <c r="J1667" s="2" t="s">
        <v>754</v>
      </c>
      <c r="K1667" s="2" t="s">
        <v>753</v>
      </c>
      <c r="L1667" s="6">
        <v>168</v>
      </c>
      <c r="M1667" s="2" t="s">
        <v>752</v>
      </c>
      <c r="N1667" s="7">
        <v>34</v>
      </c>
      <c r="O1667" s="4">
        <v>5712</v>
      </c>
      <c r="P1667" s="4">
        <v>5712</v>
      </c>
      <c r="Q1667" s="6">
        <v>0</v>
      </c>
    </row>
    <row r="1668" spans="1:17" x14ac:dyDescent="0.25">
      <c r="A1668" s="2" t="s">
        <v>142</v>
      </c>
      <c r="B1668" s="2" t="s">
        <v>29</v>
      </c>
      <c r="C1668" s="2" t="s">
        <v>30</v>
      </c>
      <c r="D1668" s="2" t="s">
        <v>758</v>
      </c>
      <c r="E1668" s="2" t="s">
        <v>813</v>
      </c>
      <c r="F1668" s="2" t="s">
        <v>812</v>
      </c>
      <c r="G1668" s="3">
        <v>46178</v>
      </c>
      <c r="H1668" s="2" t="s">
        <v>753</v>
      </c>
      <c r="I1668" s="2" t="s">
        <v>755</v>
      </c>
      <c r="J1668" s="2" t="s">
        <v>754</v>
      </c>
      <c r="K1668" s="2" t="s">
        <v>753</v>
      </c>
      <c r="L1668" s="6">
        <v>24</v>
      </c>
      <c r="M1668" s="2" t="s">
        <v>752</v>
      </c>
      <c r="N1668" s="7">
        <v>43.26</v>
      </c>
      <c r="O1668" s="4">
        <v>1038.24</v>
      </c>
      <c r="P1668" s="4">
        <v>1038.24</v>
      </c>
      <c r="Q1668" s="6">
        <v>0</v>
      </c>
    </row>
    <row r="1669" spans="1:17" x14ac:dyDescent="0.25">
      <c r="A1669" s="2" t="s">
        <v>142</v>
      </c>
      <c r="B1669" s="2" t="s">
        <v>29</v>
      </c>
      <c r="C1669" s="2" t="s">
        <v>30</v>
      </c>
      <c r="D1669" s="2" t="s">
        <v>758</v>
      </c>
      <c r="E1669" s="2" t="s">
        <v>763</v>
      </c>
      <c r="F1669" s="2" t="s">
        <v>762</v>
      </c>
      <c r="G1669" s="3">
        <v>46178</v>
      </c>
      <c r="H1669" s="2" t="s">
        <v>753</v>
      </c>
      <c r="I1669" s="2" t="s">
        <v>755</v>
      </c>
      <c r="J1669" s="2" t="s">
        <v>754</v>
      </c>
      <c r="K1669" s="2" t="s">
        <v>753</v>
      </c>
      <c r="L1669" s="6">
        <v>56</v>
      </c>
      <c r="M1669" s="2" t="s">
        <v>752</v>
      </c>
      <c r="N1669" s="7">
        <v>43.36</v>
      </c>
      <c r="O1669" s="4">
        <v>2428.16</v>
      </c>
      <c r="P1669" s="4">
        <v>2428.16</v>
      </c>
      <c r="Q1669" s="6">
        <v>0</v>
      </c>
    </row>
    <row r="1670" spans="1:17" x14ac:dyDescent="0.25">
      <c r="A1670" s="2" t="s">
        <v>142</v>
      </c>
      <c r="B1670" s="2" t="s">
        <v>29</v>
      </c>
      <c r="C1670" s="2" t="s">
        <v>30</v>
      </c>
      <c r="D1670" s="2" t="s">
        <v>758</v>
      </c>
      <c r="E1670" s="2" t="s">
        <v>776</v>
      </c>
      <c r="F1670" s="2" t="s">
        <v>775</v>
      </c>
      <c r="G1670" s="3">
        <v>46178</v>
      </c>
      <c r="H1670" s="2" t="s">
        <v>753</v>
      </c>
      <c r="I1670" s="2" t="s">
        <v>755</v>
      </c>
      <c r="J1670" s="2" t="s">
        <v>754</v>
      </c>
      <c r="K1670" s="2" t="s">
        <v>753</v>
      </c>
      <c r="L1670" s="6">
        <v>20</v>
      </c>
      <c r="M1670" s="2" t="s">
        <v>752</v>
      </c>
      <c r="N1670" s="7">
        <v>41.2</v>
      </c>
      <c r="O1670" s="4">
        <v>824</v>
      </c>
      <c r="P1670" s="4">
        <v>824</v>
      </c>
      <c r="Q1670" s="6">
        <v>0</v>
      </c>
    </row>
    <row r="1671" spans="1:17" x14ac:dyDescent="0.25">
      <c r="A1671" s="2" t="s">
        <v>142</v>
      </c>
      <c r="B1671" s="2" t="s">
        <v>29</v>
      </c>
      <c r="C1671" s="2" t="s">
        <v>30</v>
      </c>
      <c r="D1671" s="2" t="s">
        <v>758</v>
      </c>
      <c r="E1671" s="2" t="s">
        <v>847</v>
      </c>
      <c r="F1671" s="2" t="s">
        <v>846</v>
      </c>
      <c r="G1671" s="3">
        <v>46178</v>
      </c>
      <c r="H1671" s="2" t="s">
        <v>753</v>
      </c>
      <c r="I1671" s="2" t="s">
        <v>755</v>
      </c>
      <c r="J1671" s="2" t="s">
        <v>754</v>
      </c>
      <c r="K1671" s="2" t="s">
        <v>753</v>
      </c>
      <c r="L1671" s="6">
        <v>48</v>
      </c>
      <c r="M1671" s="2" t="s">
        <v>752</v>
      </c>
      <c r="N1671" s="7">
        <v>38.19</v>
      </c>
      <c r="O1671" s="4">
        <v>1833.12</v>
      </c>
      <c r="P1671" s="4">
        <v>1833.12</v>
      </c>
      <c r="Q1671" s="6">
        <v>0</v>
      </c>
    </row>
    <row r="1672" spans="1:17" x14ac:dyDescent="0.25">
      <c r="A1672" s="2" t="s">
        <v>142</v>
      </c>
      <c r="B1672" s="2" t="s">
        <v>29</v>
      </c>
      <c r="C1672" s="2" t="s">
        <v>30</v>
      </c>
      <c r="D1672" s="2" t="s">
        <v>758</v>
      </c>
      <c r="E1672" s="2" t="s">
        <v>805</v>
      </c>
      <c r="F1672" s="2" t="s">
        <v>804</v>
      </c>
      <c r="G1672" s="3">
        <v>46178</v>
      </c>
      <c r="H1672" s="2" t="s">
        <v>753</v>
      </c>
      <c r="I1672" s="2" t="s">
        <v>755</v>
      </c>
      <c r="J1672" s="2" t="s">
        <v>754</v>
      </c>
      <c r="K1672" s="2" t="s">
        <v>753</v>
      </c>
      <c r="L1672" s="6">
        <v>40</v>
      </c>
      <c r="M1672" s="2" t="s">
        <v>752</v>
      </c>
      <c r="N1672" s="7">
        <v>41</v>
      </c>
      <c r="O1672" s="4">
        <v>1640</v>
      </c>
      <c r="P1672" s="4">
        <v>1640</v>
      </c>
      <c r="Q1672" s="6">
        <v>0</v>
      </c>
    </row>
    <row r="1673" spans="1:17" x14ac:dyDescent="0.25">
      <c r="A1673" s="2" t="s">
        <v>138</v>
      </c>
      <c r="B1673" s="2" t="s">
        <v>139</v>
      </c>
      <c r="C1673" s="2" t="s">
        <v>140</v>
      </c>
      <c r="D1673" s="2" t="s">
        <v>758</v>
      </c>
      <c r="E1673" s="2" t="s">
        <v>865</v>
      </c>
      <c r="F1673" s="2" t="s">
        <v>864</v>
      </c>
      <c r="G1673" s="3">
        <v>46181</v>
      </c>
      <c r="H1673" s="2" t="s">
        <v>753</v>
      </c>
      <c r="I1673" s="2" t="s">
        <v>755</v>
      </c>
      <c r="J1673" s="2" t="s">
        <v>754</v>
      </c>
      <c r="K1673" s="2" t="s">
        <v>753</v>
      </c>
      <c r="L1673" s="6">
        <v>48</v>
      </c>
      <c r="M1673" s="2" t="s">
        <v>752</v>
      </c>
      <c r="N1673" s="7">
        <v>40.11</v>
      </c>
      <c r="O1673" s="4">
        <v>1925.28</v>
      </c>
      <c r="P1673" s="4">
        <v>1925.28</v>
      </c>
      <c r="Q1673" s="6">
        <v>0</v>
      </c>
    </row>
    <row r="1674" spans="1:17" x14ac:dyDescent="0.25">
      <c r="A1674" s="2" t="s">
        <v>138</v>
      </c>
      <c r="B1674" s="2" t="s">
        <v>139</v>
      </c>
      <c r="C1674" s="2" t="s">
        <v>140</v>
      </c>
      <c r="D1674" s="2" t="s">
        <v>758</v>
      </c>
      <c r="E1674" s="2" t="s">
        <v>922</v>
      </c>
      <c r="F1674" s="2" t="s">
        <v>921</v>
      </c>
      <c r="G1674" s="3">
        <v>46181</v>
      </c>
      <c r="H1674" s="2" t="s">
        <v>753</v>
      </c>
      <c r="I1674" s="2" t="s">
        <v>755</v>
      </c>
      <c r="J1674" s="2" t="s">
        <v>754</v>
      </c>
      <c r="K1674" s="2" t="s">
        <v>753</v>
      </c>
      <c r="L1674" s="6">
        <v>12</v>
      </c>
      <c r="M1674" s="2" t="s">
        <v>752</v>
      </c>
      <c r="N1674" s="7">
        <v>48.57</v>
      </c>
      <c r="O1674" s="4">
        <v>582.84</v>
      </c>
      <c r="P1674" s="4">
        <v>582.84</v>
      </c>
      <c r="Q1674" s="6">
        <v>0</v>
      </c>
    </row>
    <row r="1675" spans="1:17" x14ac:dyDescent="0.25">
      <c r="A1675" s="2" t="s">
        <v>138</v>
      </c>
      <c r="B1675" s="2" t="s">
        <v>139</v>
      </c>
      <c r="C1675" s="2" t="s">
        <v>140</v>
      </c>
      <c r="D1675" s="2" t="s">
        <v>758</v>
      </c>
      <c r="E1675" s="2" t="s">
        <v>827</v>
      </c>
      <c r="F1675" s="2" t="s">
        <v>826</v>
      </c>
      <c r="G1675" s="3">
        <v>46181</v>
      </c>
      <c r="H1675" s="2" t="s">
        <v>753</v>
      </c>
      <c r="I1675" s="2" t="s">
        <v>755</v>
      </c>
      <c r="J1675" s="2" t="s">
        <v>754</v>
      </c>
      <c r="K1675" s="2" t="s">
        <v>753</v>
      </c>
      <c r="L1675" s="6">
        <v>32</v>
      </c>
      <c r="M1675" s="2" t="s">
        <v>752</v>
      </c>
      <c r="N1675" s="7">
        <v>40.85</v>
      </c>
      <c r="O1675" s="4">
        <v>1307.2</v>
      </c>
      <c r="P1675" s="4">
        <v>1307.2</v>
      </c>
      <c r="Q1675" s="6">
        <v>0</v>
      </c>
    </row>
    <row r="1676" spans="1:17" x14ac:dyDescent="0.25">
      <c r="A1676" s="2" t="s">
        <v>138</v>
      </c>
      <c r="B1676" s="2" t="s">
        <v>139</v>
      </c>
      <c r="C1676" s="2" t="s">
        <v>140</v>
      </c>
      <c r="D1676" s="2" t="s">
        <v>758</v>
      </c>
      <c r="E1676" s="2" t="s">
        <v>879</v>
      </c>
      <c r="F1676" s="2" t="s">
        <v>878</v>
      </c>
      <c r="G1676" s="3">
        <v>46181</v>
      </c>
      <c r="H1676" s="2" t="s">
        <v>753</v>
      </c>
      <c r="I1676" s="2" t="s">
        <v>755</v>
      </c>
      <c r="J1676" s="2" t="s">
        <v>754</v>
      </c>
      <c r="K1676" s="2" t="s">
        <v>753</v>
      </c>
      <c r="L1676" s="6">
        <v>116</v>
      </c>
      <c r="M1676" s="2" t="s">
        <v>752</v>
      </c>
      <c r="N1676" s="7">
        <v>40.9</v>
      </c>
      <c r="O1676" s="4">
        <v>4744.3999999999996</v>
      </c>
      <c r="P1676" s="4">
        <v>4744.3999999999996</v>
      </c>
      <c r="Q1676" s="6">
        <v>0</v>
      </c>
    </row>
    <row r="1677" spans="1:17" x14ac:dyDescent="0.25">
      <c r="A1677" s="2" t="s">
        <v>138</v>
      </c>
      <c r="B1677" s="2" t="s">
        <v>139</v>
      </c>
      <c r="C1677" s="2" t="s">
        <v>140</v>
      </c>
      <c r="D1677" s="2" t="s">
        <v>758</v>
      </c>
      <c r="E1677" s="2" t="s">
        <v>847</v>
      </c>
      <c r="F1677" s="2" t="s">
        <v>846</v>
      </c>
      <c r="G1677" s="3">
        <v>46181</v>
      </c>
      <c r="H1677" s="2" t="s">
        <v>753</v>
      </c>
      <c r="I1677" s="2" t="s">
        <v>755</v>
      </c>
      <c r="J1677" s="2" t="s">
        <v>754</v>
      </c>
      <c r="K1677" s="2" t="s">
        <v>753</v>
      </c>
      <c r="L1677" s="6">
        <v>128</v>
      </c>
      <c r="M1677" s="2" t="s">
        <v>752</v>
      </c>
      <c r="N1677" s="7">
        <v>38.08</v>
      </c>
      <c r="O1677" s="4">
        <v>4874.24</v>
      </c>
      <c r="P1677" s="4">
        <v>4874.24</v>
      </c>
      <c r="Q1677" s="6">
        <v>0</v>
      </c>
    </row>
    <row r="1678" spans="1:17" x14ac:dyDescent="0.25">
      <c r="A1678" s="2" t="s">
        <v>138</v>
      </c>
      <c r="B1678" s="2" t="s">
        <v>139</v>
      </c>
      <c r="C1678" s="2" t="s">
        <v>140</v>
      </c>
      <c r="D1678" s="2" t="s">
        <v>758</v>
      </c>
      <c r="E1678" s="2" t="s">
        <v>819</v>
      </c>
      <c r="F1678" s="2" t="s">
        <v>818</v>
      </c>
      <c r="G1678" s="3">
        <v>46181</v>
      </c>
      <c r="H1678" s="2" t="s">
        <v>753</v>
      </c>
      <c r="I1678" s="2" t="s">
        <v>755</v>
      </c>
      <c r="J1678" s="2" t="s">
        <v>754</v>
      </c>
      <c r="K1678" s="2" t="s">
        <v>753</v>
      </c>
      <c r="L1678" s="6">
        <v>56</v>
      </c>
      <c r="M1678" s="2" t="s">
        <v>752</v>
      </c>
      <c r="N1678" s="7">
        <v>40.22</v>
      </c>
      <c r="O1678" s="4">
        <v>2252.3200000000002</v>
      </c>
      <c r="P1678" s="4">
        <v>2252.3200000000002</v>
      </c>
      <c r="Q1678" s="6">
        <v>0</v>
      </c>
    </row>
    <row r="1679" spans="1:17" x14ac:dyDescent="0.25">
      <c r="A1679" s="2" t="s">
        <v>160</v>
      </c>
      <c r="B1679" s="2" t="s">
        <v>15</v>
      </c>
      <c r="C1679" s="2" t="s">
        <v>16</v>
      </c>
      <c r="D1679" s="2" t="s">
        <v>758</v>
      </c>
      <c r="E1679" s="2" t="s">
        <v>763</v>
      </c>
      <c r="F1679" s="2" t="s">
        <v>762</v>
      </c>
      <c r="G1679" s="3">
        <v>46175</v>
      </c>
      <c r="H1679" s="2" t="s">
        <v>770</v>
      </c>
      <c r="I1679" s="2" t="s">
        <v>755</v>
      </c>
      <c r="J1679" s="2" t="s">
        <v>754</v>
      </c>
      <c r="K1679" s="2" t="s">
        <v>753</v>
      </c>
      <c r="L1679" s="6">
        <v>672</v>
      </c>
      <c r="M1679" s="2" t="s">
        <v>752</v>
      </c>
      <c r="N1679" s="7">
        <v>42.6</v>
      </c>
      <c r="O1679" s="4">
        <v>28627.200000000001</v>
      </c>
      <c r="P1679" s="4">
        <v>28627.200000000001</v>
      </c>
      <c r="Q1679" s="6">
        <v>0</v>
      </c>
    </row>
    <row r="1680" spans="1:17" x14ac:dyDescent="0.25">
      <c r="A1680" s="2" t="s">
        <v>160</v>
      </c>
      <c r="B1680" s="2" t="s">
        <v>15</v>
      </c>
      <c r="C1680" s="2" t="s">
        <v>16</v>
      </c>
      <c r="D1680" s="2" t="s">
        <v>758</v>
      </c>
      <c r="E1680" s="2" t="s">
        <v>772</v>
      </c>
      <c r="F1680" s="2" t="s">
        <v>771</v>
      </c>
      <c r="G1680" s="3">
        <v>46175</v>
      </c>
      <c r="H1680" s="2" t="s">
        <v>770</v>
      </c>
      <c r="I1680" s="2" t="s">
        <v>755</v>
      </c>
      <c r="J1680" s="2" t="s">
        <v>754</v>
      </c>
      <c r="K1680" s="2" t="s">
        <v>753</v>
      </c>
      <c r="L1680" s="6">
        <v>168</v>
      </c>
      <c r="M1680" s="2" t="s">
        <v>752</v>
      </c>
      <c r="N1680" s="7">
        <v>34.5</v>
      </c>
      <c r="O1680" s="4">
        <v>5796</v>
      </c>
      <c r="P1680" s="4">
        <v>5796</v>
      </c>
      <c r="Q1680" s="6">
        <v>0</v>
      </c>
    </row>
    <row r="1681" spans="1:17" x14ac:dyDescent="0.25">
      <c r="A1681" s="2" t="s">
        <v>126</v>
      </c>
      <c r="B1681" s="2" t="s">
        <v>81</v>
      </c>
      <c r="C1681" s="2" t="s">
        <v>82</v>
      </c>
      <c r="D1681" s="2" t="s">
        <v>758</v>
      </c>
      <c r="E1681" s="2" t="s">
        <v>763</v>
      </c>
      <c r="F1681" s="2" t="s">
        <v>762</v>
      </c>
      <c r="G1681" s="3">
        <v>46183</v>
      </c>
      <c r="H1681" s="2" t="s">
        <v>753</v>
      </c>
      <c r="I1681" s="2" t="s">
        <v>755</v>
      </c>
      <c r="J1681" s="2" t="s">
        <v>754</v>
      </c>
      <c r="K1681" s="2" t="s">
        <v>753</v>
      </c>
      <c r="L1681" s="6">
        <v>476</v>
      </c>
      <c r="M1681" s="2" t="s">
        <v>752</v>
      </c>
      <c r="N1681" s="7">
        <v>46</v>
      </c>
      <c r="O1681" s="4">
        <v>21896</v>
      </c>
      <c r="P1681" s="4">
        <v>21896</v>
      </c>
      <c r="Q1681" s="6">
        <v>0</v>
      </c>
    </row>
    <row r="1682" spans="1:17" x14ac:dyDescent="0.25">
      <c r="A1682" s="2" t="s">
        <v>126</v>
      </c>
      <c r="B1682" s="2" t="s">
        <v>81</v>
      </c>
      <c r="C1682" s="2" t="s">
        <v>82</v>
      </c>
      <c r="D1682" s="2" t="s">
        <v>758</v>
      </c>
      <c r="E1682" s="2" t="s">
        <v>766</v>
      </c>
      <c r="F1682" s="2" t="s">
        <v>765</v>
      </c>
      <c r="G1682" s="3">
        <v>46183</v>
      </c>
      <c r="H1682" s="2" t="s">
        <v>753</v>
      </c>
      <c r="I1682" s="2" t="s">
        <v>755</v>
      </c>
      <c r="J1682" s="2" t="s">
        <v>754</v>
      </c>
      <c r="K1682" s="2" t="s">
        <v>753</v>
      </c>
      <c r="L1682" s="6">
        <v>49</v>
      </c>
      <c r="M1682" s="2" t="s">
        <v>752</v>
      </c>
      <c r="N1682" s="7">
        <v>40</v>
      </c>
      <c r="O1682" s="4">
        <v>1960</v>
      </c>
      <c r="P1682" s="4">
        <v>1960</v>
      </c>
      <c r="Q1682" s="6">
        <v>0</v>
      </c>
    </row>
    <row r="1683" spans="1:17" x14ac:dyDescent="0.25">
      <c r="A1683" s="2" t="s">
        <v>126</v>
      </c>
      <c r="B1683" s="2" t="s">
        <v>81</v>
      </c>
      <c r="C1683" s="2" t="s">
        <v>82</v>
      </c>
      <c r="D1683" s="2" t="s">
        <v>758</v>
      </c>
      <c r="E1683" s="2" t="s">
        <v>780</v>
      </c>
      <c r="F1683" s="2" t="s">
        <v>779</v>
      </c>
      <c r="G1683" s="3">
        <v>46183</v>
      </c>
      <c r="H1683" s="2" t="s">
        <v>753</v>
      </c>
      <c r="I1683" s="2" t="s">
        <v>755</v>
      </c>
      <c r="J1683" s="2" t="s">
        <v>754</v>
      </c>
      <c r="K1683" s="2" t="s">
        <v>753</v>
      </c>
      <c r="L1683" s="6">
        <v>28</v>
      </c>
      <c r="M1683" s="2" t="s">
        <v>752</v>
      </c>
      <c r="N1683" s="7">
        <v>38</v>
      </c>
      <c r="O1683" s="4">
        <v>1064</v>
      </c>
      <c r="P1683" s="4">
        <v>1064</v>
      </c>
      <c r="Q1683" s="6">
        <v>0</v>
      </c>
    </row>
    <row r="1684" spans="1:17" x14ac:dyDescent="0.25">
      <c r="A1684" s="2" t="s">
        <v>122</v>
      </c>
      <c r="B1684" s="2" t="s">
        <v>123</v>
      </c>
      <c r="C1684" s="2" t="s">
        <v>124</v>
      </c>
      <c r="D1684" s="2" t="s">
        <v>758</v>
      </c>
      <c r="E1684" s="2" t="s">
        <v>817</v>
      </c>
      <c r="F1684" s="2" t="s">
        <v>816</v>
      </c>
      <c r="G1684" s="3">
        <v>46183</v>
      </c>
      <c r="H1684" s="2" t="s">
        <v>753</v>
      </c>
      <c r="I1684" s="2" t="s">
        <v>755</v>
      </c>
      <c r="J1684" s="2" t="s">
        <v>754</v>
      </c>
      <c r="K1684" s="2" t="s">
        <v>753</v>
      </c>
      <c r="L1684" s="6">
        <v>28</v>
      </c>
      <c r="M1684" s="2" t="s">
        <v>752</v>
      </c>
      <c r="N1684" s="7">
        <v>35.75</v>
      </c>
      <c r="O1684" s="4">
        <v>1001</v>
      </c>
      <c r="P1684" s="4">
        <v>1001</v>
      </c>
      <c r="Q1684" s="6">
        <v>0</v>
      </c>
    </row>
    <row r="1685" spans="1:17" x14ac:dyDescent="0.25">
      <c r="A1685" s="2" t="s">
        <v>122</v>
      </c>
      <c r="B1685" s="2" t="s">
        <v>123</v>
      </c>
      <c r="C1685" s="2" t="s">
        <v>124</v>
      </c>
      <c r="D1685" s="2" t="s">
        <v>758</v>
      </c>
      <c r="E1685" s="2" t="s">
        <v>763</v>
      </c>
      <c r="F1685" s="2" t="s">
        <v>762</v>
      </c>
      <c r="G1685" s="3">
        <v>46183</v>
      </c>
      <c r="H1685" s="2" t="s">
        <v>753</v>
      </c>
      <c r="I1685" s="2" t="s">
        <v>755</v>
      </c>
      <c r="J1685" s="2" t="s">
        <v>754</v>
      </c>
      <c r="K1685" s="2" t="s">
        <v>753</v>
      </c>
      <c r="L1685" s="6">
        <v>56</v>
      </c>
      <c r="M1685" s="2" t="s">
        <v>752</v>
      </c>
      <c r="N1685" s="7">
        <v>50.6</v>
      </c>
      <c r="O1685" s="4">
        <v>2833.6</v>
      </c>
      <c r="P1685" s="4">
        <v>2833.6</v>
      </c>
      <c r="Q1685" s="6">
        <v>0</v>
      </c>
    </row>
    <row r="1686" spans="1:17" x14ac:dyDescent="0.25">
      <c r="A1686" s="2" t="s">
        <v>122</v>
      </c>
      <c r="B1686" s="2" t="s">
        <v>123</v>
      </c>
      <c r="C1686" s="2" t="s">
        <v>124</v>
      </c>
      <c r="D1686" s="2" t="s">
        <v>758</v>
      </c>
      <c r="E1686" s="2" t="s">
        <v>920</v>
      </c>
      <c r="F1686" s="2" t="s">
        <v>919</v>
      </c>
      <c r="G1686" s="3">
        <v>46183</v>
      </c>
      <c r="H1686" s="2" t="s">
        <v>753</v>
      </c>
      <c r="I1686" s="2" t="s">
        <v>755</v>
      </c>
      <c r="J1686" s="2" t="s">
        <v>754</v>
      </c>
      <c r="K1686" s="2" t="s">
        <v>753</v>
      </c>
      <c r="L1686" s="6">
        <v>196</v>
      </c>
      <c r="M1686" s="2" t="s">
        <v>752</v>
      </c>
      <c r="N1686" s="7">
        <v>35</v>
      </c>
      <c r="O1686" s="4">
        <v>6860</v>
      </c>
      <c r="P1686" s="4">
        <v>6860</v>
      </c>
      <c r="Q1686" s="6">
        <v>0</v>
      </c>
    </row>
    <row r="1687" spans="1:17" x14ac:dyDescent="0.25">
      <c r="A1687" s="2" t="s">
        <v>132</v>
      </c>
      <c r="B1687" s="2" t="s">
        <v>45</v>
      </c>
      <c r="C1687" s="2" t="s">
        <v>46</v>
      </c>
      <c r="D1687" s="2" t="s">
        <v>758</v>
      </c>
      <c r="E1687" s="2" t="s">
        <v>859</v>
      </c>
      <c r="F1687" s="2" t="s">
        <v>858</v>
      </c>
      <c r="G1687" s="3">
        <v>46182</v>
      </c>
      <c r="H1687" s="2" t="s">
        <v>753</v>
      </c>
      <c r="I1687" s="2" t="s">
        <v>755</v>
      </c>
      <c r="J1687" s="2" t="s">
        <v>754</v>
      </c>
      <c r="K1687" s="2" t="s">
        <v>753</v>
      </c>
      <c r="L1687" s="6">
        <v>136</v>
      </c>
      <c r="M1687" s="2" t="s">
        <v>752</v>
      </c>
      <c r="N1687" s="7">
        <v>33.42</v>
      </c>
      <c r="O1687" s="4">
        <v>4545.12</v>
      </c>
      <c r="P1687" s="4">
        <v>4545.12</v>
      </c>
      <c r="Q1687" s="6">
        <v>0</v>
      </c>
    </row>
    <row r="1688" spans="1:17" x14ac:dyDescent="0.25">
      <c r="A1688" s="2" t="s">
        <v>130</v>
      </c>
      <c r="B1688" s="2" t="s">
        <v>99</v>
      </c>
      <c r="C1688" s="2" t="s">
        <v>100</v>
      </c>
      <c r="D1688" s="2" t="s">
        <v>758</v>
      </c>
      <c r="E1688" s="2" t="s">
        <v>763</v>
      </c>
      <c r="F1688" s="2" t="s">
        <v>762</v>
      </c>
      <c r="G1688" s="3">
        <v>46182</v>
      </c>
      <c r="H1688" s="2" t="s">
        <v>770</v>
      </c>
      <c r="I1688" s="2" t="s">
        <v>755</v>
      </c>
      <c r="J1688" s="2" t="s">
        <v>754</v>
      </c>
      <c r="K1688" s="2" t="s">
        <v>753</v>
      </c>
      <c r="L1688" s="6">
        <v>512</v>
      </c>
      <c r="M1688" s="2" t="s">
        <v>752</v>
      </c>
      <c r="N1688" s="7">
        <v>36.82</v>
      </c>
      <c r="O1688" s="4">
        <v>18851.84</v>
      </c>
      <c r="P1688" s="4">
        <v>18851.84</v>
      </c>
      <c r="Q1688" s="6">
        <v>0</v>
      </c>
    </row>
    <row r="1689" spans="1:17" x14ac:dyDescent="0.25">
      <c r="A1689" s="2" t="s">
        <v>130</v>
      </c>
      <c r="B1689" s="2" t="s">
        <v>99</v>
      </c>
      <c r="C1689" s="2" t="s">
        <v>100</v>
      </c>
      <c r="D1689" s="2" t="s">
        <v>758</v>
      </c>
      <c r="E1689" s="2" t="s">
        <v>861</v>
      </c>
      <c r="F1689" s="2" t="s">
        <v>860</v>
      </c>
      <c r="G1689" s="3">
        <v>46182</v>
      </c>
      <c r="H1689" s="2" t="s">
        <v>770</v>
      </c>
      <c r="I1689" s="2" t="s">
        <v>755</v>
      </c>
      <c r="J1689" s="2" t="s">
        <v>754</v>
      </c>
      <c r="K1689" s="2" t="s">
        <v>753</v>
      </c>
      <c r="L1689" s="6">
        <v>328</v>
      </c>
      <c r="M1689" s="2" t="s">
        <v>752</v>
      </c>
      <c r="N1689" s="7">
        <v>39.700000000000003</v>
      </c>
      <c r="O1689" s="4">
        <v>13021.6</v>
      </c>
      <c r="P1689" s="4">
        <v>13021.6</v>
      </c>
      <c r="Q1689" s="6">
        <v>0</v>
      </c>
    </row>
    <row r="1690" spans="1:17" x14ac:dyDescent="0.25">
      <c r="A1690" s="2" t="s">
        <v>94</v>
      </c>
      <c r="B1690" s="2" t="s">
        <v>95</v>
      </c>
      <c r="C1690" s="2" t="s">
        <v>96</v>
      </c>
      <c r="D1690" s="2" t="s">
        <v>758</v>
      </c>
      <c r="E1690" s="2" t="s">
        <v>871</v>
      </c>
      <c r="F1690" s="2" t="s">
        <v>870</v>
      </c>
      <c r="G1690" s="3">
        <v>46188</v>
      </c>
      <c r="H1690" s="2" t="s">
        <v>753</v>
      </c>
      <c r="I1690" s="2" t="s">
        <v>755</v>
      </c>
      <c r="J1690" s="2" t="s">
        <v>754</v>
      </c>
      <c r="K1690" s="2" t="s">
        <v>753</v>
      </c>
      <c r="L1690" s="6">
        <v>600</v>
      </c>
      <c r="M1690" s="2" t="s">
        <v>752</v>
      </c>
      <c r="N1690" s="7">
        <v>41.66</v>
      </c>
      <c r="O1690" s="4">
        <v>24996</v>
      </c>
      <c r="P1690" s="4">
        <v>24996</v>
      </c>
      <c r="Q1690" s="6">
        <v>0</v>
      </c>
    </row>
    <row r="1691" spans="1:17" x14ac:dyDescent="0.25">
      <c r="A1691" s="2" t="s">
        <v>94</v>
      </c>
      <c r="B1691" s="2" t="s">
        <v>95</v>
      </c>
      <c r="C1691" s="2" t="s">
        <v>96</v>
      </c>
      <c r="D1691" s="2" t="s">
        <v>758</v>
      </c>
      <c r="E1691" s="2" t="s">
        <v>918</v>
      </c>
      <c r="F1691" s="2" t="s">
        <v>917</v>
      </c>
      <c r="G1691" s="3">
        <v>46188</v>
      </c>
      <c r="H1691" s="2" t="s">
        <v>753</v>
      </c>
      <c r="I1691" s="2" t="s">
        <v>755</v>
      </c>
      <c r="J1691" s="2" t="s">
        <v>754</v>
      </c>
      <c r="K1691" s="2" t="s">
        <v>753</v>
      </c>
      <c r="L1691" s="6">
        <v>32</v>
      </c>
      <c r="M1691" s="2" t="s">
        <v>752</v>
      </c>
      <c r="N1691" s="7">
        <v>42.53</v>
      </c>
      <c r="O1691" s="4">
        <v>1360.96</v>
      </c>
      <c r="P1691" s="4">
        <v>1360.96</v>
      </c>
      <c r="Q1691" s="6">
        <v>0</v>
      </c>
    </row>
    <row r="1692" spans="1:17" x14ac:dyDescent="0.25">
      <c r="A1692" s="2" t="s">
        <v>94</v>
      </c>
      <c r="B1692" s="2" t="s">
        <v>95</v>
      </c>
      <c r="C1692" s="2" t="s">
        <v>96</v>
      </c>
      <c r="D1692" s="2" t="s">
        <v>758</v>
      </c>
      <c r="E1692" s="2" t="s">
        <v>778</v>
      </c>
      <c r="F1692" s="2" t="s">
        <v>777</v>
      </c>
      <c r="G1692" s="3">
        <v>46188</v>
      </c>
      <c r="H1692" s="2" t="s">
        <v>753</v>
      </c>
      <c r="I1692" s="2" t="s">
        <v>755</v>
      </c>
      <c r="J1692" s="2" t="s">
        <v>754</v>
      </c>
      <c r="K1692" s="2" t="s">
        <v>753</v>
      </c>
      <c r="L1692" s="6">
        <v>32</v>
      </c>
      <c r="M1692" s="2" t="s">
        <v>752</v>
      </c>
      <c r="N1692" s="7">
        <v>39.96</v>
      </c>
      <c r="O1692" s="4">
        <v>1278.72</v>
      </c>
      <c r="P1692" s="4">
        <v>1278.72</v>
      </c>
      <c r="Q1692" s="6">
        <v>0</v>
      </c>
    </row>
    <row r="1693" spans="1:17" x14ac:dyDescent="0.25">
      <c r="A1693" s="2" t="s">
        <v>94</v>
      </c>
      <c r="B1693" s="2" t="s">
        <v>95</v>
      </c>
      <c r="C1693" s="2" t="s">
        <v>96</v>
      </c>
      <c r="D1693" s="2" t="s">
        <v>758</v>
      </c>
      <c r="E1693" s="2" t="s">
        <v>894</v>
      </c>
      <c r="F1693" s="2" t="s">
        <v>893</v>
      </c>
      <c r="G1693" s="3">
        <v>46188</v>
      </c>
      <c r="H1693" s="2" t="s">
        <v>753</v>
      </c>
      <c r="I1693" s="2" t="s">
        <v>755</v>
      </c>
      <c r="J1693" s="2" t="s">
        <v>754</v>
      </c>
      <c r="K1693" s="2" t="s">
        <v>753</v>
      </c>
      <c r="L1693" s="6">
        <v>64</v>
      </c>
      <c r="M1693" s="2" t="s">
        <v>752</v>
      </c>
      <c r="N1693" s="7">
        <v>33.5</v>
      </c>
      <c r="O1693" s="4">
        <v>2144</v>
      </c>
      <c r="P1693" s="4">
        <v>2144</v>
      </c>
      <c r="Q1693" s="6">
        <v>0</v>
      </c>
    </row>
    <row r="1694" spans="1:17" x14ac:dyDescent="0.25">
      <c r="A1694" s="2" t="s">
        <v>118</v>
      </c>
      <c r="B1694" s="2" t="s">
        <v>119</v>
      </c>
      <c r="C1694" s="2" t="s">
        <v>120</v>
      </c>
      <c r="D1694" s="2" t="s">
        <v>758</v>
      </c>
      <c r="E1694" s="2" t="s">
        <v>763</v>
      </c>
      <c r="F1694" s="2" t="s">
        <v>762</v>
      </c>
      <c r="G1694" s="3">
        <v>46183</v>
      </c>
      <c r="H1694" s="2" t="s">
        <v>753</v>
      </c>
      <c r="I1694" s="2" t="s">
        <v>755</v>
      </c>
      <c r="J1694" s="2" t="s">
        <v>754</v>
      </c>
      <c r="K1694" s="2" t="s">
        <v>753</v>
      </c>
      <c r="L1694" s="6">
        <v>12</v>
      </c>
      <c r="M1694" s="2" t="s">
        <v>752</v>
      </c>
      <c r="N1694" s="7">
        <v>44</v>
      </c>
      <c r="O1694" s="4">
        <v>528</v>
      </c>
      <c r="P1694" s="4">
        <v>528</v>
      </c>
      <c r="Q1694" s="6">
        <v>0</v>
      </c>
    </row>
    <row r="1695" spans="1:17" x14ac:dyDescent="0.25">
      <c r="A1695" s="2" t="s">
        <v>118</v>
      </c>
      <c r="B1695" s="2" t="s">
        <v>119</v>
      </c>
      <c r="C1695" s="2" t="s">
        <v>120</v>
      </c>
      <c r="D1695" s="2" t="s">
        <v>758</v>
      </c>
      <c r="E1695" s="2" t="s">
        <v>757</v>
      </c>
      <c r="F1695" s="2" t="s">
        <v>756</v>
      </c>
      <c r="G1695" s="3">
        <v>46183</v>
      </c>
      <c r="H1695" s="2" t="s">
        <v>753</v>
      </c>
      <c r="I1695" s="2" t="s">
        <v>755</v>
      </c>
      <c r="J1695" s="2" t="s">
        <v>754</v>
      </c>
      <c r="K1695" s="2" t="s">
        <v>753</v>
      </c>
      <c r="L1695" s="6">
        <v>4</v>
      </c>
      <c r="M1695" s="2" t="s">
        <v>752</v>
      </c>
      <c r="N1695" s="7">
        <v>42.11</v>
      </c>
      <c r="O1695" s="4">
        <v>168.44</v>
      </c>
      <c r="P1695" s="4">
        <v>168.44</v>
      </c>
      <c r="Q1695" s="6">
        <v>0</v>
      </c>
    </row>
    <row r="1696" spans="1:17" x14ac:dyDescent="0.25">
      <c r="A1696" s="2" t="s">
        <v>118</v>
      </c>
      <c r="B1696" s="2" t="s">
        <v>119</v>
      </c>
      <c r="C1696" s="2" t="s">
        <v>120</v>
      </c>
      <c r="D1696" s="2" t="s">
        <v>758</v>
      </c>
      <c r="E1696" s="2" t="s">
        <v>847</v>
      </c>
      <c r="F1696" s="2" t="s">
        <v>846</v>
      </c>
      <c r="G1696" s="3">
        <v>46183</v>
      </c>
      <c r="H1696" s="2" t="s">
        <v>753</v>
      </c>
      <c r="I1696" s="2" t="s">
        <v>755</v>
      </c>
      <c r="J1696" s="2" t="s">
        <v>754</v>
      </c>
      <c r="K1696" s="2" t="s">
        <v>753</v>
      </c>
      <c r="L1696" s="6">
        <v>84</v>
      </c>
      <c r="M1696" s="2" t="s">
        <v>752</v>
      </c>
      <c r="N1696" s="7">
        <v>38.75</v>
      </c>
      <c r="O1696" s="4">
        <v>3255</v>
      </c>
      <c r="P1696" s="4">
        <v>3255</v>
      </c>
      <c r="Q1696" s="6">
        <v>0</v>
      </c>
    </row>
    <row r="1697" spans="1:17" x14ac:dyDescent="0.25">
      <c r="A1697" s="2" t="s">
        <v>118</v>
      </c>
      <c r="B1697" s="2" t="s">
        <v>119</v>
      </c>
      <c r="C1697" s="2" t="s">
        <v>120</v>
      </c>
      <c r="D1697" s="2" t="s">
        <v>758</v>
      </c>
      <c r="E1697" s="2" t="s">
        <v>916</v>
      </c>
      <c r="F1697" s="2" t="s">
        <v>915</v>
      </c>
      <c r="G1697" s="3">
        <v>46183</v>
      </c>
      <c r="H1697" s="2" t="s">
        <v>753</v>
      </c>
      <c r="I1697" s="2" t="s">
        <v>755</v>
      </c>
      <c r="J1697" s="2" t="s">
        <v>754</v>
      </c>
      <c r="K1697" s="2" t="s">
        <v>753</v>
      </c>
      <c r="L1697" s="6">
        <v>16</v>
      </c>
      <c r="M1697" s="2" t="s">
        <v>752</v>
      </c>
      <c r="N1697" s="7">
        <v>40.78</v>
      </c>
      <c r="O1697" s="4">
        <v>652.48</v>
      </c>
      <c r="P1697" s="4">
        <v>652.48</v>
      </c>
      <c r="Q1697" s="6">
        <v>0</v>
      </c>
    </row>
    <row r="1698" spans="1:17" x14ac:dyDescent="0.25">
      <c r="A1698" s="2" t="s">
        <v>118</v>
      </c>
      <c r="B1698" s="2" t="s">
        <v>119</v>
      </c>
      <c r="C1698" s="2" t="s">
        <v>120</v>
      </c>
      <c r="D1698" s="2" t="s">
        <v>758</v>
      </c>
      <c r="E1698" s="2" t="s">
        <v>807</v>
      </c>
      <c r="F1698" s="2" t="s">
        <v>806</v>
      </c>
      <c r="G1698" s="3">
        <v>46183</v>
      </c>
      <c r="H1698" s="2" t="s">
        <v>753</v>
      </c>
      <c r="I1698" s="2" t="s">
        <v>755</v>
      </c>
      <c r="J1698" s="2" t="s">
        <v>754</v>
      </c>
      <c r="K1698" s="2" t="s">
        <v>753</v>
      </c>
      <c r="L1698" s="6">
        <v>16</v>
      </c>
      <c r="M1698" s="2" t="s">
        <v>752</v>
      </c>
      <c r="N1698" s="7">
        <v>44.65</v>
      </c>
      <c r="O1698" s="4">
        <v>714.4</v>
      </c>
      <c r="P1698" s="4">
        <v>714.4</v>
      </c>
      <c r="Q1698" s="6">
        <v>0</v>
      </c>
    </row>
    <row r="1699" spans="1:17" x14ac:dyDescent="0.25">
      <c r="A1699" s="2" t="s">
        <v>118</v>
      </c>
      <c r="B1699" s="2" t="s">
        <v>119</v>
      </c>
      <c r="C1699" s="2" t="s">
        <v>120</v>
      </c>
      <c r="D1699" s="2" t="s">
        <v>758</v>
      </c>
      <c r="E1699" s="2" t="s">
        <v>845</v>
      </c>
      <c r="F1699" s="2" t="s">
        <v>844</v>
      </c>
      <c r="G1699" s="3">
        <v>46183</v>
      </c>
      <c r="H1699" s="2" t="s">
        <v>753</v>
      </c>
      <c r="I1699" s="2" t="s">
        <v>755</v>
      </c>
      <c r="J1699" s="2" t="s">
        <v>754</v>
      </c>
      <c r="K1699" s="2" t="s">
        <v>753</v>
      </c>
      <c r="L1699" s="6">
        <v>24</v>
      </c>
      <c r="M1699" s="2" t="s">
        <v>752</v>
      </c>
      <c r="N1699" s="7">
        <v>40.619999999999997</v>
      </c>
      <c r="O1699" s="4">
        <v>974.88</v>
      </c>
      <c r="P1699" s="4">
        <v>974.88</v>
      </c>
      <c r="Q1699" s="6">
        <v>0</v>
      </c>
    </row>
    <row r="1700" spans="1:17" x14ac:dyDescent="0.25">
      <c r="A1700" s="2" t="s">
        <v>118</v>
      </c>
      <c r="B1700" s="2" t="s">
        <v>119</v>
      </c>
      <c r="C1700" s="2" t="s">
        <v>120</v>
      </c>
      <c r="D1700" s="2" t="s">
        <v>758</v>
      </c>
      <c r="E1700" s="2" t="s">
        <v>914</v>
      </c>
      <c r="F1700" s="2" t="s">
        <v>913</v>
      </c>
      <c r="G1700" s="3">
        <v>46183</v>
      </c>
      <c r="H1700" s="2" t="s">
        <v>753</v>
      </c>
      <c r="I1700" s="2" t="s">
        <v>755</v>
      </c>
      <c r="J1700" s="2" t="s">
        <v>754</v>
      </c>
      <c r="K1700" s="2" t="s">
        <v>753</v>
      </c>
      <c r="L1700" s="6">
        <v>8</v>
      </c>
      <c r="M1700" s="2" t="s">
        <v>752</v>
      </c>
      <c r="N1700" s="7">
        <v>41.6</v>
      </c>
      <c r="O1700" s="4">
        <v>332.8</v>
      </c>
      <c r="P1700" s="4">
        <v>332.8</v>
      </c>
      <c r="Q1700" s="6">
        <v>0</v>
      </c>
    </row>
    <row r="1701" spans="1:17" x14ac:dyDescent="0.25">
      <c r="A1701" s="2" t="s">
        <v>118</v>
      </c>
      <c r="B1701" s="2" t="s">
        <v>119</v>
      </c>
      <c r="C1701" s="2" t="s">
        <v>120</v>
      </c>
      <c r="D1701" s="2" t="s">
        <v>758</v>
      </c>
      <c r="E1701" s="2" t="s">
        <v>786</v>
      </c>
      <c r="F1701" s="2" t="s">
        <v>785</v>
      </c>
      <c r="G1701" s="3">
        <v>46183</v>
      </c>
      <c r="H1701" s="2" t="s">
        <v>753</v>
      </c>
      <c r="I1701" s="2" t="s">
        <v>755</v>
      </c>
      <c r="J1701" s="2" t="s">
        <v>754</v>
      </c>
      <c r="K1701" s="2" t="s">
        <v>753</v>
      </c>
      <c r="L1701" s="6">
        <v>72</v>
      </c>
      <c r="M1701" s="2" t="s">
        <v>752</v>
      </c>
      <c r="N1701" s="7">
        <v>35</v>
      </c>
      <c r="O1701" s="4">
        <v>2520</v>
      </c>
      <c r="P1701" s="4">
        <v>2520</v>
      </c>
      <c r="Q1701" s="6">
        <v>0</v>
      </c>
    </row>
    <row r="1702" spans="1:17" x14ac:dyDescent="0.25">
      <c r="A1702" s="2" t="s">
        <v>118</v>
      </c>
      <c r="B1702" s="2" t="s">
        <v>119</v>
      </c>
      <c r="C1702" s="2" t="s">
        <v>120</v>
      </c>
      <c r="D1702" s="2" t="s">
        <v>758</v>
      </c>
      <c r="E1702" s="2" t="s">
        <v>813</v>
      </c>
      <c r="F1702" s="2" t="s">
        <v>812</v>
      </c>
      <c r="G1702" s="3">
        <v>46183</v>
      </c>
      <c r="H1702" s="2" t="s">
        <v>753</v>
      </c>
      <c r="I1702" s="2" t="s">
        <v>755</v>
      </c>
      <c r="J1702" s="2" t="s">
        <v>754</v>
      </c>
      <c r="K1702" s="2" t="s">
        <v>753</v>
      </c>
      <c r="L1702" s="6">
        <v>16</v>
      </c>
      <c r="M1702" s="2" t="s">
        <v>752</v>
      </c>
      <c r="N1702" s="7">
        <v>53</v>
      </c>
      <c r="O1702" s="4">
        <v>848</v>
      </c>
      <c r="P1702" s="4">
        <v>848</v>
      </c>
      <c r="Q1702" s="6">
        <v>0</v>
      </c>
    </row>
    <row r="1703" spans="1:17" x14ac:dyDescent="0.25">
      <c r="A1703" s="2" t="s">
        <v>118</v>
      </c>
      <c r="B1703" s="2" t="s">
        <v>119</v>
      </c>
      <c r="C1703" s="2" t="s">
        <v>120</v>
      </c>
      <c r="D1703" s="2" t="s">
        <v>758</v>
      </c>
      <c r="E1703" s="2" t="s">
        <v>776</v>
      </c>
      <c r="F1703" s="2" t="s">
        <v>775</v>
      </c>
      <c r="G1703" s="3">
        <v>46183</v>
      </c>
      <c r="H1703" s="2" t="s">
        <v>753</v>
      </c>
      <c r="I1703" s="2" t="s">
        <v>755</v>
      </c>
      <c r="J1703" s="2" t="s">
        <v>754</v>
      </c>
      <c r="K1703" s="2" t="s">
        <v>753</v>
      </c>
      <c r="L1703" s="6">
        <v>48</v>
      </c>
      <c r="M1703" s="2" t="s">
        <v>752</v>
      </c>
      <c r="N1703" s="7">
        <v>43.82</v>
      </c>
      <c r="O1703" s="4">
        <v>2103.36</v>
      </c>
      <c r="P1703" s="4">
        <v>2103.36</v>
      </c>
      <c r="Q1703" s="6">
        <v>0</v>
      </c>
    </row>
    <row r="1704" spans="1:17" x14ac:dyDescent="0.25">
      <c r="A1704" s="2" t="s">
        <v>118</v>
      </c>
      <c r="B1704" s="2" t="s">
        <v>119</v>
      </c>
      <c r="C1704" s="2" t="s">
        <v>120</v>
      </c>
      <c r="D1704" s="2" t="s">
        <v>758</v>
      </c>
      <c r="E1704" s="2" t="s">
        <v>912</v>
      </c>
      <c r="F1704" s="2" t="s">
        <v>911</v>
      </c>
      <c r="G1704" s="3">
        <v>46183</v>
      </c>
      <c r="H1704" s="2" t="s">
        <v>753</v>
      </c>
      <c r="I1704" s="2" t="s">
        <v>755</v>
      </c>
      <c r="J1704" s="2" t="s">
        <v>754</v>
      </c>
      <c r="K1704" s="2" t="s">
        <v>753</v>
      </c>
      <c r="L1704" s="6">
        <v>16</v>
      </c>
      <c r="M1704" s="2" t="s">
        <v>752</v>
      </c>
      <c r="N1704" s="7">
        <v>55.13</v>
      </c>
      <c r="O1704" s="4">
        <v>882.08</v>
      </c>
      <c r="P1704" s="4">
        <v>882.08</v>
      </c>
      <c r="Q1704" s="6">
        <v>0</v>
      </c>
    </row>
    <row r="1705" spans="1:17" x14ac:dyDescent="0.25">
      <c r="A1705" s="2" t="s">
        <v>86</v>
      </c>
      <c r="B1705" s="2" t="s">
        <v>87</v>
      </c>
      <c r="C1705" s="2" t="s">
        <v>88</v>
      </c>
      <c r="D1705" s="2" t="s">
        <v>758</v>
      </c>
      <c r="E1705" s="2" t="s">
        <v>786</v>
      </c>
      <c r="F1705" s="2" t="s">
        <v>785</v>
      </c>
      <c r="G1705" s="3">
        <v>46189</v>
      </c>
      <c r="H1705" s="2" t="s">
        <v>753</v>
      </c>
      <c r="I1705" s="2" t="s">
        <v>755</v>
      </c>
      <c r="J1705" s="2" t="s">
        <v>754</v>
      </c>
      <c r="K1705" s="2" t="s">
        <v>753</v>
      </c>
      <c r="L1705" s="6">
        <v>28</v>
      </c>
      <c r="M1705" s="2" t="s">
        <v>752</v>
      </c>
      <c r="N1705" s="7">
        <v>35</v>
      </c>
      <c r="O1705" s="4">
        <v>980</v>
      </c>
      <c r="P1705" s="4">
        <v>980</v>
      </c>
      <c r="Q1705" s="6">
        <v>0</v>
      </c>
    </row>
    <row r="1706" spans="1:17" x14ac:dyDescent="0.25">
      <c r="A1706" s="2" t="s">
        <v>86</v>
      </c>
      <c r="B1706" s="2" t="s">
        <v>87</v>
      </c>
      <c r="C1706" s="2" t="s">
        <v>88</v>
      </c>
      <c r="D1706" s="2" t="s">
        <v>758</v>
      </c>
      <c r="E1706" s="2" t="s">
        <v>845</v>
      </c>
      <c r="F1706" s="2" t="s">
        <v>844</v>
      </c>
      <c r="G1706" s="3">
        <v>46189</v>
      </c>
      <c r="H1706" s="2" t="s">
        <v>753</v>
      </c>
      <c r="I1706" s="2" t="s">
        <v>755</v>
      </c>
      <c r="J1706" s="2" t="s">
        <v>754</v>
      </c>
      <c r="K1706" s="2" t="s">
        <v>753</v>
      </c>
      <c r="L1706" s="6">
        <v>48</v>
      </c>
      <c r="M1706" s="2" t="s">
        <v>752</v>
      </c>
      <c r="N1706" s="7">
        <v>40.119999999999997</v>
      </c>
      <c r="O1706" s="4">
        <v>1925.76</v>
      </c>
      <c r="P1706" s="4">
        <v>1925.76</v>
      </c>
      <c r="Q1706" s="6">
        <v>0</v>
      </c>
    </row>
    <row r="1707" spans="1:17" x14ac:dyDescent="0.25">
      <c r="A1707" s="2" t="s">
        <v>86</v>
      </c>
      <c r="B1707" s="2" t="s">
        <v>87</v>
      </c>
      <c r="C1707" s="2" t="s">
        <v>88</v>
      </c>
      <c r="D1707" s="2" t="s">
        <v>758</v>
      </c>
      <c r="E1707" s="2" t="s">
        <v>910</v>
      </c>
      <c r="F1707" s="2" t="s">
        <v>909</v>
      </c>
      <c r="G1707" s="3">
        <v>46189</v>
      </c>
      <c r="H1707" s="2" t="s">
        <v>753</v>
      </c>
      <c r="I1707" s="2" t="s">
        <v>755</v>
      </c>
      <c r="J1707" s="2" t="s">
        <v>754</v>
      </c>
      <c r="K1707" s="2" t="s">
        <v>753</v>
      </c>
      <c r="L1707" s="6">
        <v>12</v>
      </c>
      <c r="M1707" s="2" t="s">
        <v>752</v>
      </c>
      <c r="N1707" s="7">
        <v>42.03</v>
      </c>
      <c r="O1707" s="4">
        <v>504.36</v>
      </c>
      <c r="P1707" s="4">
        <v>504.36</v>
      </c>
      <c r="Q1707" s="6">
        <v>0</v>
      </c>
    </row>
    <row r="1708" spans="1:17" x14ac:dyDescent="0.25">
      <c r="A1708" s="2" t="s">
        <v>86</v>
      </c>
      <c r="B1708" s="2" t="s">
        <v>87</v>
      </c>
      <c r="C1708" s="2" t="s">
        <v>88</v>
      </c>
      <c r="D1708" s="2" t="s">
        <v>758</v>
      </c>
      <c r="E1708" s="2" t="s">
        <v>908</v>
      </c>
      <c r="F1708" s="2" t="s">
        <v>907</v>
      </c>
      <c r="G1708" s="3">
        <v>46189</v>
      </c>
      <c r="H1708" s="2" t="s">
        <v>753</v>
      </c>
      <c r="I1708" s="2" t="s">
        <v>755</v>
      </c>
      <c r="J1708" s="2" t="s">
        <v>754</v>
      </c>
      <c r="K1708" s="2" t="s">
        <v>753</v>
      </c>
      <c r="L1708" s="6">
        <v>140</v>
      </c>
      <c r="M1708" s="2" t="s">
        <v>752</v>
      </c>
      <c r="N1708" s="7">
        <v>39</v>
      </c>
      <c r="O1708" s="4">
        <v>5460</v>
      </c>
      <c r="P1708" s="4">
        <v>5460</v>
      </c>
      <c r="Q1708" s="6">
        <v>0</v>
      </c>
    </row>
    <row r="1709" spans="1:17" x14ac:dyDescent="0.25">
      <c r="A1709" s="2" t="s">
        <v>86</v>
      </c>
      <c r="B1709" s="2" t="s">
        <v>87</v>
      </c>
      <c r="C1709" s="2" t="s">
        <v>88</v>
      </c>
      <c r="D1709" s="2" t="s">
        <v>758</v>
      </c>
      <c r="E1709" s="2" t="s">
        <v>815</v>
      </c>
      <c r="F1709" s="2" t="s">
        <v>814</v>
      </c>
      <c r="G1709" s="3">
        <v>46189</v>
      </c>
      <c r="H1709" s="2" t="s">
        <v>753</v>
      </c>
      <c r="I1709" s="2" t="s">
        <v>755</v>
      </c>
      <c r="J1709" s="2" t="s">
        <v>754</v>
      </c>
      <c r="K1709" s="2" t="s">
        <v>753</v>
      </c>
      <c r="L1709" s="6">
        <v>56</v>
      </c>
      <c r="M1709" s="2" t="s">
        <v>752</v>
      </c>
      <c r="N1709" s="7">
        <v>36.24</v>
      </c>
      <c r="O1709" s="4">
        <v>2029.44</v>
      </c>
      <c r="P1709" s="4">
        <v>2029.44</v>
      </c>
      <c r="Q1709" s="6">
        <v>0</v>
      </c>
    </row>
    <row r="1710" spans="1:17" x14ac:dyDescent="0.25">
      <c r="A1710" s="2" t="s">
        <v>86</v>
      </c>
      <c r="B1710" s="2" t="s">
        <v>87</v>
      </c>
      <c r="C1710" s="2" t="s">
        <v>88</v>
      </c>
      <c r="D1710" s="2" t="s">
        <v>758</v>
      </c>
      <c r="E1710" s="2" t="s">
        <v>757</v>
      </c>
      <c r="F1710" s="2" t="s">
        <v>756</v>
      </c>
      <c r="G1710" s="3">
        <v>46189</v>
      </c>
      <c r="H1710" s="2" t="s">
        <v>753</v>
      </c>
      <c r="I1710" s="2" t="s">
        <v>755</v>
      </c>
      <c r="J1710" s="2" t="s">
        <v>754</v>
      </c>
      <c r="K1710" s="2" t="s">
        <v>753</v>
      </c>
      <c r="L1710" s="6">
        <v>28</v>
      </c>
      <c r="M1710" s="2" t="s">
        <v>752</v>
      </c>
      <c r="N1710" s="7">
        <v>41.5</v>
      </c>
      <c r="O1710" s="4">
        <v>1162</v>
      </c>
      <c r="P1710" s="4">
        <v>1162</v>
      </c>
      <c r="Q1710" s="6">
        <v>0</v>
      </c>
    </row>
    <row r="1711" spans="1:17" x14ac:dyDescent="0.25">
      <c r="A1711" s="2" t="s">
        <v>86</v>
      </c>
      <c r="B1711" s="2" t="s">
        <v>87</v>
      </c>
      <c r="C1711" s="2" t="s">
        <v>88</v>
      </c>
      <c r="D1711" s="2" t="s">
        <v>758</v>
      </c>
      <c r="E1711" s="2" t="s">
        <v>906</v>
      </c>
      <c r="F1711" s="2" t="s">
        <v>905</v>
      </c>
      <c r="G1711" s="3">
        <v>46189</v>
      </c>
      <c r="H1711" s="2" t="s">
        <v>753</v>
      </c>
      <c r="I1711" s="2" t="s">
        <v>755</v>
      </c>
      <c r="J1711" s="2" t="s">
        <v>754</v>
      </c>
      <c r="K1711" s="2" t="s">
        <v>753</v>
      </c>
      <c r="L1711" s="6">
        <v>28</v>
      </c>
      <c r="M1711" s="2" t="s">
        <v>752</v>
      </c>
      <c r="N1711" s="7">
        <v>35.21</v>
      </c>
      <c r="O1711" s="4">
        <v>985.88</v>
      </c>
      <c r="P1711" s="4">
        <v>985.88</v>
      </c>
      <c r="Q1711" s="6">
        <v>0</v>
      </c>
    </row>
    <row r="1712" spans="1:17" x14ac:dyDescent="0.25">
      <c r="A1712" s="2" t="s">
        <v>86</v>
      </c>
      <c r="B1712" s="2" t="s">
        <v>87</v>
      </c>
      <c r="C1712" s="2" t="s">
        <v>88</v>
      </c>
      <c r="D1712" s="2" t="s">
        <v>758</v>
      </c>
      <c r="E1712" s="2" t="s">
        <v>763</v>
      </c>
      <c r="F1712" s="2" t="s">
        <v>762</v>
      </c>
      <c r="G1712" s="3">
        <v>46189</v>
      </c>
      <c r="H1712" s="2" t="s">
        <v>753</v>
      </c>
      <c r="I1712" s="2" t="s">
        <v>755</v>
      </c>
      <c r="J1712" s="2" t="s">
        <v>754</v>
      </c>
      <c r="K1712" s="2" t="s">
        <v>753</v>
      </c>
      <c r="L1712" s="6">
        <v>152</v>
      </c>
      <c r="M1712" s="2" t="s">
        <v>752</v>
      </c>
      <c r="N1712" s="7">
        <v>45.49</v>
      </c>
      <c r="O1712" s="4">
        <v>6914.48</v>
      </c>
      <c r="P1712" s="4">
        <v>6914.48</v>
      </c>
      <c r="Q1712" s="6">
        <v>0</v>
      </c>
    </row>
    <row r="1713" spans="1:17" x14ac:dyDescent="0.25">
      <c r="A1713" s="2" t="s">
        <v>86</v>
      </c>
      <c r="B1713" s="2" t="s">
        <v>87</v>
      </c>
      <c r="C1713" s="2" t="s">
        <v>88</v>
      </c>
      <c r="D1713" s="2" t="s">
        <v>758</v>
      </c>
      <c r="E1713" s="2" t="s">
        <v>774</v>
      </c>
      <c r="F1713" s="2" t="s">
        <v>773</v>
      </c>
      <c r="G1713" s="3">
        <v>46189</v>
      </c>
      <c r="H1713" s="2" t="s">
        <v>753</v>
      </c>
      <c r="I1713" s="2" t="s">
        <v>755</v>
      </c>
      <c r="J1713" s="2" t="s">
        <v>754</v>
      </c>
      <c r="K1713" s="2" t="s">
        <v>753</v>
      </c>
      <c r="L1713" s="6">
        <v>16</v>
      </c>
      <c r="M1713" s="2" t="s">
        <v>752</v>
      </c>
      <c r="N1713" s="7">
        <v>37.020000000000003</v>
      </c>
      <c r="O1713" s="4">
        <v>592.32000000000005</v>
      </c>
      <c r="P1713" s="4">
        <v>592.32000000000005</v>
      </c>
      <c r="Q1713" s="6">
        <v>0</v>
      </c>
    </row>
    <row r="1714" spans="1:17" x14ac:dyDescent="0.25">
      <c r="A1714" s="2" t="s">
        <v>86</v>
      </c>
      <c r="B1714" s="2" t="s">
        <v>87</v>
      </c>
      <c r="C1714" s="2" t="s">
        <v>88</v>
      </c>
      <c r="D1714" s="2" t="s">
        <v>758</v>
      </c>
      <c r="E1714" s="2" t="s">
        <v>863</v>
      </c>
      <c r="F1714" s="2" t="s">
        <v>862</v>
      </c>
      <c r="G1714" s="3">
        <v>46189</v>
      </c>
      <c r="H1714" s="2" t="s">
        <v>753</v>
      </c>
      <c r="I1714" s="2" t="s">
        <v>755</v>
      </c>
      <c r="J1714" s="2" t="s">
        <v>754</v>
      </c>
      <c r="K1714" s="2" t="s">
        <v>753</v>
      </c>
      <c r="L1714" s="6">
        <v>12</v>
      </c>
      <c r="M1714" s="2" t="s">
        <v>752</v>
      </c>
      <c r="N1714" s="7">
        <v>52.47</v>
      </c>
      <c r="O1714" s="4">
        <v>629.64</v>
      </c>
      <c r="P1714" s="4">
        <v>629.64</v>
      </c>
      <c r="Q1714" s="6">
        <v>0</v>
      </c>
    </row>
    <row r="1715" spans="1:17" x14ac:dyDescent="0.25">
      <c r="A1715" s="2" t="s">
        <v>86</v>
      </c>
      <c r="B1715" s="2" t="s">
        <v>87</v>
      </c>
      <c r="C1715" s="2" t="s">
        <v>88</v>
      </c>
      <c r="D1715" s="2" t="s">
        <v>758</v>
      </c>
      <c r="E1715" s="2" t="s">
        <v>813</v>
      </c>
      <c r="F1715" s="2" t="s">
        <v>812</v>
      </c>
      <c r="G1715" s="3">
        <v>46189</v>
      </c>
      <c r="H1715" s="2" t="s">
        <v>753</v>
      </c>
      <c r="I1715" s="2" t="s">
        <v>755</v>
      </c>
      <c r="J1715" s="2" t="s">
        <v>754</v>
      </c>
      <c r="K1715" s="2" t="s">
        <v>753</v>
      </c>
      <c r="L1715" s="6">
        <v>20</v>
      </c>
      <c r="M1715" s="2" t="s">
        <v>752</v>
      </c>
      <c r="N1715" s="7">
        <v>54</v>
      </c>
      <c r="O1715" s="4">
        <v>1080</v>
      </c>
      <c r="P1715" s="4">
        <v>1080</v>
      </c>
      <c r="Q1715" s="6">
        <v>0</v>
      </c>
    </row>
    <row r="1716" spans="1:17" x14ac:dyDescent="0.25">
      <c r="A1716" s="2" t="s">
        <v>86</v>
      </c>
      <c r="B1716" s="2" t="s">
        <v>87</v>
      </c>
      <c r="C1716" s="2" t="s">
        <v>88</v>
      </c>
      <c r="D1716" s="2" t="s">
        <v>758</v>
      </c>
      <c r="E1716" s="2" t="s">
        <v>776</v>
      </c>
      <c r="F1716" s="2" t="s">
        <v>775</v>
      </c>
      <c r="G1716" s="3">
        <v>46189</v>
      </c>
      <c r="H1716" s="2" t="s">
        <v>753</v>
      </c>
      <c r="I1716" s="2" t="s">
        <v>755</v>
      </c>
      <c r="J1716" s="2" t="s">
        <v>754</v>
      </c>
      <c r="K1716" s="2" t="s">
        <v>753</v>
      </c>
      <c r="L1716" s="6">
        <v>4</v>
      </c>
      <c r="M1716" s="2" t="s">
        <v>752</v>
      </c>
      <c r="N1716" s="7">
        <v>43.2</v>
      </c>
      <c r="O1716" s="4">
        <v>172.8</v>
      </c>
      <c r="P1716" s="4">
        <v>172.8</v>
      </c>
      <c r="Q1716" s="6">
        <v>0</v>
      </c>
    </row>
    <row r="1717" spans="1:17" x14ac:dyDescent="0.25">
      <c r="A1717" s="2" t="s">
        <v>86</v>
      </c>
      <c r="B1717" s="2" t="s">
        <v>87</v>
      </c>
      <c r="C1717" s="2" t="s">
        <v>88</v>
      </c>
      <c r="D1717" s="2" t="s">
        <v>758</v>
      </c>
      <c r="E1717" s="2" t="s">
        <v>807</v>
      </c>
      <c r="F1717" s="2" t="s">
        <v>806</v>
      </c>
      <c r="G1717" s="3">
        <v>46189</v>
      </c>
      <c r="H1717" s="2" t="s">
        <v>753</v>
      </c>
      <c r="I1717" s="2" t="s">
        <v>755</v>
      </c>
      <c r="J1717" s="2" t="s">
        <v>754</v>
      </c>
      <c r="K1717" s="2" t="s">
        <v>753</v>
      </c>
      <c r="L1717" s="6">
        <v>32</v>
      </c>
      <c r="M1717" s="2" t="s">
        <v>752</v>
      </c>
      <c r="N1717" s="7">
        <v>44.15</v>
      </c>
      <c r="O1717" s="4">
        <v>1412.8</v>
      </c>
      <c r="P1717" s="4">
        <v>1412.8</v>
      </c>
      <c r="Q1717" s="6">
        <v>0</v>
      </c>
    </row>
    <row r="1718" spans="1:17" x14ac:dyDescent="0.25">
      <c r="A1718" s="2" t="s">
        <v>86</v>
      </c>
      <c r="B1718" s="2" t="s">
        <v>87</v>
      </c>
      <c r="C1718" s="2" t="s">
        <v>88</v>
      </c>
      <c r="D1718" s="2" t="s">
        <v>758</v>
      </c>
      <c r="E1718" s="2" t="s">
        <v>904</v>
      </c>
      <c r="F1718" s="2" t="s">
        <v>903</v>
      </c>
      <c r="G1718" s="3">
        <v>46189</v>
      </c>
      <c r="H1718" s="2" t="s">
        <v>753</v>
      </c>
      <c r="I1718" s="2" t="s">
        <v>755</v>
      </c>
      <c r="J1718" s="2" t="s">
        <v>754</v>
      </c>
      <c r="K1718" s="2" t="s">
        <v>753</v>
      </c>
      <c r="L1718" s="6">
        <v>8</v>
      </c>
      <c r="M1718" s="2" t="s">
        <v>752</v>
      </c>
      <c r="N1718" s="7">
        <v>40.22</v>
      </c>
      <c r="O1718" s="4">
        <v>321.76</v>
      </c>
      <c r="P1718" s="4">
        <v>321.76</v>
      </c>
      <c r="Q1718" s="6">
        <v>0</v>
      </c>
    </row>
    <row r="1719" spans="1:17" x14ac:dyDescent="0.25">
      <c r="A1719" s="2" t="s">
        <v>86</v>
      </c>
      <c r="B1719" s="2" t="s">
        <v>87</v>
      </c>
      <c r="C1719" s="2" t="s">
        <v>88</v>
      </c>
      <c r="D1719" s="2" t="s">
        <v>758</v>
      </c>
      <c r="E1719" s="2" t="s">
        <v>855</v>
      </c>
      <c r="F1719" s="2" t="s">
        <v>854</v>
      </c>
      <c r="G1719" s="3">
        <v>46189</v>
      </c>
      <c r="H1719" s="2" t="s">
        <v>753</v>
      </c>
      <c r="I1719" s="2" t="s">
        <v>755</v>
      </c>
      <c r="J1719" s="2" t="s">
        <v>754</v>
      </c>
      <c r="K1719" s="2" t="s">
        <v>753</v>
      </c>
      <c r="L1719" s="6">
        <v>63</v>
      </c>
      <c r="M1719" s="2" t="s">
        <v>752</v>
      </c>
      <c r="N1719" s="7">
        <v>42.37</v>
      </c>
      <c r="O1719" s="4">
        <v>2669.31</v>
      </c>
      <c r="P1719" s="4">
        <v>2669.31</v>
      </c>
      <c r="Q1719" s="6">
        <v>0</v>
      </c>
    </row>
    <row r="1720" spans="1:17" x14ac:dyDescent="0.25">
      <c r="A1720" s="2" t="s">
        <v>86</v>
      </c>
      <c r="B1720" s="2" t="s">
        <v>87</v>
      </c>
      <c r="C1720" s="2" t="s">
        <v>88</v>
      </c>
      <c r="D1720" s="2" t="s">
        <v>758</v>
      </c>
      <c r="E1720" s="2" t="s">
        <v>902</v>
      </c>
      <c r="F1720" s="2" t="s">
        <v>901</v>
      </c>
      <c r="G1720" s="3">
        <v>46189</v>
      </c>
      <c r="H1720" s="2" t="s">
        <v>753</v>
      </c>
      <c r="I1720" s="2" t="s">
        <v>755</v>
      </c>
      <c r="J1720" s="2" t="s">
        <v>754</v>
      </c>
      <c r="K1720" s="2" t="s">
        <v>753</v>
      </c>
      <c r="L1720" s="6">
        <v>21</v>
      </c>
      <c r="M1720" s="2" t="s">
        <v>752</v>
      </c>
      <c r="N1720" s="7">
        <v>42.22</v>
      </c>
      <c r="O1720" s="4">
        <v>886.62</v>
      </c>
      <c r="P1720" s="4">
        <v>886.62</v>
      </c>
      <c r="Q1720" s="6">
        <v>0</v>
      </c>
    </row>
    <row r="1721" spans="1:17" x14ac:dyDescent="0.25">
      <c r="A1721" s="2" t="s">
        <v>86</v>
      </c>
      <c r="B1721" s="2" t="s">
        <v>87</v>
      </c>
      <c r="C1721" s="2" t="s">
        <v>88</v>
      </c>
      <c r="D1721" s="2" t="s">
        <v>758</v>
      </c>
      <c r="E1721" s="2" t="s">
        <v>900</v>
      </c>
      <c r="F1721" s="2" t="s">
        <v>899</v>
      </c>
      <c r="G1721" s="3">
        <v>46189</v>
      </c>
      <c r="H1721" s="2" t="s">
        <v>753</v>
      </c>
      <c r="I1721" s="2" t="s">
        <v>755</v>
      </c>
      <c r="J1721" s="2" t="s">
        <v>754</v>
      </c>
      <c r="K1721" s="2" t="s">
        <v>753</v>
      </c>
      <c r="L1721" s="6">
        <v>56</v>
      </c>
      <c r="M1721" s="2" t="s">
        <v>752</v>
      </c>
      <c r="N1721" s="7">
        <v>32.549999999999997</v>
      </c>
      <c r="O1721" s="4">
        <v>1822.8</v>
      </c>
      <c r="P1721" s="4">
        <v>1822.8</v>
      </c>
      <c r="Q1721" s="6">
        <v>0</v>
      </c>
    </row>
    <row r="1722" spans="1:17" x14ac:dyDescent="0.25">
      <c r="A1722" s="2" t="s">
        <v>86</v>
      </c>
      <c r="B1722" s="2" t="s">
        <v>87</v>
      </c>
      <c r="C1722" s="2" t="s">
        <v>88</v>
      </c>
      <c r="D1722" s="2" t="s">
        <v>758</v>
      </c>
      <c r="E1722" s="2" t="s">
        <v>780</v>
      </c>
      <c r="F1722" s="2" t="s">
        <v>779</v>
      </c>
      <c r="G1722" s="3">
        <v>46189</v>
      </c>
      <c r="H1722" s="2" t="s">
        <v>753</v>
      </c>
      <c r="I1722" s="2" t="s">
        <v>755</v>
      </c>
      <c r="J1722" s="2" t="s">
        <v>754</v>
      </c>
      <c r="K1722" s="2" t="s">
        <v>753</v>
      </c>
      <c r="L1722" s="6">
        <v>60</v>
      </c>
      <c r="M1722" s="2" t="s">
        <v>752</v>
      </c>
      <c r="N1722" s="7">
        <v>35.57</v>
      </c>
      <c r="O1722" s="4">
        <v>2134.1999999999998</v>
      </c>
      <c r="P1722" s="4">
        <v>2134.1999999999998</v>
      </c>
      <c r="Q1722" s="6">
        <v>0</v>
      </c>
    </row>
    <row r="1723" spans="1:17" x14ac:dyDescent="0.25">
      <c r="A1723" s="2" t="s">
        <v>86</v>
      </c>
      <c r="B1723" s="2" t="s">
        <v>87</v>
      </c>
      <c r="C1723" s="2" t="s">
        <v>88</v>
      </c>
      <c r="D1723" s="2" t="s">
        <v>758</v>
      </c>
      <c r="E1723" s="2" t="s">
        <v>898</v>
      </c>
      <c r="F1723" s="2" t="s">
        <v>897</v>
      </c>
      <c r="G1723" s="3">
        <v>46189</v>
      </c>
      <c r="H1723" s="2" t="s">
        <v>753</v>
      </c>
      <c r="I1723" s="2" t="s">
        <v>755</v>
      </c>
      <c r="J1723" s="2" t="s">
        <v>754</v>
      </c>
      <c r="K1723" s="2" t="s">
        <v>753</v>
      </c>
      <c r="L1723" s="6">
        <v>28</v>
      </c>
      <c r="M1723" s="2" t="s">
        <v>752</v>
      </c>
      <c r="N1723" s="7">
        <v>41.25</v>
      </c>
      <c r="O1723" s="4">
        <v>1155</v>
      </c>
      <c r="P1723" s="4">
        <v>1155</v>
      </c>
      <c r="Q1723" s="6">
        <v>0</v>
      </c>
    </row>
    <row r="1724" spans="1:17" x14ac:dyDescent="0.25">
      <c r="A1724" s="2" t="s">
        <v>86</v>
      </c>
      <c r="B1724" s="2" t="s">
        <v>87</v>
      </c>
      <c r="C1724" s="2" t="s">
        <v>88</v>
      </c>
      <c r="D1724" s="2" t="s">
        <v>758</v>
      </c>
      <c r="E1724" s="2" t="s">
        <v>819</v>
      </c>
      <c r="F1724" s="2" t="s">
        <v>818</v>
      </c>
      <c r="G1724" s="3">
        <v>46189</v>
      </c>
      <c r="H1724" s="2" t="s">
        <v>753</v>
      </c>
      <c r="I1724" s="2" t="s">
        <v>755</v>
      </c>
      <c r="J1724" s="2" t="s">
        <v>754</v>
      </c>
      <c r="K1724" s="2" t="s">
        <v>753</v>
      </c>
      <c r="L1724" s="6">
        <v>28</v>
      </c>
      <c r="M1724" s="2" t="s">
        <v>752</v>
      </c>
      <c r="N1724" s="7">
        <v>40.22</v>
      </c>
      <c r="O1724" s="4">
        <v>1126.1600000000001</v>
      </c>
      <c r="P1724" s="4">
        <v>1126.1600000000001</v>
      </c>
      <c r="Q1724" s="6">
        <v>0</v>
      </c>
    </row>
    <row r="1725" spans="1:17" x14ac:dyDescent="0.25">
      <c r="A1725" s="2" t="s">
        <v>90</v>
      </c>
      <c r="B1725" s="2" t="s">
        <v>91</v>
      </c>
      <c r="C1725" s="2" t="s">
        <v>92</v>
      </c>
      <c r="D1725" s="2" t="s">
        <v>758</v>
      </c>
      <c r="E1725" s="2" t="s">
        <v>867</v>
      </c>
      <c r="F1725" s="2" t="s">
        <v>866</v>
      </c>
      <c r="G1725" s="3">
        <v>46188</v>
      </c>
      <c r="H1725" s="2" t="s">
        <v>753</v>
      </c>
      <c r="I1725" s="2" t="s">
        <v>755</v>
      </c>
      <c r="J1725" s="2" t="s">
        <v>754</v>
      </c>
      <c r="K1725" s="2" t="s">
        <v>753</v>
      </c>
      <c r="L1725" s="6">
        <v>16</v>
      </c>
      <c r="M1725" s="2" t="s">
        <v>752</v>
      </c>
      <c r="N1725" s="7">
        <v>36.299999999999997</v>
      </c>
      <c r="O1725" s="4">
        <v>580.79999999999995</v>
      </c>
      <c r="P1725" s="4">
        <v>580.79999999999995</v>
      </c>
      <c r="Q1725" s="6">
        <v>0</v>
      </c>
    </row>
    <row r="1726" spans="1:17" x14ac:dyDescent="0.25">
      <c r="A1726" s="2" t="s">
        <v>90</v>
      </c>
      <c r="B1726" s="2" t="s">
        <v>91</v>
      </c>
      <c r="C1726" s="2" t="s">
        <v>92</v>
      </c>
      <c r="D1726" s="2" t="s">
        <v>758</v>
      </c>
      <c r="E1726" s="2" t="s">
        <v>863</v>
      </c>
      <c r="F1726" s="2" t="s">
        <v>862</v>
      </c>
      <c r="G1726" s="3">
        <v>46188</v>
      </c>
      <c r="H1726" s="2" t="s">
        <v>753</v>
      </c>
      <c r="I1726" s="2" t="s">
        <v>755</v>
      </c>
      <c r="J1726" s="2" t="s">
        <v>754</v>
      </c>
      <c r="K1726" s="2" t="s">
        <v>753</v>
      </c>
      <c r="L1726" s="6">
        <v>24</v>
      </c>
      <c r="M1726" s="2" t="s">
        <v>752</v>
      </c>
      <c r="N1726" s="7">
        <v>33.299999999999997</v>
      </c>
      <c r="O1726" s="4">
        <v>799.2</v>
      </c>
      <c r="P1726" s="4">
        <v>799.2</v>
      </c>
      <c r="Q1726" s="6">
        <v>0</v>
      </c>
    </row>
    <row r="1727" spans="1:17" x14ac:dyDescent="0.25">
      <c r="A1727" s="2" t="s">
        <v>90</v>
      </c>
      <c r="B1727" s="2" t="s">
        <v>91</v>
      </c>
      <c r="C1727" s="2" t="s">
        <v>92</v>
      </c>
      <c r="D1727" s="2" t="s">
        <v>758</v>
      </c>
      <c r="E1727" s="2" t="s">
        <v>757</v>
      </c>
      <c r="F1727" s="2" t="s">
        <v>756</v>
      </c>
      <c r="G1727" s="3">
        <v>46188</v>
      </c>
      <c r="H1727" s="2" t="s">
        <v>753</v>
      </c>
      <c r="I1727" s="2" t="s">
        <v>755</v>
      </c>
      <c r="J1727" s="2" t="s">
        <v>754</v>
      </c>
      <c r="K1727" s="2" t="s">
        <v>753</v>
      </c>
      <c r="L1727" s="6">
        <v>64</v>
      </c>
      <c r="M1727" s="2" t="s">
        <v>752</v>
      </c>
      <c r="N1727" s="7">
        <v>39.700000000000003</v>
      </c>
      <c r="O1727" s="4">
        <v>2540.8000000000002</v>
      </c>
      <c r="P1727" s="4">
        <v>2540.8000000000002</v>
      </c>
      <c r="Q1727" s="6">
        <v>0</v>
      </c>
    </row>
    <row r="1728" spans="1:17" x14ac:dyDescent="0.25">
      <c r="A1728" s="2" t="s">
        <v>90</v>
      </c>
      <c r="B1728" s="2" t="s">
        <v>91</v>
      </c>
      <c r="C1728" s="2" t="s">
        <v>92</v>
      </c>
      <c r="D1728" s="2" t="s">
        <v>758</v>
      </c>
      <c r="E1728" s="2" t="s">
        <v>869</v>
      </c>
      <c r="F1728" s="2" t="s">
        <v>868</v>
      </c>
      <c r="G1728" s="3">
        <v>46188</v>
      </c>
      <c r="H1728" s="2" t="s">
        <v>753</v>
      </c>
      <c r="I1728" s="2" t="s">
        <v>755</v>
      </c>
      <c r="J1728" s="2" t="s">
        <v>754</v>
      </c>
      <c r="K1728" s="2" t="s">
        <v>753</v>
      </c>
      <c r="L1728" s="6">
        <v>84</v>
      </c>
      <c r="M1728" s="2" t="s">
        <v>752</v>
      </c>
      <c r="N1728" s="7">
        <v>48.49</v>
      </c>
      <c r="O1728" s="4">
        <v>4073.16</v>
      </c>
      <c r="P1728" s="4">
        <v>4073.16</v>
      </c>
      <c r="Q1728" s="6">
        <v>0</v>
      </c>
    </row>
    <row r="1729" spans="1:17" x14ac:dyDescent="0.25">
      <c r="A1729" s="2" t="s">
        <v>90</v>
      </c>
      <c r="B1729" s="2" t="s">
        <v>91</v>
      </c>
      <c r="C1729" s="2" t="s">
        <v>92</v>
      </c>
      <c r="D1729" s="2" t="s">
        <v>758</v>
      </c>
      <c r="E1729" s="2" t="s">
        <v>861</v>
      </c>
      <c r="F1729" s="2" t="s">
        <v>860</v>
      </c>
      <c r="G1729" s="3">
        <v>46188</v>
      </c>
      <c r="H1729" s="2" t="s">
        <v>753</v>
      </c>
      <c r="I1729" s="2" t="s">
        <v>755</v>
      </c>
      <c r="J1729" s="2" t="s">
        <v>754</v>
      </c>
      <c r="K1729" s="2" t="s">
        <v>753</v>
      </c>
      <c r="L1729" s="6">
        <v>24</v>
      </c>
      <c r="M1729" s="2" t="s">
        <v>752</v>
      </c>
      <c r="N1729" s="7">
        <v>39.700000000000003</v>
      </c>
      <c r="O1729" s="4">
        <v>952.8</v>
      </c>
      <c r="P1729" s="4">
        <v>952.8</v>
      </c>
      <c r="Q1729" s="6">
        <v>0</v>
      </c>
    </row>
    <row r="1730" spans="1:17" x14ac:dyDescent="0.25">
      <c r="A1730" s="2" t="s">
        <v>90</v>
      </c>
      <c r="B1730" s="2" t="s">
        <v>91</v>
      </c>
      <c r="C1730" s="2" t="s">
        <v>92</v>
      </c>
      <c r="D1730" s="2" t="s">
        <v>758</v>
      </c>
      <c r="E1730" s="2" t="s">
        <v>896</v>
      </c>
      <c r="F1730" s="2" t="s">
        <v>895</v>
      </c>
      <c r="G1730" s="3">
        <v>46188</v>
      </c>
      <c r="H1730" s="2" t="s">
        <v>753</v>
      </c>
      <c r="I1730" s="2" t="s">
        <v>755</v>
      </c>
      <c r="J1730" s="2" t="s">
        <v>754</v>
      </c>
      <c r="K1730" s="2" t="s">
        <v>753</v>
      </c>
      <c r="L1730" s="6">
        <v>30</v>
      </c>
      <c r="M1730" s="2" t="s">
        <v>752</v>
      </c>
      <c r="N1730" s="7">
        <v>41.49</v>
      </c>
      <c r="O1730" s="4">
        <v>1244.7</v>
      </c>
      <c r="P1730" s="4">
        <v>1244.7</v>
      </c>
      <c r="Q1730" s="6">
        <v>0</v>
      </c>
    </row>
    <row r="1731" spans="1:17" x14ac:dyDescent="0.25">
      <c r="A1731" s="2" t="s">
        <v>90</v>
      </c>
      <c r="B1731" s="2" t="s">
        <v>91</v>
      </c>
      <c r="C1731" s="2" t="s">
        <v>92</v>
      </c>
      <c r="D1731" s="2" t="s">
        <v>758</v>
      </c>
      <c r="E1731" s="2" t="s">
        <v>763</v>
      </c>
      <c r="F1731" s="2" t="s">
        <v>762</v>
      </c>
      <c r="G1731" s="3">
        <v>46188</v>
      </c>
      <c r="H1731" s="2" t="s">
        <v>753</v>
      </c>
      <c r="I1731" s="2" t="s">
        <v>755</v>
      </c>
      <c r="J1731" s="2" t="s">
        <v>754</v>
      </c>
      <c r="K1731" s="2" t="s">
        <v>753</v>
      </c>
      <c r="L1731" s="6">
        <v>32</v>
      </c>
      <c r="M1731" s="2" t="s">
        <v>752</v>
      </c>
      <c r="N1731" s="7">
        <v>36.82</v>
      </c>
      <c r="O1731" s="4">
        <v>1178.24</v>
      </c>
      <c r="P1731" s="4">
        <v>1178.24</v>
      </c>
      <c r="Q1731" s="6">
        <v>0</v>
      </c>
    </row>
    <row r="1732" spans="1:17" x14ac:dyDescent="0.25">
      <c r="A1732" s="2" t="s">
        <v>90</v>
      </c>
      <c r="B1732" s="2" t="s">
        <v>91</v>
      </c>
      <c r="C1732" s="2" t="s">
        <v>92</v>
      </c>
      <c r="D1732" s="2" t="s">
        <v>758</v>
      </c>
      <c r="E1732" s="2" t="s">
        <v>871</v>
      </c>
      <c r="F1732" s="2" t="s">
        <v>870</v>
      </c>
      <c r="G1732" s="3">
        <v>46188</v>
      </c>
      <c r="H1732" s="2" t="s">
        <v>753</v>
      </c>
      <c r="I1732" s="2" t="s">
        <v>755</v>
      </c>
      <c r="J1732" s="2" t="s">
        <v>754</v>
      </c>
      <c r="K1732" s="2" t="s">
        <v>753</v>
      </c>
      <c r="L1732" s="6">
        <v>15</v>
      </c>
      <c r="M1732" s="2" t="s">
        <v>752</v>
      </c>
      <c r="N1732" s="7">
        <v>41.7</v>
      </c>
      <c r="O1732" s="4">
        <v>625.5</v>
      </c>
      <c r="P1732" s="4">
        <v>625.5</v>
      </c>
      <c r="Q1732" s="6">
        <v>0</v>
      </c>
    </row>
    <row r="1733" spans="1:17" x14ac:dyDescent="0.25">
      <c r="A1733" s="2" t="s">
        <v>148</v>
      </c>
      <c r="B1733" s="2" t="s">
        <v>149</v>
      </c>
      <c r="C1733" s="2" t="s">
        <v>150</v>
      </c>
      <c r="D1733" s="2" t="s">
        <v>758</v>
      </c>
      <c r="E1733" s="2" t="s">
        <v>772</v>
      </c>
      <c r="F1733" s="2" t="s">
        <v>771</v>
      </c>
      <c r="G1733" s="3">
        <v>46176</v>
      </c>
      <c r="H1733" s="2" t="s">
        <v>753</v>
      </c>
      <c r="I1733" s="2" t="s">
        <v>755</v>
      </c>
      <c r="J1733" s="2" t="s">
        <v>754</v>
      </c>
      <c r="K1733" s="2" t="s">
        <v>753</v>
      </c>
      <c r="L1733" s="6">
        <v>504</v>
      </c>
      <c r="M1733" s="2" t="s">
        <v>752</v>
      </c>
      <c r="N1733" s="7">
        <v>34.5</v>
      </c>
      <c r="O1733" s="4">
        <v>17388</v>
      </c>
      <c r="P1733" s="4">
        <v>17388</v>
      </c>
      <c r="Q1733" s="6">
        <v>0</v>
      </c>
    </row>
    <row r="1734" spans="1:17" x14ac:dyDescent="0.25">
      <c r="A1734" s="2" t="s">
        <v>128</v>
      </c>
      <c r="B1734" s="2" t="s">
        <v>55</v>
      </c>
      <c r="C1734" s="2" t="s">
        <v>56</v>
      </c>
      <c r="D1734" s="2" t="s">
        <v>758</v>
      </c>
      <c r="E1734" s="2" t="s">
        <v>859</v>
      </c>
      <c r="F1734" s="2" t="s">
        <v>858</v>
      </c>
      <c r="G1734" s="3">
        <v>46182</v>
      </c>
      <c r="H1734" s="2" t="s">
        <v>753</v>
      </c>
      <c r="I1734" s="2" t="s">
        <v>755</v>
      </c>
      <c r="J1734" s="2" t="s">
        <v>754</v>
      </c>
      <c r="K1734" s="2" t="s">
        <v>753</v>
      </c>
      <c r="L1734" s="6">
        <v>512</v>
      </c>
      <c r="M1734" s="2" t="s">
        <v>752</v>
      </c>
      <c r="N1734" s="7">
        <v>33.42</v>
      </c>
      <c r="O1734" s="4">
        <v>17111.04</v>
      </c>
      <c r="P1734" s="4">
        <v>17111.04</v>
      </c>
      <c r="Q1734" s="6">
        <v>0</v>
      </c>
    </row>
    <row r="1735" spans="1:17" x14ac:dyDescent="0.25">
      <c r="A1735" s="2" t="s">
        <v>110</v>
      </c>
      <c r="B1735" s="2" t="s">
        <v>55</v>
      </c>
      <c r="C1735" s="2" t="s">
        <v>56</v>
      </c>
      <c r="D1735" s="2" t="s">
        <v>758</v>
      </c>
      <c r="E1735" s="2" t="s">
        <v>859</v>
      </c>
      <c r="F1735" s="2" t="s">
        <v>858</v>
      </c>
      <c r="G1735" s="3">
        <v>46184</v>
      </c>
      <c r="H1735" s="2" t="s">
        <v>753</v>
      </c>
      <c r="I1735" s="2" t="s">
        <v>755</v>
      </c>
      <c r="J1735" s="2" t="s">
        <v>754</v>
      </c>
      <c r="K1735" s="2" t="s">
        <v>753</v>
      </c>
      <c r="L1735" s="6">
        <v>960</v>
      </c>
      <c r="M1735" s="2" t="s">
        <v>752</v>
      </c>
      <c r="N1735" s="7">
        <v>33.42</v>
      </c>
      <c r="O1735" s="4">
        <v>32083.200000000001</v>
      </c>
      <c r="P1735" s="4">
        <v>32083.200000000001</v>
      </c>
      <c r="Q1735" s="6">
        <v>0</v>
      </c>
    </row>
    <row r="1736" spans="1:17" x14ac:dyDescent="0.25">
      <c r="A1736" s="2" t="s">
        <v>116</v>
      </c>
      <c r="B1736" s="2" t="s">
        <v>41</v>
      </c>
      <c r="C1736" s="2" t="s">
        <v>42</v>
      </c>
      <c r="D1736" s="2" t="s">
        <v>758</v>
      </c>
      <c r="E1736" s="2" t="s">
        <v>847</v>
      </c>
      <c r="F1736" s="2" t="s">
        <v>846</v>
      </c>
      <c r="G1736" s="3">
        <v>46183</v>
      </c>
      <c r="H1736" s="2" t="s">
        <v>753</v>
      </c>
      <c r="I1736" s="2" t="s">
        <v>755</v>
      </c>
      <c r="J1736" s="2" t="s">
        <v>754</v>
      </c>
      <c r="K1736" s="2" t="s">
        <v>753</v>
      </c>
      <c r="L1736" s="6">
        <v>120</v>
      </c>
      <c r="M1736" s="2" t="s">
        <v>752</v>
      </c>
      <c r="N1736" s="7">
        <v>35.479999999999997</v>
      </c>
      <c r="O1736" s="4">
        <v>4257.6000000000004</v>
      </c>
      <c r="P1736" s="4">
        <v>4257.6000000000004</v>
      </c>
      <c r="Q1736" s="6">
        <v>0</v>
      </c>
    </row>
    <row r="1737" spans="1:17" x14ac:dyDescent="0.25">
      <c r="A1737" s="2" t="s">
        <v>116</v>
      </c>
      <c r="B1737" s="2" t="s">
        <v>41</v>
      </c>
      <c r="C1737" s="2" t="s">
        <v>42</v>
      </c>
      <c r="D1737" s="2" t="s">
        <v>758</v>
      </c>
      <c r="E1737" s="2" t="s">
        <v>894</v>
      </c>
      <c r="F1737" s="2" t="s">
        <v>893</v>
      </c>
      <c r="G1737" s="3">
        <v>46183</v>
      </c>
      <c r="H1737" s="2" t="s">
        <v>753</v>
      </c>
      <c r="I1737" s="2" t="s">
        <v>755</v>
      </c>
      <c r="J1737" s="2" t="s">
        <v>754</v>
      </c>
      <c r="K1737" s="2" t="s">
        <v>753</v>
      </c>
      <c r="L1737" s="6">
        <v>280</v>
      </c>
      <c r="M1737" s="2" t="s">
        <v>752</v>
      </c>
      <c r="N1737" s="7">
        <v>28.33</v>
      </c>
      <c r="O1737" s="4">
        <v>7932.4</v>
      </c>
      <c r="P1737" s="4">
        <v>7932.4</v>
      </c>
      <c r="Q1737" s="6">
        <v>0</v>
      </c>
    </row>
    <row r="1738" spans="1:17" x14ac:dyDescent="0.25">
      <c r="A1738" s="2" t="s">
        <v>116</v>
      </c>
      <c r="B1738" s="2" t="s">
        <v>41</v>
      </c>
      <c r="C1738" s="2" t="s">
        <v>42</v>
      </c>
      <c r="D1738" s="2" t="s">
        <v>758</v>
      </c>
      <c r="E1738" s="2" t="s">
        <v>794</v>
      </c>
      <c r="F1738" s="2" t="s">
        <v>793</v>
      </c>
      <c r="G1738" s="3">
        <v>46183</v>
      </c>
      <c r="H1738" s="2" t="s">
        <v>753</v>
      </c>
      <c r="I1738" s="2" t="s">
        <v>755</v>
      </c>
      <c r="J1738" s="2" t="s">
        <v>754</v>
      </c>
      <c r="K1738" s="2" t="s">
        <v>753</v>
      </c>
      <c r="L1738" s="6">
        <v>96</v>
      </c>
      <c r="M1738" s="2" t="s">
        <v>752</v>
      </c>
      <c r="N1738" s="7">
        <v>28.49</v>
      </c>
      <c r="O1738" s="4">
        <v>2735.04</v>
      </c>
      <c r="P1738" s="4">
        <v>2735.04</v>
      </c>
      <c r="Q1738" s="6">
        <v>0</v>
      </c>
    </row>
    <row r="1739" spans="1:17" x14ac:dyDescent="0.25">
      <c r="A1739" s="2" t="s">
        <v>116</v>
      </c>
      <c r="B1739" s="2" t="s">
        <v>41</v>
      </c>
      <c r="C1739" s="2" t="s">
        <v>42</v>
      </c>
      <c r="D1739" s="2" t="s">
        <v>758</v>
      </c>
      <c r="E1739" s="2" t="s">
        <v>845</v>
      </c>
      <c r="F1739" s="2" t="s">
        <v>844</v>
      </c>
      <c r="G1739" s="3">
        <v>46183</v>
      </c>
      <c r="H1739" s="2" t="s">
        <v>753</v>
      </c>
      <c r="I1739" s="2" t="s">
        <v>755</v>
      </c>
      <c r="J1739" s="2" t="s">
        <v>754</v>
      </c>
      <c r="K1739" s="2" t="s">
        <v>753</v>
      </c>
      <c r="L1739" s="6">
        <v>112</v>
      </c>
      <c r="M1739" s="2" t="s">
        <v>752</v>
      </c>
      <c r="N1739" s="7">
        <v>28.49</v>
      </c>
      <c r="O1739" s="4">
        <v>3190.88</v>
      </c>
      <c r="P1739" s="4">
        <v>3190.88</v>
      </c>
      <c r="Q1739" s="6">
        <v>0</v>
      </c>
    </row>
    <row r="1740" spans="1:17" x14ac:dyDescent="0.25">
      <c r="A1740" s="2" t="s">
        <v>116</v>
      </c>
      <c r="B1740" s="2" t="s">
        <v>41</v>
      </c>
      <c r="C1740" s="2" t="s">
        <v>42</v>
      </c>
      <c r="D1740" s="2" t="s">
        <v>758</v>
      </c>
      <c r="E1740" s="2" t="s">
        <v>786</v>
      </c>
      <c r="F1740" s="2" t="s">
        <v>785</v>
      </c>
      <c r="G1740" s="3">
        <v>46183</v>
      </c>
      <c r="H1740" s="2" t="s">
        <v>753</v>
      </c>
      <c r="I1740" s="2" t="s">
        <v>755</v>
      </c>
      <c r="J1740" s="2" t="s">
        <v>754</v>
      </c>
      <c r="K1740" s="2" t="s">
        <v>753</v>
      </c>
      <c r="L1740" s="6">
        <v>168</v>
      </c>
      <c r="M1740" s="2" t="s">
        <v>752</v>
      </c>
      <c r="N1740" s="7">
        <v>25.25</v>
      </c>
      <c r="O1740" s="4">
        <v>4242</v>
      </c>
      <c r="P1740" s="4">
        <v>4242</v>
      </c>
      <c r="Q1740" s="6">
        <v>0</v>
      </c>
    </row>
    <row r="1741" spans="1:17" x14ac:dyDescent="0.25">
      <c r="A1741" s="2" t="s">
        <v>116</v>
      </c>
      <c r="B1741" s="2" t="s">
        <v>41</v>
      </c>
      <c r="C1741" s="2" t="s">
        <v>42</v>
      </c>
      <c r="D1741" s="2" t="s">
        <v>758</v>
      </c>
      <c r="E1741" s="2" t="s">
        <v>817</v>
      </c>
      <c r="F1741" s="2" t="s">
        <v>816</v>
      </c>
      <c r="G1741" s="3">
        <v>46183</v>
      </c>
      <c r="H1741" s="2" t="s">
        <v>753</v>
      </c>
      <c r="I1741" s="2" t="s">
        <v>755</v>
      </c>
      <c r="J1741" s="2" t="s">
        <v>754</v>
      </c>
      <c r="K1741" s="2" t="s">
        <v>753</v>
      </c>
      <c r="L1741" s="6">
        <v>60</v>
      </c>
      <c r="M1741" s="2" t="s">
        <v>752</v>
      </c>
      <c r="N1741" s="7">
        <v>28.88</v>
      </c>
      <c r="O1741" s="4">
        <v>1732.8</v>
      </c>
      <c r="P1741" s="4">
        <v>1732.8</v>
      </c>
      <c r="Q1741" s="6">
        <v>0</v>
      </c>
    </row>
    <row r="1742" spans="1:17" x14ac:dyDescent="0.25">
      <c r="A1742" s="2" t="s">
        <v>116</v>
      </c>
      <c r="B1742" s="2" t="s">
        <v>41</v>
      </c>
      <c r="C1742" s="2" t="s">
        <v>42</v>
      </c>
      <c r="D1742" s="2" t="s">
        <v>758</v>
      </c>
      <c r="E1742" s="2" t="s">
        <v>892</v>
      </c>
      <c r="F1742" s="2" t="s">
        <v>891</v>
      </c>
      <c r="G1742" s="3">
        <v>46183</v>
      </c>
      <c r="H1742" s="2" t="s">
        <v>753</v>
      </c>
      <c r="I1742" s="2" t="s">
        <v>755</v>
      </c>
      <c r="J1742" s="2" t="s">
        <v>754</v>
      </c>
      <c r="K1742" s="2" t="s">
        <v>753</v>
      </c>
      <c r="L1742" s="6">
        <v>12</v>
      </c>
      <c r="M1742" s="2" t="s">
        <v>752</v>
      </c>
      <c r="N1742" s="7">
        <v>47.74</v>
      </c>
      <c r="O1742" s="4">
        <v>572.88</v>
      </c>
      <c r="P1742" s="4">
        <v>572.88</v>
      </c>
      <c r="Q1742" s="6">
        <v>0</v>
      </c>
    </row>
    <row r="1743" spans="1:17" x14ac:dyDescent="0.25">
      <c r="A1743" s="2" t="s">
        <v>108</v>
      </c>
      <c r="B1743" s="2" t="s">
        <v>25</v>
      </c>
      <c r="C1743" s="2" t="s">
        <v>26</v>
      </c>
      <c r="D1743" s="2" t="s">
        <v>758</v>
      </c>
      <c r="E1743" s="2" t="s">
        <v>831</v>
      </c>
      <c r="F1743" s="2" t="s">
        <v>830</v>
      </c>
      <c r="G1743" s="3">
        <v>46184</v>
      </c>
      <c r="H1743" s="2" t="s">
        <v>753</v>
      </c>
      <c r="I1743" s="2" t="s">
        <v>755</v>
      </c>
      <c r="J1743" s="2" t="s">
        <v>754</v>
      </c>
      <c r="K1743" s="2" t="s">
        <v>753</v>
      </c>
      <c r="L1743" s="6">
        <v>40</v>
      </c>
      <c r="M1743" s="2" t="s">
        <v>752</v>
      </c>
      <c r="N1743" s="7">
        <v>56</v>
      </c>
      <c r="O1743" s="4">
        <v>2240</v>
      </c>
      <c r="P1743" s="4">
        <v>2240</v>
      </c>
      <c r="Q1743" s="6">
        <v>0</v>
      </c>
    </row>
    <row r="1744" spans="1:17" x14ac:dyDescent="0.25">
      <c r="A1744" s="2" t="s">
        <v>108</v>
      </c>
      <c r="B1744" s="2" t="s">
        <v>25</v>
      </c>
      <c r="C1744" s="2" t="s">
        <v>26</v>
      </c>
      <c r="D1744" s="2" t="s">
        <v>758</v>
      </c>
      <c r="E1744" s="2" t="s">
        <v>890</v>
      </c>
      <c r="F1744" s="2" t="s">
        <v>889</v>
      </c>
      <c r="G1744" s="3">
        <v>46184</v>
      </c>
      <c r="H1744" s="2" t="s">
        <v>753</v>
      </c>
      <c r="I1744" s="2" t="s">
        <v>755</v>
      </c>
      <c r="J1744" s="2" t="s">
        <v>754</v>
      </c>
      <c r="K1744" s="2" t="s">
        <v>753</v>
      </c>
      <c r="L1744" s="6">
        <v>20</v>
      </c>
      <c r="M1744" s="2" t="s">
        <v>752</v>
      </c>
      <c r="N1744" s="7">
        <v>46</v>
      </c>
      <c r="O1744" s="4">
        <v>920</v>
      </c>
      <c r="P1744" s="4">
        <v>920</v>
      </c>
      <c r="Q1744" s="6">
        <v>0</v>
      </c>
    </row>
    <row r="1745" spans="1:17" x14ac:dyDescent="0.25">
      <c r="A1745" s="2" t="s">
        <v>108</v>
      </c>
      <c r="B1745" s="2" t="s">
        <v>25</v>
      </c>
      <c r="C1745" s="2" t="s">
        <v>26</v>
      </c>
      <c r="D1745" s="2" t="s">
        <v>758</v>
      </c>
      <c r="E1745" s="2" t="s">
        <v>829</v>
      </c>
      <c r="F1745" s="2" t="s">
        <v>828</v>
      </c>
      <c r="G1745" s="3">
        <v>46184</v>
      </c>
      <c r="H1745" s="2" t="s">
        <v>753</v>
      </c>
      <c r="I1745" s="2" t="s">
        <v>755</v>
      </c>
      <c r="J1745" s="2" t="s">
        <v>754</v>
      </c>
      <c r="K1745" s="2" t="s">
        <v>753</v>
      </c>
      <c r="L1745" s="6">
        <v>24</v>
      </c>
      <c r="M1745" s="2" t="s">
        <v>752</v>
      </c>
      <c r="N1745" s="7">
        <v>40</v>
      </c>
      <c r="O1745" s="4">
        <v>960</v>
      </c>
      <c r="P1745" s="4">
        <v>960</v>
      </c>
      <c r="Q1745" s="6">
        <v>0</v>
      </c>
    </row>
    <row r="1746" spans="1:17" x14ac:dyDescent="0.25">
      <c r="A1746" s="2" t="s">
        <v>108</v>
      </c>
      <c r="B1746" s="2" t="s">
        <v>25</v>
      </c>
      <c r="C1746" s="2" t="s">
        <v>26</v>
      </c>
      <c r="D1746" s="2" t="s">
        <v>758</v>
      </c>
      <c r="E1746" s="2" t="s">
        <v>827</v>
      </c>
      <c r="F1746" s="2" t="s">
        <v>826</v>
      </c>
      <c r="G1746" s="3">
        <v>46184</v>
      </c>
      <c r="H1746" s="2" t="s">
        <v>753</v>
      </c>
      <c r="I1746" s="2" t="s">
        <v>755</v>
      </c>
      <c r="J1746" s="2" t="s">
        <v>754</v>
      </c>
      <c r="K1746" s="2" t="s">
        <v>753</v>
      </c>
      <c r="L1746" s="6">
        <v>4</v>
      </c>
      <c r="M1746" s="2" t="s">
        <v>752</v>
      </c>
      <c r="N1746" s="7">
        <v>41.85</v>
      </c>
      <c r="O1746" s="4">
        <v>167.4</v>
      </c>
      <c r="P1746" s="4">
        <v>167.4</v>
      </c>
      <c r="Q1746" s="6">
        <v>0</v>
      </c>
    </row>
    <row r="1747" spans="1:17" x14ac:dyDescent="0.25">
      <c r="A1747" s="2" t="s">
        <v>108</v>
      </c>
      <c r="B1747" s="2" t="s">
        <v>25</v>
      </c>
      <c r="C1747" s="2" t="s">
        <v>26</v>
      </c>
      <c r="D1747" s="2" t="s">
        <v>758</v>
      </c>
      <c r="E1747" s="2" t="s">
        <v>825</v>
      </c>
      <c r="F1747" s="2" t="s">
        <v>824</v>
      </c>
      <c r="G1747" s="3">
        <v>46184</v>
      </c>
      <c r="H1747" s="2" t="s">
        <v>753</v>
      </c>
      <c r="I1747" s="2" t="s">
        <v>755</v>
      </c>
      <c r="J1747" s="2" t="s">
        <v>754</v>
      </c>
      <c r="K1747" s="2" t="s">
        <v>753</v>
      </c>
      <c r="L1747" s="6">
        <v>8</v>
      </c>
      <c r="M1747" s="2" t="s">
        <v>752</v>
      </c>
      <c r="N1747" s="7">
        <v>47.2</v>
      </c>
      <c r="O1747" s="4">
        <v>377.6</v>
      </c>
      <c r="P1747" s="4">
        <v>377.6</v>
      </c>
      <c r="Q1747" s="6">
        <v>0</v>
      </c>
    </row>
    <row r="1748" spans="1:17" x14ac:dyDescent="0.25">
      <c r="A1748" s="2" t="s">
        <v>108</v>
      </c>
      <c r="B1748" s="2" t="s">
        <v>25</v>
      </c>
      <c r="C1748" s="2" t="s">
        <v>26</v>
      </c>
      <c r="D1748" s="2" t="s">
        <v>758</v>
      </c>
      <c r="E1748" s="2" t="s">
        <v>823</v>
      </c>
      <c r="F1748" s="2" t="s">
        <v>822</v>
      </c>
      <c r="G1748" s="3">
        <v>46184</v>
      </c>
      <c r="H1748" s="2" t="s">
        <v>753</v>
      </c>
      <c r="I1748" s="2" t="s">
        <v>755</v>
      </c>
      <c r="J1748" s="2" t="s">
        <v>754</v>
      </c>
      <c r="K1748" s="2" t="s">
        <v>753</v>
      </c>
      <c r="L1748" s="6">
        <v>16</v>
      </c>
      <c r="M1748" s="2" t="s">
        <v>752</v>
      </c>
      <c r="N1748" s="7">
        <v>52</v>
      </c>
      <c r="O1748" s="4">
        <v>832</v>
      </c>
      <c r="P1748" s="4">
        <v>832</v>
      </c>
      <c r="Q1748" s="6">
        <v>0</v>
      </c>
    </row>
    <row r="1749" spans="1:17" x14ac:dyDescent="0.25">
      <c r="A1749" s="2" t="s">
        <v>108</v>
      </c>
      <c r="B1749" s="2" t="s">
        <v>25</v>
      </c>
      <c r="C1749" s="2" t="s">
        <v>26</v>
      </c>
      <c r="D1749" s="2" t="s">
        <v>758</v>
      </c>
      <c r="E1749" s="2" t="s">
        <v>813</v>
      </c>
      <c r="F1749" s="2" t="s">
        <v>812</v>
      </c>
      <c r="G1749" s="3">
        <v>46184</v>
      </c>
      <c r="H1749" s="2" t="s">
        <v>753</v>
      </c>
      <c r="I1749" s="2" t="s">
        <v>755</v>
      </c>
      <c r="J1749" s="2" t="s">
        <v>754</v>
      </c>
      <c r="K1749" s="2" t="s">
        <v>753</v>
      </c>
      <c r="L1749" s="6">
        <v>1</v>
      </c>
      <c r="M1749" s="2" t="s">
        <v>752</v>
      </c>
      <c r="N1749" s="7">
        <v>54</v>
      </c>
      <c r="O1749" s="4">
        <v>54</v>
      </c>
      <c r="P1749" s="4">
        <v>54</v>
      </c>
      <c r="Q1749" s="6">
        <v>0</v>
      </c>
    </row>
    <row r="1750" spans="1:17" x14ac:dyDescent="0.25">
      <c r="A1750" s="2" t="s">
        <v>108</v>
      </c>
      <c r="B1750" s="2" t="s">
        <v>25</v>
      </c>
      <c r="C1750" s="2" t="s">
        <v>26</v>
      </c>
      <c r="D1750" s="2" t="s">
        <v>758</v>
      </c>
      <c r="E1750" s="2" t="s">
        <v>821</v>
      </c>
      <c r="F1750" s="2" t="s">
        <v>820</v>
      </c>
      <c r="G1750" s="3">
        <v>46184</v>
      </c>
      <c r="H1750" s="2" t="s">
        <v>753</v>
      </c>
      <c r="I1750" s="2" t="s">
        <v>755</v>
      </c>
      <c r="J1750" s="2" t="s">
        <v>754</v>
      </c>
      <c r="K1750" s="2" t="s">
        <v>753</v>
      </c>
      <c r="L1750" s="6">
        <v>12</v>
      </c>
      <c r="M1750" s="2" t="s">
        <v>752</v>
      </c>
      <c r="N1750" s="7">
        <v>52</v>
      </c>
      <c r="O1750" s="4">
        <v>624</v>
      </c>
      <c r="P1750" s="4">
        <v>624</v>
      </c>
      <c r="Q1750" s="6">
        <v>0</v>
      </c>
    </row>
    <row r="1751" spans="1:17" x14ac:dyDescent="0.25">
      <c r="A1751" s="2" t="s">
        <v>108</v>
      </c>
      <c r="B1751" s="2" t="s">
        <v>25</v>
      </c>
      <c r="C1751" s="2" t="s">
        <v>26</v>
      </c>
      <c r="D1751" s="2" t="s">
        <v>758</v>
      </c>
      <c r="E1751" s="2" t="s">
        <v>819</v>
      </c>
      <c r="F1751" s="2" t="s">
        <v>818</v>
      </c>
      <c r="G1751" s="3">
        <v>46184</v>
      </c>
      <c r="H1751" s="2" t="s">
        <v>753</v>
      </c>
      <c r="I1751" s="2" t="s">
        <v>755</v>
      </c>
      <c r="J1751" s="2" t="s">
        <v>754</v>
      </c>
      <c r="K1751" s="2" t="s">
        <v>753</v>
      </c>
      <c r="L1751" s="6">
        <v>20</v>
      </c>
      <c r="M1751" s="2" t="s">
        <v>752</v>
      </c>
      <c r="N1751" s="7">
        <v>38.25</v>
      </c>
      <c r="O1751" s="4">
        <v>765</v>
      </c>
      <c r="P1751" s="4">
        <v>765</v>
      </c>
      <c r="Q1751" s="6">
        <v>0</v>
      </c>
    </row>
    <row r="1752" spans="1:17" x14ac:dyDescent="0.25">
      <c r="A1752" s="2" t="s">
        <v>106</v>
      </c>
      <c r="B1752" s="2" t="s">
        <v>29</v>
      </c>
      <c r="C1752" s="2" t="s">
        <v>30</v>
      </c>
      <c r="D1752" s="2" t="s">
        <v>758</v>
      </c>
      <c r="E1752" s="2" t="s">
        <v>817</v>
      </c>
      <c r="F1752" s="2" t="s">
        <v>816</v>
      </c>
      <c r="G1752" s="3">
        <v>46184</v>
      </c>
      <c r="H1752" s="2" t="s">
        <v>753</v>
      </c>
      <c r="I1752" s="2" t="s">
        <v>755</v>
      </c>
      <c r="J1752" s="2" t="s">
        <v>754</v>
      </c>
      <c r="K1752" s="2" t="s">
        <v>753</v>
      </c>
      <c r="L1752" s="6">
        <v>84</v>
      </c>
      <c r="M1752" s="2" t="s">
        <v>752</v>
      </c>
      <c r="N1752" s="7">
        <v>31.42</v>
      </c>
      <c r="O1752" s="4">
        <v>2639.28</v>
      </c>
      <c r="P1752" s="4">
        <v>2639.28</v>
      </c>
      <c r="Q1752" s="6">
        <v>0</v>
      </c>
    </row>
    <row r="1753" spans="1:17" x14ac:dyDescent="0.25">
      <c r="A1753" s="2" t="s">
        <v>106</v>
      </c>
      <c r="B1753" s="2" t="s">
        <v>29</v>
      </c>
      <c r="C1753" s="2" t="s">
        <v>30</v>
      </c>
      <c r="D1753" s="2" t="s">
        <v>758</v>
      </c>
      <c r="E1753" s="2" t="s">
        <v>815</v>
      </c>
      <c r="F1753" s="2" t="s">
        <v>814</v>
      </c>
      <c r="G1753" s="3">
        <v>46184</v>
      </c>
      <c r="H1753" s="2" t="s">
        <v>753</v>
      </c>
      <c r="I1753" s="2" t="s">
        <v>755</v>
      </c>
      <c r="J1753" s="2" t="s">
        <v>754</v>
      </c>
      <c r="K1753" s="2" t="s">
        <v>753</v>
      </c>
      <c r="L1753" s="6">
        <v>140</v>
      </c>
      <c r="M1753" s="2" t="s">
        <v>752</v>
      </c>
      <c r="N1753" s="7">
        <v>34</v>
      </c>
      <c r="O1753" s="4">
        <v>4760</v>
      </c>
      <c r="P1753" s="4">
        <v>4760</v>
      </c>
      <c r="Q1753" s="6">
        <v>0</v>
      </c>
    </row>
    <row r="1754" spans="1:17" x14ac:dyDescent="0.25">
      <c r="A1754" s="2" t="s">
        <v>106</v>
      </c>
      <c r="B1754" s="2" t="s">
        <v>29</v>
      </c>
      <c r="C1754" s="2" t="s">
        <v>30</v>
      </c>
      <c r="D1754" s="2" t="s">
        <v>758</v>
      </c>
      <c r="E1754" s="2" t="s">
        <v>813</v>
      </c>
      <c r="F1754" s="2" t="s">
        <v>812</v>
      </c>
      <c r="G1754" s="3">
        <v>46184</v>
      </c>
      <c r="H1754" s="2" t="s">
        <v>753</v>
      </c>
      <c r="I1754" s="2" t="s">
        <v>755</v>
      </c>
      <c r="J1754" s="2" t="s">
        <v>754</v>
      </c>
      <c r="K1754" s="2" t="s">
        <v>753</v>
      </c>
      <c r="L1754" s="6">
        <v>12</v>
      </c>
      <c r="M1754" s="2" t="s">
        <v>752</v>
      </c>
      <c r="N1754" s="7">
        <v>43.26</v>
      </c>
      <c r="O1754" s="4">
        <v>519.12</v>
      </c>
      <c r="P1754" s="4">
        <v>519.12</v>
      </c>
      <c r="Q1754" s="6">
        <v>0</v>
      </c>
    </row>
    <row r="1755" spans="1:17" x14ac:dyDescent="0.25">
      <c r="A1755" s="2" t="s">
        <v>106</v>
      </c>
      <c r="B1755" s="2" t="s">
        <v>29</v>
      </c>
      <c r="C1755" s="2" t="s">
        <v>30</v>
      </c>
      <c r="D1755" s="2" t="s">
        <v>758</v>
      </c>
      <c r="E1755" s="2" t="s">
        <v>811</v>
      </c>
      <c r="F1755" s="2" t="s">
        <v>810</v>
      </c>
      <c r="G1755" s="3">
        <v>46184</v>
      </c>
      <c r="H1755" s="2" t="s">
        <v>753</v>
      </c>
      <c r="I1755" s="2" t="s">
        <v>755</v>
      </c>
      <c r="J1755" s="2" t="s">
        <v>754</v>
      </c>
      <c r="K1755" s="2" t="s">
        <v>753</v>
      </c>
      <c r="L1755" s="6">
        <v>20</v>
      </c>
      <c r="M1755" s="2" t="s">
        <v>752</v>
      </c>
      <c r="N1755" s="7">
        <v>43.26</v>
      </c>
      <c r="O1755" s="4">
        <v>865.2</v>
      </c>
      <c r="P1755" s="4">
        <v>865.2</v>
      </c>
      <c r="Q1755" s="6">
        <v>0</v>
      </c>
    </row>
    <row r="1756" spans="1:17" x14ac:dyDescent="0.25">
      <c r="A1756" s="2" t="s">
        <v>106</v>
      </c>
      <c r="B1756" s="2" t="s">
        <v>29</v>
      </c>
      <c r="C1756" s="2" t="s">
        <v>30</v>
      </c>
      <c r="D1756" s="2" t="s">
        <v>758</v>
      </c>
      <c r="E1756" s="2" t="s">
        <v>763</v>
      </c>
      <c r="F1756" s="2" t="s">
        <v>762</v>
      </c>
      <c r="G1756" s="3">
        <v>46184</v>
      </c>
      <c r="H1756" s="2" t="s">
        <v>753</v>
      </c>
      <c r="I1756" s="2" t="s">
        <v>755</v>
      </c>
      <c r="J1756" s="2" t="s">
        <v>754</v>
      </c>
      <c r="K1756" s="2" t="s">
        <v>753</v>
      </c>
      <c r="L1756" s="6">
        <v>196</v>
      </c>
      <c r="M1756" s="2" t="s">
        <v>752</v>
      </c>
      <c r="N1756" s="7">
        <v>43.36</v>
      </c>
      <c r="O1756" s="4">
        <v>8498.56</v>
      </c>
      <c r="P1756" s="4">
        <v>8498.56</v>
      </c>
      <c r="Q1756" s="6">
        <v>0</v>
      </c>
    </row>
    <row r="1757" spans="1:17" x14ac:dyDescent="0.25">
      <c r="A1757" s="2" t="s">
        <v>106</v>
      </c>
      <c r="B1757" s="2" t="s">
        <v>29</v>
      </c>
      <c r="C1757" s="2" t="s">
        <v>30</v>
      </c>
      <c r="D1757" s="2" t="s">
        <v>758</v>
      </c>
      <c r="E1757" s="2" t="s">
        <v>809</v>
      </c>
      <c r="F1757" s="2" t="s">
        <v>808</v>
      </c>
      <c r="G1757" s="3">
        <v>46184</v>
      </c>
      <c r="H1757" s="2" t="s">
        <v>753</v>
      </c>
      <c r="I1757" s="2" t="s">
        <v>755</v>
      </c>
      <c r="J1757" s="2" t="s">
        <v>754</v>
      </c>
      <c r="K1757" s="2" t="s">
        <v>753</v>
      </c>
      <c r="L1757" s="6">
        <v>28</v>
      </c>
      <c r="M1757" s="2" t="s">
        <v>752</v>
      </c>
      <c r="N1757" s="7">
        <v>39.53</v>
      </c>
      <c r="O1757" s="4">
        <v>1106.8399999999999</v>
      </c>
      <c r="P1757" s="4">
        <v>1106.8399999999999</v>
      </c>
      <c r="Q1757" s="6">
        <v>0</v>
      </c>
    </row>
    <row r="1758" spans="1:17" x14ac:dyDescent="0.25">
      <c r="A1758" s="2" t="s">
        <v>106</v>
      </c>
      <c r="B1758" s="2" t="s">
        <v>29</v>
      </c>
      <c r="C1758" s="2" t="s">
        <v>30</v>
      </c>
      <c r="D1758" s="2" t="s">
        <v>758</v>
      </c>
      <c r="E1758" s="2" t="s">
        <v>776</v>
      </c>
      <c r="F1758" s="2" t="s">
        <v>775</v>
      </c>
      <c r="G1758" s="3">
        <v>46184</v>
      </c>
      <c r="H1758" s="2" t="s">
        <v>753</v>
      </c>
      <c r="I1758" s="2" t="s">
        <v>755</v>
      </c>
      <c r="J1758" s="2" t="s">
        <v>754</v>
      </c>
      <c r="K1758" s="2" t="s">
        <v>753</v>
      </c>
      <c r="L1758" s="6">
        <v>40</v>
      </c>
      <c r="M1758" s="2" t="s">
        <v>752</v>
      </c>
      <c r="N1758" s="7">
        <v>41.2</v>
      </c>
      <c r="O1758" s="4">
        <v>1648</v>
      </c>
      <c r="P1758" s="4">
        <v>1648</v>
      </c>
      <c r="Q1758" s="6">
        <v>0</v>
      </c>
    </row>
    <row r="1759" spans="1:17" x14ac:dyDescent="0.25">
      <c r="A1759" s="2" t="s">
        <v>106</v>
      </c>
      <c r="B1759" s="2" t="s">
        <v>29</v>
      </c>
      <c r="C1759" s="2" t="s">
        <v>30</v>
      </c>
      <c r="D1759" s="2" t="s">
        <v>758</v>
      </c>
      <c r="E1759" s="2" t="s">
        <v>847</v>
      </c>
      <c r="F1759" s="2" t="s">
        <v>846</v>
      </c>
      <c r="G1759" s="3">
        <v>46184</v>
      </c>
      <c r="H1759" s="2" t="s">
        <v>753</v>
      </c>
      <c r="I1759" s="2" t="s">
        <v>755</v>
      </c>
      <c r="J1759" s="2" t="s">
        <v>754</v>
      </c>
      <c r="K1759" s="2" t="s">
        <v>753</v>
      </c>
      <c r="L1759" s="6">
        <v>24</v>
      </c>
      <c r="M1759" s="2" t="s">
        <v>752</v>
      </c>
      <c r="N1759" s="7">
        <v>38.19</v>
      </c>
      <c r="O1759" s="4">
        <v>916.56</v>
      </c>
      <c r="P1759" s="4">
        <v>916.56</v>
      </c>
      <c r="Q1759" s="6">
        <v>0</v>
      </c>
    </row>
    <row r="1760" spans="1:17" x14ac:dyDescent="0.25">
      <c r="A1760" s="2" t="s">
        <v>106</v>
      </c>
      <c r="B1760" s="2" t="s">
        <v>29</v>
      </c>
      <c r="C1760" s="2" t="s">
        <v>30</v>
      </c>
      <c r="D1760" s="2" t="s">
        <v>758</v>
      </c>
      <c r="E1760" s="2" t="s">
        <v>807</v>
      </c>
      <c r="F1760" s="2" t="s">
        <v>806</v>
      </c>
      <c r="G1760" s="3">
        <v>46184</v>
      </c>
      <c r="H1760" s="2" t="s">
        <v>753</v>
      </c>
      <c r="I1760" s="2" t="s">
        <v>755</v>
      </c>
      <c r="J1760" s="2" t="s">
        <v>754</v>
      </c>
      <c r="K1760" s="2" t="s">
        <v>753</v>
      </c>
      <c r="L1760" s="6">
        <v>12</v>
      </c>
      <c r="M1760" s="2" t="s">
        <v>752</v>
      </c>
      <c r="N1760" s="7">
        <v>42.02</v>
      </c>
      <c r="O1760" s="4">
        <v>504.24</v>
      </c>
      <c r="P1760" s="4">
        <v>504.24</v>
      </c>
      <c r="Q1760" s="6">
        <v>0</v>
      </c>
    </row>
    <row r="1761" spans="1:17" x14ac:dyDescent="0.25">
      <c r="A1761" s="2" t="s">
        <v>106</v>
      </c>
      <c r="B1761" s="2" t="s">
        <v>29</v>
      </c>
      <c r="C1761" s="2" t="s">
        <v>30</v>
      </c>
      <c r="D1761" s="2" t="s">
        <v>758</v>
      </c>
      <c r="E1761" s="2" t="s">
        <v>805</v>
      </c>
      <c r="F1761" s="2" t="s">
        <v>804</v>
      </c>
      <c r="G1761" s="3">
        <v>46184</v>
      </c>
      <c r="H1761" s="2" t="s">
        <v>753</v>
      </c>
      <c r="I1761" s="2" t="s">
        <v>755</v>
      </c>
      <c r="J1761" s="2" t="s">
        <v>754</v>
      </c>
      <c r="K1761" s="2" t="s">
        <v>753</v>
      </c>
      <c r="L1761" s="6">
        <v>40</v>
      </c>
      <c r="M1761" s="2" t="s">
        <v>752</v>
      </c>
      <c r="N1761" s="7">
        <v>41</v>
      </c>
      <c r="O1761" s="4">
        <v>1640</v>
      </c>
      <c r="P1761" s="4">
        <v>1640</v>
      </c>
      <c r="Q1761" s="6">
        <v>0</v>
      </c>
    </row>
    <row r="1762" spans="1:17" x14ac:dyDescent="0.25">
      <c r="A1762" s="2" t="s">
        <v>102</v>
      </c>
      <c r="B1762" s="2" t="s">
        <v>103</v>
      </c>
      <c r="C1762" s="2" t="s">
        <v>104</v>
      </c>
      <c r="D1762" s="2" t="s">
        <v>758</v>
      </c>
      <c r="E1762" s="2" t="s">
        <v>859</v>
      </c>
      <c r="F1762" s="2" t="s">
        <v>858</v>
      </c>
      <c r="G1762" s="3">
        <v>46184</v>
      </c>
      <c r="H1762" s="2" t="s">
        <v>753</v>
      </c>
      <c r="I1762" s="2" t="s">
        <v>755</v>
      </c>
      <c r="J1762" s="2" t="s">
        <v>754</v>
      </c>
      <c r="K1762" s="2" t="s">
        <v>753</v>
      </c>
      <c r="L1762" s="6">
        <v>532</v>
      </c>
      <c r="M1762" s="2" t="s">
        <v>752</v>
      </c>
      <c r="N1762" s="7">
        <v>33.42</v>
      </c>
      <c r="O1762" s="4">
        <v>17779.439999999999</v>
      </c>
      <c r="P1762" s="4">
        <v>17779.439999999999</v>
      </c>
      <c r="Q1762" s="6">
        <v>0</v>
      </c>
    </row>
    <row r="1763" spans="1:17" x14ac:dyDescent="0.25">
      <c r="A1763" s="2" t="s">
        <v>102</v>
      </c>
      <c r="B1763" s="2" t="s">
        <v>103</v>
      </c>
      <c r="C1763" s="2" t="s">
        <v>104</v>
      </c>
      <c r="D1763" s="2" t="s">
        <v>758</v>
      </c>
      <c r="E1763" s="2" t="s">
        <v>888</v>
      </c>
      <c r="F1763" s="2" t="s">
        <v>887</v>
      </c>
      <c r="G1763" s="3">
        <v>46184</v>
      </c>
      <c r="H1763" s="2" t="s">
        <v>753</v>
      </c>
      <c r="I1763" s="2" t="s">
        <v>755</v>
      </c>
      <c r="J1763" s="2" t="s">
        <v>754</v>
      </c>
      <c r="K1763" s="2" t="s">
        <v>753</v>
      </c>
      <c r="L1763" s="6">
        <v>0</v>
      </c>
      <c r="M1763" s="2" t="s">
        <v>752</v>
      </c>
      <c r="N1763" s="7">
        <v>26.22</v>
      </c>
      <c r="O1763" s="4">
        <v>0</v>
      </c>
      <c r="P1763" s="4">
        <v>0</v>
      </c>
      <c r="Q1763" s="6">
        <v>0</v>
      </c>
    </row>
    <row r="1764" spans="1:17" x14ac:dyDescent="0.25">
      <c r="A1764" s="2" t="s">
        <v>80</v>
      </c>
      <c r="B1764" s="2" t="s">
        <v>81</v>
      </c>
      <c r="C1764" s="2" t="s">
        <v>82</v>
      </c>
      <c r="D1764" s="2" t="s">
        <v>758</v>
      </c>
      <c r="E1764" s="2" t="s">
        <v>763</v>
      </c>
      <c r="F1764" s="2" t="s">
        <v>762</v>
      </c>
      <c r="G1764" s="3">
        <v>46190</v>
      </c>
      <c r="H1764" s="2" t="s">
        <v>753</v>
      </c>
      <c r="I1764" s="2" t="s">
        <v>755</v>
      </c>
      <c r="J1764" s="2" t="s">
        <v>754</v>
      </c>
      <c r="K1764" s="2" t="s">
        <v>753</v>
      </c>
      <c r="L1764" s="6">
        <v>476</v>
      </c>
      <c r="M1764" s="2" t="s">
        <v>752</v>
      </c>
      <c r="N1764" s="7">
        <v>46</v>
      </c>
      <c r="O1764" s="4">
        <v>21896</v>
      </c>
      <c r="P1764" s="4">
        <v>21896</v>
      </c>
      <c r="Q1764" s="6">
        <v>0</v>
      </c>
    </row>
    <row r="1765" spans="1:17" x14ac:dyDescent="0.25">
      <c r="A1765" s="2" t="s">
        <v>80</v>
      </c>
      <c r="B1765" s="2" t="s">
        <v>81</v>
      </c>
      <c r="C1765" s="2" t="s">
        <v>82</v>
      </c>
      <c r="D1765" s="2" t="s">
        <v>758</v>
      </c>
      <c r="E1765" s="2" t="s">
        <v>766</v>
      </c>
      <c r="F1765" s="2" t="s">
        <v>765</v>
      </c>
      <c r="G1765" s="3">
        <v>46190</v>
      </c>
      <c r="H1765" s="2" t="s">
        <v>753</v>
      </c>
      <c r="I1765" s="2" t="s">
        <v>755</v>
      </c>
      <c r="J1765" s="2" t="s">
        <v>754</v>
      </c>
      <c r="K1765" s="2" t="s">
        <v>753</v>
      </c>
      <c r="L1765" s="6">
        <v>49</v>
      </c>
      <c r="M1765" s="2" t="s">
        <v>752</v>
      </c>
      <c r="N1765" s="7">
        <v>40</v>
      </c>
      <c r="O1765" s="4">
        <v>1960</v>
      </c>
      <c r="P1765" s="4">
        <v>1960</v>
      </c>
      <c r="Q1765" s="6">
        <v>0</v>
      </c>
    </row>
    <row r="1766" spans="1:17" x14ac:dyDescent="0.25">
      <c r="A1766" s="2" t="s">
        <v>114</v>
      </c>
      <c r="B1766" s="2" t="s">
        <v>21</v>
      </c>
      <c r="C1766" s="2" t="s">
        <v>22</v>
      </c>
      <c r="D1766" s="2" t="s">
        <v>758</v>
      </c>
      <c r="E1766" s="2" t="s">
        <v>763</v>
      </c>
      <c r="F1766" s="2" t="s">
        <v>762</v>
      </c>
      <c r="G1766" s="3">
        <v>46183</v>
      </c>
      <c r="H1766" s="2" t="s">
        <v>753</v>
      </c>
      <c r="I1766" s="2" t="s">
        <v>755</v>
      </c>
      <c r="J1766" s="2" t="s">
        <v>754</v>
      </c>
      <c r="K1766" s="2" t="s">
        <v>753</v>
      </c>
      <c r="L1766" s="6">
        <v>280</v>
      </c>
      <c r="M1766" s="2" t="s">
        <v>752</v>
      </c>
      <c r="N1766" s="7">
        <v>42.6</v>
      </c>
      <c r="O1766" s="4">
        <v>11928</v>
      </c>
      <c r="P1766" s="4">
        <v>11928</v>
      </c>
      <c r="Q1766" s="6">
        <v>0</v>
      </c>
    </row>
    <row r="1767" spans="1:17" x14ac:dyDescent="0.25">
      <c r="A1767" s="2" t="s">
        <v>114</v>
      </c>
      <c r="B1767" s="2" t="s">
        <v>21</v>
      </c>
      <c r="C1767" s="2" t="s">
        <v>22</v>
      </c>
      <c r="D1767" s="2" t="s">
        <v>758</v>
      </c>
      <c r="E1767" s="2" t="s">
        <v>800</v>
      </c>
      <c r="F1767" s="2" t="s">
        <v>799</v>
      </c>
      <c r="G1767" s="3">
        <v>46183</v>
      </c>
      <c r="H1767" s="2" t="s">
        <v>753</v>
      </c>
      <c r="I1767" s="2" t="s">
        <v>755</v>
      </c>
      <c r="J1767" s="2" t="s">
        <v>754</v>
      </c>
      <c r="K1767" s="2" t="s">
        <v>753</v>
      </c>
      <c r="L1767" s="6">
        <v>56</v>
      </c>
      <c r="M1767" s="2" t="s">
        <v>752</v>
      </c>
      <c r="N1767" s="7">
        <v>34.200000000000003</v>
      </c>
      <c r="O1767" s="4">
        <v>1915.2</v>
      </c>
      <c r="P1767" s="4">
        <v>1915.2</v>
      </c>
      <c r="Q1767" s="6">
        <v>0</v>
      </c>
    </row>
    <row r="1768" spans="1:17" x14ac:dyDescent="0.25">
      <c r="A1768" s="2" t="s">
        <v>114</v>
      </c>
      <c r="B1768" s="2" t="s">
        <v>21</v>
      </c>
      <c r="C1768" s="2" t="s">
        <v>22</v>
      </c>
      <c r="D1768" s="2" t="s">
        <v>758</v>
      </c>
      <c r="E1768" s="2" t="s">
        <v>796</v>
      </c>
      <c r="F1768" s="2" t="s">
        <v>795</v>
      </c>
      <c r="G1768" s="3">
        <v>46183</v>
      </c>
      <c r="H1768" s="2" t="s">
        <v>753</v>
      </c>
      <c r="I1768" s="2" t="s">
        <v>755</v>
      </c>
      <c r="J1768" s="2" t="s">
        <v>754</v>
      </c>
      <c r="K1768" s="2" t="s">
        <v>753</v>
      </c>
      <c r="L1768" s="6">
        <v>28</v>
      </c>
      <c r="M1768" s="2" t="s">
        <v>752</v>
      </c>
      <c r="N1768" s="7">
        <v>35.65</v>
      </c>
      <c r="O1768" s="4">
        <v>998.2</v>
      </c>
      <c r="P1768" s="4">
        <v>998.2</v>
      </c>
      <c r="Q1768" s="6">
        <v>0</v>
      </c>
    </row>
    <row r="1769" spans="1:17" x14ac:dyDescent="0.25">
      <c r="A1769" s="2" t="s">
        <v>114</v>
      </c>
      <c r="B1769" s="2" t="s">
        <v>21</v>
      </c>
      <c r="C1769" s="2" t="s">
        <v>22</v>
      </c>
      <c r="D1769" s="2" t="s">
        <v>758</v>
      </c>
      <c r="E1769" s="2" t="s">
        <v>774</v>
      </c>
      <c r="F1769" s="2" t="s">
        <v>773</v>
      </c>
      <c r="G1769" s="3">
        <v>46183</v>
      </c>
      <c r="H1769" s="2" t="s">
        <v>753</v>
      </c>
      <c r="I1769" s="2" t="s">
        <v>755</v>
      </c>
      <c r="J1769" s="2" t="s">
        <v>754</v>
      </c>
      <c r="K1769" s="2" t="s">
        <v>753</v>
      </c>
      <c r="L1769" s="6">
        <v>28</v>
      </c>
      <c r="M1769" s="2" t="s">
        <v>752</v>
      </c>
      <c r="N1769" s="7">
        <v>38.299999999999997</v>
      </c>
      <c r="O1769" s="4">
        <v>1072.4000000000001</v>
      </c>
      <c r="P1769" s="4">
        <v>1072.4000000000001</v>
      </c>
      <c r="Q1769" s="6">
        <v>0</v>
      </c>
    </row>
    <row r="1770" spans="1:17" x14ac:dyDescent="0.25">
      <c r="A1770" s="2" t="s">
        <v>114</v>
      </c>
      <c r="B1770" s="2" t="s">
        <v>21</v>
      </c>
      <c r="C1770" s="2" t="s">
        <v>22</v>
      </c>
      <c r="D1770" s="2" t="s">
        <v>758</v>
      </c>
      <c r="E1770" s="2" t="s">
        <v>794</v>
      </c>
      <c r="F1770" s="2" t="s">
        <v>793</v>
      </c>
      <c r="G1770" s="3">
        <v>46183</v>
      </c>
      <c r="H1770" s="2" t="s">
        <v>753</v>
      </c>
      <c r="I1770" s="2" t="s">
        <v>755</v>
      </c>
      <c r="J1770" s="2" t="s">
        <v>754</v>
      </c>
      <c r="K1770" s="2" t="s">
        <v>753</v>
      </c>
      <c r="L1770" s="6">
        <v>28</v>
      </c>
      <c r="M1770" s="2" t="s">
        <v>752</v>
      </c>
      <c r="N1770" s="7">
        <v>40.619999999999997</v>
      </c>
      <c r="O1770" s="4">
        <v>1137.3599999999999</v>
      </c>
      <c r="P1770" s="4">
        <v>1137.3599999999999</v>
      </c>
      <c r="Q1770" s="6">
        <v>0</v>
      </c>
    </row>
    <row r="1771" spans="1:17" x14ac:dyDescent="0.25">
      <c r="A1771" s="2" t="s">
        <v>114</v>
      </c>
      <c r="B1771" s="2" t="s">
        <v>21</v>
      </c>
      <c r="C1771" s="2" t="s">
        <v>22</v>
      </c>
      <c r="D1771" s="2" t="s">
        <v>758</v>
      </c>
      <c r="E1771" s="2" t="s">
        <v>792</v>
      </c>
      <c r="F1771" s="2" t="s">
        <v>791</v>
      </c>
      <c r="G1771" s="3">
        <v>46183</v>
      </c>
      <c r="H1771" s="2" t="s">
        <v>753</v>
      </c>
      <c r="I1771" s="2" t="s">
        <v>755</v>
      </c>
      <c r="J1771" s="2" t="s">
        <v>754</v>
      </c>
      <c r="K1771" s="2" t="s">
        <v>753</v>
      </c>
      <c r="L1771" s="6">
        <v>12</v>
      </c>
      <c r="M1771" s="2" t="s">
        <v>752</v>
      </c>
      <c r="N1771" s="7">
        <v>35</v>
      </c>
      <c r="O1771" s="4">
        <v>420</v>
      </c>
      <c r="P1771" s="4">
        <v>420</v>
      </c>
      <c r="Q1771" s="6">
        <v>0</v>
      </c>
    </row>
    <row r="1772" spans="1:17" x14ac:dyDescent="0.25">
      <c r="A1772" s="2" t="s">
        <v>114</v>
      </c>
      <c r="B1772" s="2" t="s">
        <v>21</v>
      </c>
      <c r="C1772" s="2" t="s">
        <v>22</v>
      </c>
      <c r="D1772" s="2" t="s">
        <v>758</v>
      </c>
      <c r="E1772" s="2" t="s">
        <v>790</v>
      </c>
      <c r="F1772" s="2" t="s">
        <v>789</v>
      </c>
      <c r="G1772" s="3">
        <v>46183</v>
      </c>
      <c r="H1772" s="2" t="s">
        <v>753</v>
      </c>
      <c r="I1772" s="2" t="s">
        <v>755</v>
      </c>
      <c r="J1772" s="2" t="s">
        <v>754</v>
      </c>
      <c r="K1772" s="2" t="s">
        <v>753</v>
      </c>
      <c r="L1772" s="6">
        <v>0</v>
      </c>
      <c r="M1772" s="2" t="s">
        <v>752</v>
      </c>
      <c r="N1772" s="7">
        <v>39.25</v>
      </c>
      <c r="O1772" s="4">
        <v>0</v>
      </c>
      <c r="P1772" s="4">
        <v>0</v>
      </c>
      <c r="Q1772" s="6">
        <v>0</v>
      </c>
    </row>
    <row r="1773" spans="1:17" x14ac:dyDescent="0.25">
      <c r="A1773" s="2" t="s">
        <v>114</v>
      </c>
      <c r="B1773" s="2" t="s">
        <v>21</v>
      </c>
      <c r="C1773" s="2" t="s">
        <v>22</v>
      </c>
      <c r="D1773" s="2" t="s">
        <v>758</v>
      </c>
      <c r="E1773" s="2" t="s">
        <v>772</v>
      </c>
      <c r="F1773" s="2" t="s">
        <v>771</v>
      </c>
      <c r="G1773" s="3">
        <v>46183</v>
      </c>
      <c r="H1773" s="2" t="s">
        <v>753</v>
      </c>
      <c r="I1773" s="2" t="s">
        <v>755</v>
      </c>
      <c r="J1773" s="2" t="s">
        <v>754</v>
      </c>
      <c r="K1773" s="2" t="s">
        <v>753</v>
      </c>
      <c r="L1773" s="6">
        <v>0</v>
      </c>
      <c r="M1773" s="2" t="s">
        <v>752</v>
      </c>
      <c r="N1773" s="7">
        <v>34.5</v>
      </c>
      <c r="O1773" s="4">
        <v>0</v>
      </c>
      <c r="P1773" s="4">
        <v>0</v>
      </c>
      <c r="Q1773" s="6">
        <v>0</v>
      </c>
    </row>
    <row r="1774" spans="1:17" x14ac:dyDescent="0.25">
      <c r="A1774" s="2" t="s">
        <v>114</v>
      </c>
      <c r="B1774" s="2" t="s">
        <v>21</v>
      </c>
      <c r="C1774" s="2" t="s">
        <v>22</v>
      </c>
      <c r="D1774" s="2" t="s">
        <v>758</v>
      </c>
      <c r="E1774" s="2" t="s">
        <v>786</v>
      </c>
      <c r="F1774" s="2" t="s">
        <v>785</v>
      </c>
      <c r="G1774" s="3">
        <v>46183</v>
      </c>
      <c r="H1774" s="2" t="s">
        <v>753</v>
      </c>
      <c r="I1774" s="2" t="s">
        <v>755</v>
      </c>
      <c r="J1774" s="2" t="s">
        <v>754</v>
      </c>
      <c r="K1774" s="2" t="s">
        <v>753</v>
      </c>
      <c r="L1774" s="6">
        <v>56</v>
      </c>
      <c r="M1774" s="2" t="s">
        <v>752</v>
      </c>
      <c r="N1774" s="7">
        <v>35</v>
      </c>
      <c r="O1774" s="4">
        <v>1960</v>
      </c>
      <c r="P1774" s="4">
        <v>1960</v>
      </c>
      <c r="Q1774" s="6">
        <v>0</v>
      </c>
    </row>
    <row r="1775" spans="1:17" x14ac:dyDescent="0.25">
      <c r="A1775" s="2" t="s">
        <v>114</v>
      </c>
      <c r="B1775" s="2" t="s">
        <v>21</v>
      </c>
      <c r="C1775" s="2" t="s">
        <v>22</v>
      </c>
      <c r="D1775" s="2" t="s">
        <v>758</v>
      </c>
      <c r="E1775" s="2" t="s">
        <v>851</v>
      </c>
      <c r="F1775" s="2" t="s">
        <v>850</v>
      </c>
      <c r="G1775" s="3">
        <v>46183</v>
      </c>
      <c r="H1775" s="2" t="s">
        <v>753</v>
      </c>
      <c r="I1775" s="2" t="s">
        <v>755</v>
      </c>
      <c r="J1775" s="2" t="s">
        <v>754</v>
      </c>
      <c r="K1775" s="2" t="s">
        <v>753</v>
      </c>
      <c r="L1775" s="6">
        <v>0</v>
      </c>
      <c r="M1775" s="2" t="s">
        <v>752</v>
      </c>
      <c r="N1775" s="7">
        <v>43.82</v>
      </c>
      <c r="O1775" s="4">
        <v>0</v>
      </c>
      <c r="P1775" s="4">
        <v>0</v>
      </c>
      <c r="Q1775" s="6">
        <v>0</v>
      </c>
    </row>
    <row r="1776" spans="1:17" x14ac:dyDescent="0.25">
      <c r="A1776" s="2" t="s">
        <v>114</v>
      </c>
      <c r="B1776" s="2" t="s">
        <v>21</v>
      </c>
      <c r="C1776" s="2" t="s">
        <v>22</v>
      </c>
      <c r="D1776" s="2" t="s">
        <v>758</v>
      </c>
      <c r="E1776" s="2" t="s">
        <v>778</v>
      </c>
      <c r="F1776" s="2" t="s">
        <v>777</v>
      </c>
      <c r="G1776" s="3">
        <v>46183</v>
      </c>
      <c r="H1776" s="2" t="s">
        <v>753</v>
      </c>
      <c r="I1776" s="2" t="s">
        <v>755</v>
      </c>
      <c r="J1776" s="2" t="s">
        <v>754</v>
      </c>
      <c r="K1776" s="2" t="s">
        <v>753</v>
      </c>
      <c r="L1776" s="6">
        <v>28</v>
      </c>
      <c r="M1776" s="2" t="s">
        <v>752</v>
      </c>
      <c r="N1776" s="7">
        <v>42</v>
      </c>
      <c r="O1776" s="4">
        <v>1176</v>
      </c>
      <c r="P1776" s="4">
        <v>1176</v>
      </c>
      <c r="Q1776" s="6">
        <v>0</v>
      </c>
    </row>
    <row r="1777" spans="1:17" x14ac:dyDescent="0.25">
      <c r="A1777" s="2" t="s">
        <v>114</v>
      </c>
      <c r="B1777" s="2" t="s">
        <v>21</v>
      </c>
      <c r="C1777" s="2" t="s">
        <v>22</v>
      </c>
      <c r="D1777" s="2" t="s">
        <v>758</v>
      </c>
      <c r="E1777" s="2" t="s">
        <v>776</v>
      </c>
      <c r="F1777" s="2" t="s">
        <v>775</v>
      </c>
      <c r="G1777" s="3">
        <v>46183</v>
      </c>
      <c r="H1777" s="2" t="s">
        <v>753</v>
      </c>
      <c r="I1777" s="2" t="s">
        <v>755</v>
      </c>
      <c r="J1777" s="2" t="s">
        <v>754</v>
      </c>
      <c r="K1777" s="2" t="s">
        <v>753</v>
      </c>
      <c r="L1777" s="6">
        <v>32</v>
      </c>
      <c r="M1777" s="2" t="s">
        <v>752</v>
      </c>
      <c r="N1777" s="7">
        <v>43.82</v>
      </c>
      <c r="O1777" s="4">
        <v>1402.24</v>
      </c>
      <c r="P1777" s="4">
        <v>1402.24</v>
      </c>
      <c r="Q1777" s="6">
        <v>0</v>
      </c>
    </row>
    <row r="1778" spans="1:17" x14ac:dyDescent="0.25">
      <c r="A1778" s="2" t="s">
        <v>114</v>
      </c>
      <c r="B1778" s="2" t="s">
        <v>21</v>
      </c>
      <c r="C1778" s="2" t="s">
        <v>22</v>
      </c>
      <c r="D1778" s="2" t="s">
        <v>758</v>
      </c>
      <c r="E1778" s="2" t="s">
        <v>886</v>
      </c>
      <c r="F1778" s="2" t="s">
        <v>885</v>
      </c>
      <c r="G1778" s="3">
        <v>46183</v>
      </c>
      <c r="H1778" s="2" t="s">
        <v>753</v>
      </c>
      <c r="I1778" s="2" t="s">
        <v>755</v>
      </c>
      <c r="J1778" s="2" t="s">
        <v>754</v>
      </c>
      <c r="K1778" s="2" t="s">
        <v>753</v>
      </c>
      <c r="L1778" s="6">
        <v>8</v>
      </c>
      <c r="M1778" s="2" t="s">
        <v>752</v>
      </c>
      <c r="N1778" s="7">
        <v>64</v>
      </c>
      <c r="O1778" s="4">
        <v>512</v>
      </c>
      <c r="P1778" s="4">
        <v>512</v>
      </c>
      <c r="Q1778" s="6">
        <v>0</v>
      </c>
    </row>
    <row r="1779" spans="1:17" x14ac:dyDescent="0.25">
      <c r="A1779" s="2" t="s">
        <v>98</v>
      </c>
      <c r="B1779" s="2" t="s">
        <v>99</v>
      </c>
      <c r="C1779" s="2" t="s">
        <v>100</v>
      </c>
      <c r="D1779" s="2" t="s">
        <v>758</v>
      </c>
      <c r="E1779" s="2" t="s">
        <v>757</v>
      </c>
      <c r="F1779" s="2" t="s">
        <v>756</v>
      </c>
      <c r="G1779" s="3">
        <v>46185</v>
      </c>
      <c r="H1779" s="2" t="s">
        <v>770</v>
      </c>
      <c r="I1779" s="2" t="s">
        <v>755</v>
      </c>
      <c r="J1779" s="2" t="s">
        <v>754</v>
      </c>
      <c r="K1779" s="2" t="s">
        <v>753</v>
      </c>
      <c r="L1779" s="6">
        <v>848</v>
      </c>
      <c r="M1779" s="2" t="s">
        <v>752</v>
      </c>
      <c r="N1779" s="7">
        <v>39.700000000000003</v>
      </c>
      <c r="O1779" s="4">
        <v>33665.599999999999</v>
      </c>
      <c r="P1779" s="4">
        <v>33665.599999999999</v>
      </c>
      <c r="Q1779" s="6">
        <v>0</v>
      </c>
    </row>
    <row r="1780" spans="1:17" x14ac:dyDescent="0.25">
      <c r="A1780" s="2" t="s">
        <v>64</v>
      </c>
      <c r="B1780" s="2" t="s">
        <v>65</v>
      </c>
      <c r="C1780" s="2" t="s">
        <v>66</v>
      </c>
      <c r="D1780" s="2" t="s">
        <v>758</v>
      </c>
      <c r="E1780" s="2" t="s">
        <v>763</v>
      </c>
      <c r="F1780" s="2" t="s">
        <v>762</v>
      </c>
      <c r="G1780" s="3">
        <v>46191</v>
      </c>
      <c r="H1780" s="2" t="s">
        <v>770</v>
      </c>
      <c r="I1780" s="2" t="s">
        <v>755</v>
      </c>
      <c r="J1780" s="2" t="s">
        <v>754</v>
      </c>
      <c r="K1780" s="2" t="s">
        <v>753</v>
      </c>
      <c r="L1780" s="6">
        <v>532</v>
      </c>
      <c r="M1780" s="2" t="s">
        <v>752</v>
      </c>
      <c r="N1780" s="7">
        <v>42.6</v>
      </c>
      <c r="O1780" s="4">
        <v>22663.200000000001</v>
      </c>
      <c r="P1780" s="4">
        <v>22663.200000000001</v>
      </c>
      <c r="Q1780" s="6">
        <v>0</v>
      </c>
    </row>
    <row r="1781" spans="1:17" x14ac:dyDescent="0.25">
      <c r="A1781" s="2" t="s">
        <v>64</v>
      </c>
      <c r="B1781" s="2" t="s">
        <v>65</v>
      </c>
      <c r="C1781" s="2" t="s">
        <v>66</v>
      </c>
      <c r="D1781" s="2" t="s">
        <v>758</v>
      </c>
      <c r="E1781" s="2" t="s">
        <v>790</v>
      </c>
      <c r="F1781" s="2" t="s">
        <v>789</v>
      </c>
      <c r="G1781" s="3">
        <v>46191</v>
      </c>
      <c r="H1781" s="2" t="s">
        <v>770</v>
      </c>
      <c r="I1781" s="2" t="s">
        <v>755</v>
      </c>
      <c r="J1781" s="2" t="s">
        <v>754</v>
      </c>
      <c r="K1781" s="2" t="s">
        <v>753</v>
      </c>
      <c r="L1781" s="6">
        <v>48</v>
      </c>
      <c r="M1781" s="2" t="s">
        <v>752</v>
      </c>
      <c r="N1781" s="7">
        <v>39.25</v>
      </c>
      <c r="O1781" s="4">
        <v>1884</v>
      </c>
      <c r="P1781" s="4">
        <v>1884</v>
      </c>
      <c r="Q1781" s="6">
        <v>0</v>
      </c>
    </row>
    <row r="1782" spans="1:17" x14ac:dyDescent="0.25">
      <c r="A1782" s="2" t="s">
        <v>64</v>
      </c>
      <c r="B1782" s="2" t="s">
        <v>65</v>
      </c>
      <c r="C1782" s="2" t="s">
        <v>66</v>
      </c>
      <c r="D1782" s="2" t="s">
        <v>758</v>
      </c>
      <c r="E1782" s="2" t="s">
        <v>772</v>
      </c>
      <c r="F1782" s="2" t="s">
        <v>771</v>
      </c>
      <c r="G1782" s="3">
        <v>46191</v>
      </c>
      <c r="H1782" s="2" t="s">
        <v>770</v>
      </c>
      <c r="I1782" s="2" t="s">
        <v>755</v>
      </c>
      <c r="J1782" s="2" t="s">
        <v>754</v>
      </c>
      <c r="K1782" s="2" t="s">
        <v>753</v>
      </c>
      <c r="L1782" s="6">
        <v>168</v>
      </c>
      <c r="M1782" s="2" t="s">
        <v>752</v>
      </c>
      <c r="N1782" s="7">
        <v>34.5</v>
      </c>
      <c r="O1782" s="4">
        <v>5796</v>
      </c>
      <c r="P1782" s="4">
        <v>5796</v>
      </c>
      <c r="Q1782" s="6">
        <v>0</v>
      </c>
    </row>
    <row r="1783" spans="1:17" x14ac:dyDescent="0.25">
      <c r="A1783" s="2" t="s">
        <v>64</v>
      </c>
      <c r="B1783" s="2" t="s">
        <v>65</v>
      </c>
      <c r="C1783" s="2" t="s">
        <v>66</v>
      </c>
      <c r="D1783" s="2" t="s">
        <v>758</v>
      </c>
      <c r="E1783" s="2" t="s">
        <v>786</v>
      </c>
      <c r="F1783" s="2" t="s">
        <v>785</v>
      </c>
      <c r="G1783" s="3">
        <v>46191</v>
      </c>
      <c r="H1783" s="2" t="s">
        <v>770</v>
      </c>
      <c r="I1783" s="2" t="s">
        <v>755</v>
      </c>
      <c r="J1783" s="2" t="s">
        <v>754</v>
      </c>
      <c r="K1783" s="2" t="s">
        <v>753</v>
      </c>
      <c r="L1783" s="6">
        <v>84</v>
      </c>
      <c r="M1783" s="2" t="s">
        <v>752</v>
      </c>
      <c r="N1783" s="7">
        <v>35</v>
      </c>
      <c r="O1783" s="4">
        <v>2940</v>
      </c>
      <c r="P1783" s="4">
        <v>2940</v>
      </c>
      <c r="Q1783" s="6">
        <v>0</v>
      </c>
    </row>
    <row r="1784" spans="1:17" x14ac:dyDescent="0.25">
      <c r="A1784" s="2" t="s">
        <v>884</v>
      </c>
      <c r="B1784" s="2" t="s">
        <v>760</v>
      </c>
      <c r="C1784" s="2" t="s">
        <v>759</v>
      </c>
      <c r="D1784" s="2" t="s">
        <v>758</v>
      </c>
      <c r="E1784" s="2" t="s">
        <v>883</v>
      </c>
      <c r="F1784" s="2" t="s">
        <v>882</v>
      </c>
      <c r="G1784" s="3">
        <v>46176</v>
      </c>
      <c r="H1784" s="2" t="s">
        <v>753</v>
      </c>
      <c r="I1784" s="2" t="s">
        <v>755</v>
      </c>
      <c r="J1784" s="2" t="s">
        <v>754</v>
      </c>
      <c r="K1784" s="2" t="s">
        <v>753</v>
      </c>
      <c r="L1784" s="6">
        <v>0</v>
      </c>
      <c r="M1784" s="2" t="s">
        <v>752</v>
      </c>
      <c r="N1784" s="7">
        <v>0</v>
      </c>
      <c r="O1784" s="4">
        <v>0</v>
      </c>
      <c r="P1784" s="4">
        <v>0</v>
      </c>
      <c r="Q1784" s="6">
        <v>0</v>
      </c>
    </row>
    <row r="1785" spans="1:17" x14ac:dyDescent="0.25">
      <c r="A1785" s="2" t="s">
        <v>76</v>
      </c>
      <c r="B1785" s="2" t="s">
        <v>77</v>
      </c>
      <c r="C1785" s="2" t="s">
        <v>78</v>
      </c>
      <c r="D1785" s="2" t="s">
        <v>758</v>
      </c>
      <c r="E1785" s="2" t="s">
        <v>879</v>
      </c>
      <c r="F1785" s="2" t="s">
        <v>878</v>
      </c>
      <c r="G1785" s="3">
        <v>46190</v>
      </c>
      <c r="H1785" s="2" t="s">
        <v>753</v>
      </c>
      <c r="I1785" s="2" t="s">
        <v>755</v>
      </c>
      <c r="J1785" s="2" t="s">
        <v>754</v>
      </c>
      <c r="K1785" s="2" t="s">
        <v>753</v>
      </c>
      <c r="L1785" s="6">
        <v>224</v>
      </c>
      <c r="M1785" s="2" t="s">
        <v>752</v>
      </c>
      <c r="N1785" s="7">
        <v>30</v>
      </c>
      <c r="O1785" s="4">
        <v>6720</v>
      </c>
      <c r="P1785" s="4">
        <v>6720</v>
      </c>
      <c r="Q1785" s="6">
        <v>0</v>
      </c>
    </row>
    <row r="1786" spans="1:17" x14ac:dyDescent="0.25">
      <c r="A1786" s="2" t="s">
        <v>84</v>
      </c>
      <c r="B1786" s="2" t="s">
        <v>55</v>
      </c>
      <c r="C1786" s="2" t="s">
        <v>56</v>
      </c>
      <c r="D1786" s="2" t="s">
        <v>758</v>
      </c>
      <c r="E1786" s="2" t="s">
        <v>859</v>
      </c>
      <c r="F1786" s="2" t="s">
        <v>858</v>
      </c>
      <c r="G1786" s="3">
        <v>46189</v>
      </c>
      <c r="H1786" s="2" t="s">
        <v>753</v>
      </c>
      <c r="I1786" s="2" t="s">
        <v>755</v>
      </c>
      <c r="J1786" s="2" t="s">
        <v>754</v>
      </c>
      <c r="K1786" s="2" t="s">
        <v>753</v>
      </c>
      <c r="L1786" s="6">
        <v>960</v>
      </c>
      <c r="M1786" s="2" t="s">
        <v>752</v>
      </c>
      <c r="N1786" s="7">
        <v>33.42</v>
      </c>
      <c r="O1786" s="4">
        <v>32083.200000000001</v>
      </c>
      <c r="P1786" s="4">
        <v>32083.200000000001</v>
      </c>
      <c r="Q1786" s="6">
        <v>0</v>
      </c>
    </row>
    <row r="1787" spans="1:17" x14ac:dyDescent="0.25">
      <c r="A1787" s="2" t="s">
        <v>72</v>
      </c>
      <c r="B1787" s="2" t="s">
        <v>73</v>
      </c>
      <c r="C1787" s="2" t="s">
        <v>74</v>
      </c>
      <c r="D1787" s="2" t="s">
        <v>758</v>
      </c>
      <c r="E1787" s="2" t="s">
        <v>881</v>
      </c>
      <c r="F1787" s="2" t="s">
        <v>880</v>
      </c>
      <c r="G1787" s="3">
        <v>46190</v>
      </c>
      <c r="H1787" s="2" t="s">
        <v>753</v>
      </c>
      <c r="I1787" s="2" t="s">
        <v>755</v>
      </c>
      <c r="J1787" s="2" t="s">
        <v>754</v>
      </c>
      <c r="K1787" s="2" t="s">
        <v>753</v>
      </c>
      <c r="L1787" s="6">
        <v>28</v>
      </c>
      <c r="M1787" s="2" t="s">
        <v>752</v>
      </c>
      <c r="N1787" s="7">
        <v>50.05</v>
      </c>
      <c r="O1787" s="4">
        <v>1401.4</v>
      </c>
      <c r="P1787" s="4">
        <v>1401.4</v>
      </c>
      <c r="Q1787" s="6">
        <v>0</v>
      </c>
    </row>
    <row r="1788" spans="1:17" x14ac:dyDescent="0.25">
      <c r="A1788" s="2" t="s">
        <v>72</v>
      </c>
      <c r="B1788" s="2" t="s">
        <v>73</v>
      </c>
      <c r="C1788" s="2" t="s">
        <v>74</v>
      </c>
      <c r="D1788" s="2" t="s">
        <v>758</v>
      </c>
      <c r="E1788" s="2" t="s">
        <v>794</v>
      </c>
      <c r="F1788" s="2" t="s">
        <v>793</v>
      </c>
      <c r="G1788" s="3">
        <v>46190</v>
      </c>
      <c r="H1788" s="2" t="s">
        <v>753</v>
      </c>
      <c r="I1788" s="2" t="s">
        <v>755</v>
      </c>
      <c r="J1788" s="2" t="s">
        <v>754</v>
      </c>
      <c r="K1788" s="2" t="s">
        <v>753</v>
      </c>
      <c r="L1788" s="6">
        <v>392</v>
      </c>
      <c r="M1788" s="2" t="s">
        <v>752</v>
      </c>
      <c r="N1788" s="7">
        <v>36</v>
      </c>
      <c r="O1788" s="4">
        <v>14112</v>
      </c>
      <c r="P1788" s="4">
        <v>14112</v>
      </c>
      <c r="Q1788" s="6">
        <v>0</v>
      </c>
    </row>
    <row r="1789" spans="1:17" x14ac:dyDescent="0.25">
      <c r="A1789" s="2" t="s">
        <v>72</v>
      </c>
      <c r="B1789" s="2" t="s">
        <v>73</v>
      </c>
      <c r="C1789" s="2" t="s">
        <v>74</v>
      </c>
      <c r="D1789" s="2" t="s">
        <v>758</v>
      </c>
      <c r="E1789" s="2" t="s">
        <v>879</v>
      </c>
      <c r="F1789" s="2" t="s">
        <v>878</v>
      </c>
      <c r="G1789" s="3">
        <v>46190</v>
      </c>
      <c r="H1789" s="2" t="s">
        <v>753</v>
      </c>
      <c r="I1789" s="2" t="s">
        <v>755</v>
      </c>
      <c r="J1789" s="2" t="s">
        <v>754</v>
      </c>
      <c r="K1789" s="2" t="s">
        <v>753</v>
      </c>
      <c r="L1789" s="6">
        <v>56</v>
      </c>
      <c r="M1789" s="2" t="s">
        <v>752</v>
      </c>
      <c r="N1789" s="7">
        <v>30</v>
      </c>
      <c r="O1789" s="4">
        <v>1680</v>
      </c>
      <c r="P1789" s="4">
        <v>1680</v>
      </c>
      <c r="Q1789" s="6">
        <v>0</v>
      </c>
    </row>
    <row r="1790" spans="1:17" x14ac:dyDescent="0.25">
      <c r="A1790" s="2" t="s">
        <v>72</v>
      </c>
      <c r="B1790" s="2" t="s">
        <v>73</v>
      </c>
      <c r="C1790" s="2" t="s">
        <v>74</v>
      </c>
      <c r="D1790" s="2" t="s">
        <v>758</v>
      </c>
      <c r="E1790" s="2" t="s">
        <v>815</v>
      </c>
      <c r="F1790" s="2" t="s">
        <v>814</v>
      </c>
      <c r="G1790" s="3">
        <v>46190</v>
      </c>
      <c r="H1790" s="2" t="s">
        <v>753</v>
      </c>
      <c r="I1790" s="2" t="s">
        <v>755</v>
      </c>
      <c r="J1790" s="2" t="s">
        <v>754</v>
      </c>
      <c r="K1790" s="2" t="s">
        <v>753</v>
      </c>
      <c r="L1790" s="6">
        <v>56</v>
      </c>
      <c r="M1790" s="2" t="s">
        <v>752</v>
      </c>
      <c r="N1790" s="7">
        <v>40</v>
      </c>
      <c r="O1790" s="4">
        <v>2240</v>
      </c>
      <c r="P1790" s="4">
        <v>2240</v>
      </c>
      <c r="Q1790" s="6">
        <v>0</v>
      </c>
    </row>
    <row r="1791" spans="1:17" x14ac:dyDescent="0.25">
      <c r="A1791" s="2" t="s">
        <v>72</v>
      </c>
      <c r="B1791" s="2" t="s">
        <v>73</v>
      </c>
      <c r="C1791" s="2" t="s">
        <v>74</v>
      </c>
      <c r="D1791" s="2" t="s">
        <v>758</v>
      </c>
      <c r="E1791" s="2" t="s">
        <v>877</v>
      </c>
      <c r="F1791" s="2" t="s">
        <v>876</v>
      </c>
      <c r="G1791" s="3">
        <v>46190</v>
      </c>
      <c r="H1791" s="2" t="s">
        <v>753</v>
      </c>
      <c r="I1791" s="2" t="s">
        <v>755</v>
      </c>
      <c r="J1791" s="2" t="s">
        <v>754</v>
      </c>
      <c r="K1791" s="2" t="s">
        <v>753</v>
      </c>
      <c r="L1791" s="6">
        <v>28</v>
      </c>
      <c r="M1791" s="2" t="s">
        <v>752</v>
      </c>
      <c r="N1791" s="7">
        <v>50.95</v>
      </c>
      <c r="O1791" s="4">
        <v>1426.6</v>
      </c>
      <c r="P1791" s="4">
        <v>1426.6</v>
      </c>
      <c r="Q1791" s="6">
        <v>0</v>
      </c>
    </row>
    <row r="1792" spans="1:17" x14ac:dyDescent="0.25">
      <c r="A1792" s="2" t="s">
        <v>48</v>
      </c>
      <c r="B1792" s="2" t="s">
        <v>49</v>
      </c>
      <c r="C1792" s="2" t="s">
        <v>50</v>
      </c>
      <c r="D1792" s="2" t="s">
        <v>758</v>
      </c>
      <c r="E1792" s="2" t="s">
        <v>871</v>
      </c>
      <c r="F1792" s="2" t="s">
        <v>870</v>
      </c>
      <c r="G1792" s="3">
        <v>46195</v>
      </c>
      <c r="H1792" s="2" t="s">
        <v>753</v>
      </c>
      <c r="I1792" s="2" t="s">
        <v>755</v>
      </c>
      <c r="J1792" s="2" t="s">
        <v>754</v>
      </c>
      <c r="K1792" s="2" t="s">
        <v>753</v>
      </c>
      <c r="L1792" s="6">
        <v>30</v>
      </c>
      <c r="M1792" s="2" t="s">
        <v>752</v>
      </c>
      <c r="N1792" s="7">
        <v>37.5</v>
      </c>
      <c r="O1792" s="4">
        <v>1125</v>
      </c>
      <c r="P1792" s="4">
        <v>1125</v>
      </c>
      <c r="Q1792" s="6">
        <v>0</v>
      </c>
    </row>
    <row r="1793" spans="1:17" x14ac:dyDescent="0.25">
      <c r="A1793" s="2" t="s">
        <v>48</v>
      </c>
      <c r="B1793" s="2" t="s">
        <v>49</v>
      </c>
      <c r="C1793" s="2" t="s">
        <v>50</v>
      </c>
      <c r="D1793" s="2" t="s">
        <v>758</v>
      </c>
      <c r="E1793" s="2" t="s">
        <v>875</v>
      </c>
      <c r="F1793" s="2" t="s">
        <v>874</v>
      </c>
      <c r="G1793" s="3">
        <v>46195</v>
      </c>
      <c r="H1793" s="2" t="s">
        <v>753</v>
      </c>
      <c r="I1793" s="2" t="s">
        <v>755</v>
      </c>
      <c r="J1793" s="2" t="s">
        <v>754</v>
      </c>
      <c r="K1793" s="2" t="s">
        <v>753</v>
      </c>
      <c r="L1793" s="6">
        <v>32</v>
      </c>
      <c r="M1793" s="2" t="s">
        <v>752</v>
      </c>
      <c r="N1793" s="7">
        <v>34.5</v>
      </c>
      <c r="O1793" s="4">
        <v>1104</v>
      </c>
      <c r="P1793" s="4">
        <v>1104</v>
      </c>
      <c r="Q1793" s="6">
        <v>0</v>
      </c>
    </row>
    <row r="1794" spans="1:17" x14ac:dyDescent="0.25">
      <c r="A1794" s="2" t="s">
        <v>112</v>
      </c>
      <c r="B1794" s="2" t="s">
        <v>69</v>
      </c>
      <c r="C1794" s="2" t="s">
        <v>70</v>
      </c>
      <c r="D1794" s="2" t="s">
        <v>758</v>
      </c>
      <c r="E1794" s="2" t="s">
        <v>847</v>
      </c>
      <c r="F1794" s="2" t="s">
        <v>846</v>
      </c>
      <c r="G1794" s="3">
        <v>46183</v>
      </c>
      <c r="H1794" s="2" t="s">
        <v>753</v>
      </c>
      <c r="I1794" s="2" t="s">
        <v>755</v>
      </c>
      <c r="J1794" s="2" t="s">
        <v>754</v>
      </c>
      <c r="K1794" s="2" t="s">
        <v>753</v>
      </c>
      <c r="L1794" s="6">
        <v>30</v>
      </c>
      <c r="M1794" s="2" t="s">
        <v>752</v>
      </c>
      <c r="N1794" s="7">
        <v>30.32</v>
      </c>
      <c r="O1794" s="4">
        <v>909.6</v>
      </c>
      <c r="P1794" s="4">
        <v>909.6</v>
      </c>
      <c r="Q1794" s="6">
        <v>0</v>
      </c>
    </row>
    <row r="1795" spans="1:17" x14ac:dyDescent="0.25">
      <c r="A1795" s="2" t="s">
        <v>112</v>
      </c>
      <c r="B1795" s="2" t="s">
        <v>69</v>
      </c>
      <c r="C1795" s="2" t="s">
        <v>70</v>
      </c>
      <c r="D1795" s="2" t="s">
        <v>758</v>
      </c>
      <c r="E1795" s="2" t="s">
        <v>857</v>
      </c>
      <c r="F1795" s="2" t="s">
        <v>856</v>
      </c>
      <c r="G1795" s="3">
        <v>46183</v>
      </c>
      <c r="H1795" s="2" t="s">
        <v>753</v>
      </c>
      <c r="I1795" s="2" t="s">
        <v>755</v>
      </c>
      <c r="J1795" s="2" t="s">
        <v>754</v>
      </c>
      <c r="K1795" s="2" t="s">
        <v>753</v>
      </c>
      <c r="L1795" s="6">
        <v>40</v>
      </c>
      <c r="M1795" s="2" t="s">
        <v>752</v>
      </c>
      <c r="N1795" s="7">
        <v>34.18</v>
      </c>
      <c r="O1795" s="4">
        <v>1367.2</v>
      </c>
      <c r="P1795" s="4">
        <v>1367.2</v>
      </c>
      <c r="Q1795" s="6">
        <v>0</v>
      </c>
    </row>
    <row r="1796" spans="1:17" x14ac:dyDescent="0.25">
      <c r="A1796" s="2" t="s">
        <v>62</v>
      </c>
      <c r="B1796" s="2" t="s">
        <v>29</v>
      </c>
      <c r="C1796" s="2" t="s">
        <v>30</v>
      </c>
      <c r="D1796" s="2" t="s">
        <v>758</v>
      </c>
      <c r="E1796" s="2" t="s">
        <v>780</v>
      </c>
      <c r="F1796" s="2" t="s">
        <v>779</v>
      </c>
      <c r="G1796" s="3">
        <v>46191</v>
      </c>
      <c r="H1796" s="2" t="s">
        <v>753</v>
      </c>
      <c r="I1796" s="2" t="s">
        <v>755</v>
      </c>
      <c r="J1796" s="2" t="s">
        <v>754</v>
      </c>
      <c r="K1796" s="2" t="s">
        <v>753</v>
      </c>
      <c r="L1796" s="6">
        <v>16</v>
      </c>
      <c r="M1796" s="2" t="s">
        <v>752</v>
      </c>
      <c r="N1796" s="7">
        <v>36.5</v>
      </c>
      <c r="O1796" s="4">
        <v>584</v>
      </c>
      <c r="P1796" s="4">
        <v>584</v>
      </c>
      <c r="Q1796" s="6">
        <v>0</v>
      </c>
    </row>
    <row r="1797" spans="1:17" x14ac:dyDescent="0.25">
      <c r="A1797" s="2" t="s">
        <v>62</v>
      </c>
      <c r="B1797" s="2" t="s">
        <v>29</v>
      </c>
      <c r="C1797" s="2" t="s">
        <v>30</v>
      </c>
      <c r="D1797" s="2" t="s">
        <v>758</v>
      </c>
      <c r="E1797" s="2" t="s">
        <v>817</v>
      </c>
      <c r="F1797" s="2" t="s">
        <v>816</v>
      </c>
      <c r="G1797" s="3">
        <v>46191</v>
      </c>
      <c r="H1797" s="2" t="s">
        <v>753</v>
      </c>
      <c r="I1797" s="2" t="s">
        <v>755</v>
      </c>
      <c r="J1797" s="2" t="s">
        <v>754</v>
      </c>
      <c r="K1797" s="2" t="s">
        <v>753</v>
      </c>
      <c r="L1797" s="6">
        <v>56</v>
      </c>
      <c r="M1797" s="2" t="s">
        <v>752</v>
      </c>
      <c r="N1797" s="7">
        <v>31.42</v>
      </c>
      <c r="O1797" s="4">
        <v>1759.52</v>
      </c>
      <c r="P1797" s="4">
        <v>1759.52</v>
      </c>
      <c r="Q1797" s="6">
        <v>0</v>
      </c>
    </row>
    <row r="1798" spans="1:17" x14ac:dyDescent="0.25">
      <c r="A1798" s="2" t="s">
        <v>62</v>
      </c>
      <c r="B1798" s="2" t="s">
        <v>29</v>
      </c>
      <c r="C1798" s="2" t="s">
        <v>30</v>
      </c>
      <c r="D1798" s="2" t="s">
        <v>758</v>
      </c>
      <c r="E1798" s="2" t="s">
        <v>815</v>
      </c>
      <c r="F1798" s="2" t="s">
        <v>814</v>
      </c>
      <c r="G1798" s="3">
        <v>46191</v>
      </c>
      <c r="H1798" s="2" t="s">
        <v>753</v>
      </c>
      <c r="I1798" s="2" t="s">
        <v>755</v>
      </c>
      <c r="J1798" s="2" t="s">
        <v>754</v>
      </c>
      <c r="K1798" s="2" t="s">
        <v>753</v>
      </c>
      <c r="L1798" s="6">
        <v>84</v>
      </c>
      <c r="M1798" s="2" t="s">
        <v>752</v>
      </c>
      <c r="N1798" s="7">
        <v>34</v>
      </c>
      <c r="O1798" s="4">
        <v>2856</v>
      </c>
      <c r="P1798" s="4">
        <v>2856</v>
      </c>
      <c r="Q1798" s="6">
        <v>0</v>
      </c>
    </row>
    <row r="1799" spans="1:17" x14ac:dyDescent="0.25">
      <c r="A1799" s="2" t="s">
        <v>62</v>
      </c>
      <c r="B1799" s="2" t="s">
        <v>29</v>
      </c>
      <c r="C1799" s="2" t="s">
        <v>30</v>
      </c>
      <c r="D1799" s="2" t="s">
        <v>758</v>
      </c>
      <c r="E1799" s="2" t="s">
        <v>813</v>
      </c>
      <c r="F1799" s="2" t="s">
        <v>812</v>
      </c>
      <c r="G1799" s="3">
        <v>46191</v>
      </c>
      <c r="H1799" s="2" t="s">
        <v>753</v>
      </c>
      <c r="I1799" s="2" t="s">
        <v>755</v>
      </c>
      <c r="J1799" s="2" t="s">
        <v>754</v>
      </c>
      <c r="K1799" s="2" t="s">
        <v>753</v>
      </c>
      <c r="L1799" s="6">
        <v>12</v>
      </c>
      <c r="M1799" s="2" t="s">
        <v>752</v>
      </c>
      <c r="N1799" s="7">
        <v>43.26</v>
      </c>
      <c r="O1799" s="4">
        <v>519.12</v>
      </c>
      <c r="P1799" s="4">
        <v>519.12</v>
      </c>
      <c r="Q1799" s="6">
        <v>0</v>
      </c>
    </row>
    <row r="1800" spans="1:17" x14ac:dyDescent="0.25">
      <c r="A1800" s="2" t="s">
        <v>62</v>
      </c>
      <c r="B1800" s="2" t="s">
        <v>29</v>
      </c>
      <c r="C1800" s="2" t="s">
        <v>30</v>
      </c>
      <c r="D1800" s="2" t="s">
        <v>758</v>
      </c>
      <c r="E1800" s="2" t="s">
        <v>763</v>
      </c>
      <c r="F1800" s="2" t="s">
        <v>762</v>
      </c>
      <c r="G1800" s="3">
        <v>46191</v>
      </c>
      <c r="H1800" s="2" t="s">
        <v>753</v>
      </c>
      <c r="I1800" s="2" t="s">
        <v>755</v>
      </c>
      <c r="J1800" s="2" t="s">
        <v>754</v>
      </c>
      <c r="K1800" s="2" t="s">
        <v>753</v>
      </c>
      <c r="L1800" s="6">
        <v>112</v>
      </c>
      <c r="M1800" s="2" t="s">
        <v>752</v>
      </c>
      <c r="N1800" s="7">
        <v>43.36</v>
      </c>
      <c r="O1800" s="4">
        <v>4856.32</v>
      </c>
      <c r="P1800" s="4">
        <v>4856.32</v>
      </c>
      <c r="Q1800" s="6">
        <v>0</v>
      </c>
    </row>
    <row r="1801" spans="1:17" x14ac:dyDescent="0.25">
      <c r="A1801" s="2" t="s">
        <v>62</v>
      </c>
      <c r="B1801" s="2" t="s">
        <v>29</v>
      </c>
      <c r="C1801" s="2" t="s">
        <v>30</v>
      </c>
      <c r="D1801" s="2" t="s">
        <v>758</v>
      </c>
      <c r="E1801" s="2" t="s">
        <v>873</v>
      </c>
      <c r="F1801" s="2" t="s">
        <v>872</v>
      </c>
      <c r="G1801" s="3">
        <v>46191</v>
      </c>
      <c r="H1801" s="2" t="s">
        <v>753</v>
      </c>
      <c r="I1801" s="2" t="s">
        <v>755</v>
      </c>
      <c r="J1801" s="2" t="s">
        <v>754</v>
      </c>
      <c r="K1801" s="2" t="s">
        <v>753</v>
      </c>
      <c r="L1801" s="6">
        <v>8</v>
      </c>
      <c r="M1801" s="2" t="s">
        <v>752</v>
      </c>
      <c r="N1801" s="7">
        <v>36.979999999999997</v>
      </c>
      <c r="O1801" s="4">
        <v>295.83999999999997</v>
      </c>
      <c r="P1801" s="4">
        <v>295.83999999999997</v>
      </c>
      <c r="Q1801" s="6">
        <v>0</v>
      </c>
    </row>
    <row r="1802" spans="1:17" x14ac:dyDescent="0.25">
      <c r="A1802" s="2" t="s">
        <v>62</v>
      </c>
      <c r="B1802" s="2" t="s">
        <v>29</v>
      </c>
      <c r="C1802" s="2" t="s">
        <v>30</v>
      </c>
      <c r="D1802" s="2" t="s">
        <v>758</v>
      </c>
      <c r="E1802" s="2" t="s">
        <v>776</v>
      </c>
      <c r="F1802" s="2" t="s">
        <v>775</v>
      </c>
      <c r="G1802" s="3">
        <v>46191</v>
      </c>
      <c r="H1802" s="2" t="s">
        <v>753</v>
      </c>
      <c r="I1802" s="2" t="s">
        <v>755</v>
      </c>
      <c r="J1802" s="2" t="s">
        <v>754</v>
      </c>
      <c r="K1802" s="2" t="s">
        <v>753</v>
      </c>
      <c r="L1802" s="6">
        <v>20</v>
      </c>
      <c r="M1802" s="2" t="s">
        <v>752</v>
      </c>
      <c r="N1802" s="7">
        <v>41.2</v>
      </c>
      <c r="O1802" s="4">
        <v>824</v>
      </c>
      <c r="P1802" s="4">
        <v>824</v>
      </c>
      <c r="Q1802" s="6">
        <v>0</v>
      </c>
    </row>
    <row r="1803" spans="1:17" x14ac:dyDescent="0.25">
      <c r="A1803" s="2" t="s">
        <v>62</v>
      </c>
      <c r="B1803" s="2" t="s">
        <v>29</v>
      </c>
      <c r="C1803" s="2" t="s">
        <v>30</v>
      </c>
      <c r="D1803" s="2" t="s">
        <v>758</v>
      </c>
      <c r="E1803" s="2" t="s">
        <v>805</v>
      </c>
      <c r="F1803" s="2" t="s">
        <v>804</v>
      </c>
      <c r="G1803" s="3">
        <v>46191</v>
      </c>
      <c r="H1803" s="2" t="s">
        <v>753</v>
      </c>
      <c r="I1803" s="2" t="s">
        <v>755</v>
      </c>
      <c r="J1803" s="2" t="s">
        <v>754</v>
      </c>
      <c r="K1803" s="2" t="s">
        <v>753</v>
      </c>
      <c r="L1803" s="6">
        <v>140</v>
      </c>
      <c r="M1803" s="2" t="s">
        <v>752</v>
      </c>
      <c r="N1803" s="7">
        <v>41</v>
      </c>
      <c r="O1803" s="4">
        <v>5740</v>
      </c>
      <c r="P1803" s="4">
        <v>5740</v>
      </c>
      <c r="Q1803" s="6">
        <v>0</v>
      </c>
    </row>
    <row r="1804" spans="1:17" x14ac:dyDescent="0.25">
      <c r="A1804" s="2" t="s">
        <v>36</v>
      </c>
      <c r="B1804" s="2" t="s">
        <v>37</v>
      </c>
      <c r="C1804" s="2" t="s">
        <v>38</v>
      </c>
      <c r="D1804" s="2" t="s">
        <v>758</v>
      </c>
      <c r="E1804" s="2" t="s">
        <v>865</v>
      </c>
      <c r="F1804" s="2" t="s">
        <v>864</v>
      </c>
      <c r="G1804" s="3">
        <v>46196</v>
      </c>
      <c r="H1804" s="2" t="s">
        <v>753</v>
      </c>
      <c r="I1804" s="2" t="s">
        <v>755</v>
      </c>
      <c r="J1804" s="2" t="s">
        <v>754</v>
      </c>
      <c r="K1804" s="2" t="s">
        <v>753</v>
      </c>
      <c r="L1804" s="6">
        <v>112</v>
      </c>
      <c r="M1804" s="2" t="s">
        <v>752</v>
      </c>
      <c r="N1804" s="7">
        <v>37</v>
      </c>
      <c r="O1804" s="4">
        <v>4144</v>
      </c>
      <c r="P1804" s="4">
        <v>4144</v>
      </c>
      <c r="Q1804" s="6">
        <v>0</v>
      </c>
    </row>
    <row r="1805" spans="1:17" x14ac:dyDescent="0.25">
      <c r="A1805" s="2" t="s">
        <v>36</v>
      </c>
      <c r="B1805" s="2" t="s">
        <v>37</v>
      </c>
      <c r="C1805" s="2" t="s">
        <v>38</v>
      </c>
      <c r="D1805" s="2" t="s">
        <v>758</v>
      </c>
      <c r="E1805" s="2" t="s">
        <v>763</v>
      </c>
      <c r="F1805" s="2" t="s">
        <v>762</v>
      </c>
      <c r="G1805" s="3">
        <v>46196</v>
      </c>
      <c r="H1805" s="2" t="s">
        <v>753</v>
      </c>
      <c r="I1805" s="2" t="s">
        <v>755</v>
      </c>
      <c r="J1805" s="2" t="s">
        <v>754</v>
      </c>
      <c r="K1805" s="2" t="s">
        <v>753</v>
      </c>
      <c r="L1805" s="6">
        <v>168</v>
      </c>
      <c r="M1805" s="2" t="s">
        <v>752</v>
      </c>
      <c r="N1805" s="7">
        <v>42</v>
      </c>
      <c r="O1805" s="4">
        <v>7056</v>
      </c>
      <c r="P1805" s="4">
        <v>7056</v>
      </c>
      <c r="Q1805" s="6">
        <v>0</v>
      </c>
    </row>
    <row r="1806" spans="1:17" x14ac:dyDescent="0.25">
      <c r="A1806" s="2" t="s">
        <v>36</v>
      </c>
      <c r="B1806" s="2" t="s">
        <v>37</v>
      </c>
      <c r="C1806" s="2" t="s">
        <v>38</v>
      </c>
      <c r="D1806" s="2" t="s">
        <v>758</v>
      </c>
      <c r="E1806" s="2" t="s">
        <v>847</v>
      </c>
      <c r="F1806" s="2" t="s">
        <v>846</v>
      </c>
      <c r="G1806" s="3">
        <v>46196</v>
      </c>
      <c r="H1806" s="2" t="s">
        <v>753</v>
      </c>
      <c r="I1806" s="2" t="s">
        <v>755</v>
      </c>
      <c r="J1806" s="2" t="s">
        <v>754</v>
      </c>
      <c r="K1806" s="2" t="s">
        <v>753</v>
      </c>
      <c r="L1806" s="6">
        <v>280</v>
      </c>
      <c r="M1806" s="2" t="s">
        <v>752</v>
      </c>
      <c r="N1806" s="7">
        <v>38.08</v>
      </c>
      <c r="O1806" s="4">
        <v>10662.4</v>
      </c>
      <c r="P1806" s="4">
        <v>10662.4</v>
      </c>
      <c r="Q1806" s="6">
        <v>0</v>
      </c>
    </row>
    <row r="1807" spans="1:17" x14ac:dyDescent="0.25">
      <c r="A1807" s="2" t="s">
        <v>58</v>
      </c>
      <c r="B1807" s="2" t="s">
        <v>59</v>
      </c>
      <c r="C1807" s="2" t="s">
        <v>60</v>
      </c>
      <c r="D1807" s="2" t="s">
        <v>758</v>
      </c>
      <c r="E1807" s="2" t="s">
        <v>871</v>
      </c>
      <c r="F1807" s="2" t="s">
        <v>870</v>
      </c>
      <c r="G1807" s="3">
        <v>46191</v>
      </c>
      <c r="H1807" s="2" t="s">
        <v>753</v>
      </c>
      <c r="I1807" s="2" t="s">
        <v>755</v>
      </c>
      <c r="J1807" s="2" t="s">
        <v>754</v>
      </c>
      <c r="K1807" s="2" t="s">
        <v>753</v>
      </c>
      <c r="L1807" s="6">
        <v>48</v>
      </c>
      <c r="M1807" s="2" t="s">
        <v>752</v>
      </c>
      <c r="N1807" s="7">
        <v>41.7</v>
      </c>
      <c r="O1807" s="4">
        <v>2001.6</v>
      </c>
      <c r="P1807" s="4">
        <v>2001.6</v>
      </c>
      <c r="Q1807" s="6">
        <v>0</v>
      </c>
    </row>
    <row r="1808" spans="1:17" x14ac:dyDescent="0.25">
      <c r="A1808" s="2" t="s">
        <v>58</v>
      </c>
      <c r="B1808" s="2" t="s">
        <v>59</v>
      </c>
      <c r="C1808" s="2" t="s">
        <v>60</v>
      </c>
      <c r="D1808" s="2" t="s">
        <v>758</v>
      </c>
      <c r="E1808" s="2" t="s">
        <v>869</v>
      </c>
      <c r="F1808" s="2" t="s">
        <v>868</v>
      </c>
      <c r="G1808" s="3">
        <v>46191</v>
      </c>
      <c r="H1808" s="2" t="s">
        <v>753</v>
      </c>
      <c r="I1808" s="2" t="s">
        <v>755</v>
      </c>
      <c r="J1808" s="2" t="s">
        <v>754</v>
      </c>
      <c r="K1808" s="2" t="s">
        <v>753</v>
      </c>
      <c r="L1808" s="6">
        <v>264</v>
      </c>
      <c r="M1808" s="2" t="s">
        <v>752</v>
      </c>
      <c r="N1808" s="7">
        <v>48.49</v>
      </c>
      <c r="O1808" s="4">
        <v>12801.36</v>
      </c>
      <c r="P1808" s="4">
        <v>12801.36</v>
      </c>
      <c r="Q1808" s="6">
        <v>0</v>
      </c>
    </row>
    <row r="1809" spans="1:17" x14ac:dyDescent="0.25">
      <c r="A1809" s="2" t="s">
        <v>58</v>
      </c>
      <c r="B1809" s="2" t="s">
        <v>59</v>
      </c>
      <c r="C1809" s="2" t="s">
        <v>60</v>
      </c>
      <c r="D1809" s="2" t="s">
        <v>758</v>
      </c>
      <c r="E1809" s="2" t="s">
        <v>867</v>
      </c>
      <c r="F1809" s="2" t="s">
        <v>866</v>
      </c>
      <c r="G1809" s="3">
        <v>46191</v>
      </c>
      <c r="H1809" s="2" t="s">
        <v>753</v>
      </c>
      <c r="I1809" s="2" t="s">
        <v>755</v>
      </c>
      <c r="J1809" s="2" t="s">
        <v>754</v>
      </c>
      <c r="K1809" s="2" t="s">
        <v>753</v>
      </c>
      <c r="L1809" s="6">
        <v>32</v>
      </c>
      <c r="M1809" s="2" t="s">
        <v>752</v>
      </c>
      <c r="N1809" s="7">
        <v>36.299999999999997</v>
      </c>
      <c r="O1809" s="4">
        <v>1161.5999999999999</v>
      </c>
      <c r="P1809" s="4">
        <v>1161.5999999999999</v>
      </c>
      <c r="Q1809" s="6">
        <v>0</v>
      </c>
    </row>
    <row r="1810" spans="1:17" x14ac:dyDescent="0.25">
      <c r="A1810" s="2" t="s">
        <v>58</v>
      </c>
      <c r="B1810" s="2" t="s">
        <v>59</v>
      </c>
      <c r="C1810" s="2" t="s">
        <v>60</v>
      </c>
      <c r="D1810" s="2" t="s">
        <v>758</v>
      </c>
      <c r="E1810" s="2" t="s">
        <v>763</v>
      </c>
      <c r="F1810" s="2" t="s">
        <v>762</v>
      </c>
      <c r="G1810" s="3">
        <v>46191</v>
      </c>
      <c r="H1810" s="2" t="s">
        <v>753</v>
      </c>
      <c r="I1810" s="2" t="s">
        <v>755</v>
      </c>
      <c r="J1810" s="2" t="s">
        <v>754</v>
      </c>
      <c r="K1810" s="2" t="s">
        <v>753</v>
      </c>
      <c r="L1810" s="6">
        <v>84</v>
      </c>
      <c r="M1810" s="2" t="s">
        <v>752</v>
      </c>
      <c r="N1810" s="7">
        <v>36.82</v>
      </c>
      <c r="O1810" s="4">
        <v>3092.88</v>
      </c>
      <c r="P1810" s="4">
        <v>3092.88</v>
      </c>
      <c r="Q1810" s="6">
        <v>0</v>
      </c>
    </row>
    <row r="1811" spans="1:17" x14ac:dyDescent="0.25">
      <c r="A1811" s="2" t="s">
        <v>58</v>
      </c>
      <c r="B1811" s="2" t="s">
        <v>59</v>
      </c>
      <c r="C1811" s="2" t="s">
        <v>60</v>
      </c>
      <c r="D1811" s="2" t="s">
        <v>758</v>
      </c>
      <c r="E1811" s="2" t="s">
        <v>757</v>
      </c>
      <c r="F1811" s="2" t="s">
        <v>756</v>
      </c>
      <c r="G1811" s="3">
        <v>46191</v>
      </c>
      <c r="H1811" s="2" t="s">
        <v>753</v>
      </c>
      <c r="I1811" s="2" t="s">
        <v>755</v>
      </c>
      <c r="J1811" s="2" t="s">
        <v>754</v>
      </c>
      <c r="K1811" s="2" t="s">
        <v>753</v>
      </c>
      <c r="L1811" s="6">
        <v>164</v>
      </c>
      <c r="M1811" s="2" t="s">
        <v>752</v>
      </c>
      <c r="N1811" s="7">
        <v>39.700000000000003</v>
      </c>
      <c r="O1811" s="4">
        <v>6510.8</v>
      </c>
      <c r="P1811" s="4">
        <v>6510.8</v>
      </c>
      <c r="Q1811" s="6">
        <v>0</v>
      </c>
    </row>
    <row r="1812" spans="1:17" x14ac:dyDescent="0.25">
      <c r="A1812" s="2" t="s">
        <v>58</v>
      </c>
      <c r="B1812" s="2" t="s">
        <v>59</v>
      </c>
      <c r="C1812" s="2" t="s">
        <v>60</v>
      </c>
      <c r="D1812" s="2" t="s">
        <v>758</v>
      </c>
      <c r="E1812" s="2" t="s">
        <v>865</v>
      </c>
      <c r="F1812" s="2" t="s">
        <v>864</v>
      </c>
      <c r="G1812" s="3">
        <v>46191</v>
      </c>
      <c r="H1812" s="2" t="s">
        <v>753</v>
      </c>
      <c r="I1812" s="2" t="s">
        <v>755</v>
      </c>
      <c r="J1812" s="2" t="s">
        <v>754</v>
      </c>
      <c r="K1812" s="2" t="s">
        <v>753</v>
      </c>
      <c r="L1812" s="6">
        <v>72</v>
      </c>
      <c r="M1812" s="2" t="s">
        <v>752</v>
      </c>
      <c r="N1812" s="7">
        <v>36</v>
      </c>
      <c r="O1812" s="4">
        <v>2592</v>
      </c>
      <c r="P1812" s="4">
        <v>2592</v>
      </c>
      <c r="Q1812" s="6">
        <v>0</v>
      </c>
    </row>
    <row r="1813" spans="1:17" x14ac:dyDescent="0.25">
      <c r="A1813" s="2" t="s">
        <v>58</v>
      </c>
      <c r="B1813" s="2" t="s">
        <v>59</v>
      </c>
      <c r="C1813" s="2" t="s">
        <v>60</v>
      </c>
      <c r="D1813" s="2" t="s">
        <v>758</v>
      </c>
      <c r="E1813" s="2" t="s">
        <v>863</v>
      </c>
      <c r="F1813" s="2" t="s">
        <v>862</v>
      </c>
      <c r="G1813" s="3">
        <v>46191</v>
      </c>
      <c r="H1813" s="2" t="s">
        <v>753</v>
      </c>
      <c r="I1813" s="2" t="s">
        <v>755</v>
      </c>
      <c r="J1813" s="2" t="s">
        <v>754</v>
      </c>
      <c r="K1813" s="2" t="s">
        <v>753</v>
      </c>
      <c r="L1813" s="6">
        <v>28</v>
      </c>
      <c r="M1813" s="2" t="s">
        <v>752</v>
      </c>
      <c r="N1813" s="7">
        <v>33.299999999999997</v>
      </c>
      <c r="O1813" s="4">
        <v>932.4</v>
      </c>
      <c r="P1813" s="4">
        <v>932.4</v>
      </c>
      <c r="Q1813" s="6">
        <v>0</v>
      </c>
    </row>
    <row r="1814" spans="1:17" x14ac:dyDescent="0.25">
      <c r="A1814" s="2" t="s">
        <v>58</v>
      </c>
      <c r="B1814" s="2" t="s">
        <v>59</v>
      </c>
      <c r="C1814" s="2" t="s">
        <v>60</v>
      </c>
      <c r="D1814" s="2" t="s">
        <v>758</v>
      </c>
      <c r="E1814" s="2" t="s">
        <v>861</v>
      </c>
      <c r="F1814" s="2" t="s">
        <v>860</v>
      </c>
      <c r="G1814" s="3">
        <v>46191</v>
      </c>
      <c r="H1814" s="2" t="s">
        <v>753</v>
      </c>
      <c r="I1814" s="2" t="s">
        <v>755</v>
      </c>
      <c r="J1814" s="2" t="s">
        <v>754</v>
      </c>
      <c r="K1814" s="2" t="s">
        <v>753</v>
      </c>
      <c r="L1814" s="6">
        <v>28</v>
      </c>
      <c r="M1814" s="2" t="s">
        <v>752</v>
      </c>
      <c r="N1814" s="7">
        <v>39.700000000000003</v>
      </c>
      <c r="O1814" s="4">
        <v>1111.5999999999999</v>
      </c>
      <c r="P1814" s="4">
        <v>1111.5999999999999</v>
      </c>
      <c r="Q1814" s="6">
        <v>0</v>
      </c>
    </row>
    <row r="1815" spans="1:17" x14ac:dyDescent="0.25">
      <c r="A1815" s="2" t="s">
        <v>54</v>
      </c>
      <c r="B1815" s="2" t="s">
        <v>55</v>
      </c>
      <c r="C1815" s="2" t="s">
        <v>56</v>
      </c>
      <c r="D1815" s="2" t="s">
        <v>758</v>
      </c>
      <c r="E1815" s="2" t="s">
        <v>859</v>
      </c>
      <c r="F1815" s="2" t="s">
        <v>858</v>
      </c>
      <c r="G1815" s="3">
        <v>46191</v>
      </c>
      <c r="H1815" s="2" t="s">
        <v>753</v>
      </c>
      <c r="I1815" s="2" t="s">
        <v>755</v>
      </c>
      <c r="J1815" s="2" t="s">
        <v>754</v>
      </c>
      <c r="K1815" s="2" t="s">
        <v>753</v>
      </c>
      <c r="L1815" s="6">
        <v>640</v>
      </c>
      <c r="M1815" s="2" t="s">
        <v>752</v>
      </c>
      <c r="N1815" s="7">
        <v>33.42</v>
      </c>
      <c r="O1815" s="4">
        <v>21388.799999999999</v>
      </c>
      <c r="P1815" s="4">
        <v>21388.799999999999</v>
      </c>
      <c r="Q1815" s="6">
        <v>0</v>
      </c>
    </row>
    <row r="1816" spans="1:17" x14ac:dyDescent="0.25">
      <c r="A1816" s="2" t="s">
        <v>68</v>
      </c>
      <c r="B1816" s="2" t="s">
        <v>69</v>
      </c>
      <c r="C1816" s="2" t="s">
        <v>70</v>
      </c>
      <c r="D1816" s="2" t="s">
        <v>758</v>
      </c>
      <c r="E1816" s="2" t="s">
        <v>847</v>
      </c>
      <c r="F1816" s="2" t="s">
        <v>846</v>
      </c>
      <c r="G1816" s="3">
        <v>46190</v>
      </c>
      <c r="H1816" s="2" t="s">
        <v>753</v>
      </c>
      <c r="I1816" s="2" t="s">
        <v>755</v>
      </c>
      <c r="J1816" s="2" t="s">
        <v>754</v>
      </c>
      <c r="K1816" s="2" t="s">
        <v>753</v>
      </c>
      <c r="L1816" s="6">
        <v>30</v>
      </c>
      <c r="M1816" s="2" t="s">
        <v>752</v>
      </c>
      <c r="N1816" s="7">
        <v>30.32</v>
      </c>
      <c r="O1816" s="4">
        <v>909.6</v>
      </c>
      <c r="P1816" s="4">
        <v>909.6</v>
      </c>
      <c r="Q1816" s="6">
        <v>0</v>
      </c>
    </row>
    <row r="1817" spans="1:17" x14ac:dyDescent="0.25">
      <c r="A1817" s="2" t="s">
        <v>68</v>
      </c>
      <c r="B1817" s="2" t="s">
        <v>69</v>
      </c>
      <c r="C1817" s="2" t="s">
        <v>70</v>
      </c>
      <c r="D1817" s="2" t="s">
        <v>758</v>
      </c>
      <c r="E1817" s="2" t="s">
        <v>857</v>
      </c>
      <c r="F1817" s="2" t="s">
        <v>856</v>
      </c>
      <c r="G1817" s="3">
        <v>46190</v>
      </c>
      <c r="H1817" s="2" t="s">
        <v>753</v>
      </c>
      <c r="I1817" s="2" t="s">
        <v>755</v>
      </c>
      <c r="J1817" s="2" t="s">
        <v>754</v>
      </c>
      <c r="K1817" s="2" t="s">
        <v>753</v>
      </c>
      <c r="L1817" s="6">
        <v>45</v>
      </c>
      <c r="M1817" s="2" t="s">
        <v>752</v>
      </c>
      <c r="N1817" s="7">
        <v>34.18</v>
      </c>
      <c r="O1817" s="4">
        <v>1538.1</v>
      </c>
      <c r="P1817" s="4">
        <v>1538.1</v>
      </c>
      <c r="Q1817" s="6">
        <v>0</v>
      </c>
    </row>
    <row r="1818" spans="1:17" x14ac:dyDescent="0.25">
      <c r="A1818" s="2" t="s">
        <v>68</v>
      </c>
      <c r="B1818" s="2" t="s">
        <v>69</v>
      </c>
      <c r="C1818" s="2" t="s">
        <v>70</v>
      </c>
      <c r="D1818" s="2" t="s">
        <v>758</v>
      </c>
      <c r="E1818" s="2" t="s">
        <v>855</v>
      </c>
      <c r="F1818" s="2" t="s">
        <v>854</v>
      </c>
      <c r="G1818" s="3">
        <v>46190</v>
      </c>
      <c r="H1818" s="2" t="s">
        <v>753</v>
      </c>
      <c r="I1818" s="2" t="s">
        <v>755</v>
      </c>
      <c r="J1818" s="2" t="s">
        <v>754</v>
      </c>
      <c r="K1818" s="2" t="s">
        <v>753</v>
      </c>
      <c r="L1818" s="6">
        <v>30</v>
      </c>
      <c r="M1818" s="2" t="s">
        <v>752</v>
      </c>
      <c r="N1818" s="7">
        <v>53.2</v>
      </c>
      <c r="O1818" s="4">
        <v>1596</v>
      </c>
      <c r="P1818" s="4">
        <v>1596</v>
      </c>
      <c r="Q1818" s="6">
        <v>0</v>
      </c>
    </row>
    <row r="1819" spans="1:17" x14ac:dyDescent="0.25">
      <c r="A1819" s="2" t="s">
        <v>52</v>
      </c>
      <c r="B1819" s="2" t="s">
        <v>21</v>
      </c>
      <c r="C1819" s="2" t="s">
        <v>22</v>
      </c>
      <c r="D1819" s="2" t="s">
        <v>758</v>
      </c>
      <c r="E1819" s="2" t="s">
        <v>763</v>
      </c>
      <c r="F1819" s="2" t="s">
        <v>762</v>
      </c>
      <c r="G1819" s="3">
        <v>46191</v>
      </c>
      <c r="H1819" s="2" t="s">
        <v>753</v>
      </c>
      <c r="I1819" s="2" t="s">
        <v>755</v>
      </c>
      <c r="J1819" s="2" t="s">
        <v>754</v>
      </c>
      <c r="K1819" s="2" t="s">
        <v>753</v>
      </c>
      <c r="L1819" s="6">
        <v>392</v>
      </c>
      <c r="M1819" s="2" t="s">
        <v>752</v>
      </c>
      <c r="N1819" s="7">
        <v>42.6</v>
      </c>
      <c r="O1819" s="4">
        <v>16699.2</v>
      </c>
      <c r="P1819" s="4">
        <v>16699.2</v>
      </c>
      <c r="Q1819" s="6">
        <v>0</v>
      </c>
    </row>
    <row r="1820" spans="1:17" x14ac:dyDescent="0.25">
      <c r="A1820" s="2" t="s">
        <v>52</v>
      </c>
      <c r="B1820" s="2" t="s">
        <v>21</v>
      </c>
      <c r="C1820" s="2" t="s">
        <v>22</v>
      </c>
      <c r="D1820" s="2" t="s">
        <v>758</v>
      </c>
      <c r="E1820" s="2" t="s">
        <v>853</v>
      </c>
      <c r="F1820" s="2" t="s">
        <v>852</v>
      </c>
      <c r="G1820" s="3">
        <v>46191</v>
      </c>
      <c r="H1820" s="2" t="s">
        <v>753</v>
      </c>
      <c r="I1820" s="2" t="s">
        <v>755</v>
      </c>
      <c r="J1820" s="2" t="s">
        <v>754</v>
      </c>
      <c r="K1820" s="2" t="s">
        <v>753</v>
      </c>
      <c r="L1820" s="6">
        <v>4</v>
      </c>
      <c r="M1820" s="2" t="s">
        <v>752</v>
      </c>
      <c r="N1820" s="7">
        <v>64</v>
      </c>
      <c r="O1820" s="4">
        <v>256</v>
      </c>
      <c r="P1820" s="4">
        <v>256</v>
      </c>
      <c r="Q1820" s="6">
        <v>0</v>
      </c>
    </row>
    <row r="1821" spans="1:17" x14ac:dyDescent="0.25">
      <c r="A1821" s="2" t="s">
        <v>52</v>
      </c>
      <c r="B1821" s="2" t="s">
        <v>21</v>
      </c>
      <c r="C1821" s="2" t="s">
        <v>22</v>
      </c>
      <c r="D1821" s="2" t="s">
        <v>758</v>
      </c>
      <c r="E1821" s="2" t="s">
        <v>794</v>
      </c>
      <c r="F1821" s="2" t="s">
        <v>793</v>
      </c>
      <c r="G1821" s="3">
        <v>46191</v>
      </c>
      <c r="H1821" s="2" t="s">
        <v>753</v>
      </c>
      <c r="I1821" s="2" t="s">
        <v>755</v>
      </c>
      <c r="J1821" s="2" t="s">
        <v>754</v>
      </c>
      <c r="K1821" s="2" t="s">
        <v>753</v>
      </c>
      <c r="L1821" s="6">
        <v>44</v>
      </c>
      <c r="M1821" s="2" t="s">
        <v>752</v>
      </c>
      <c r="N1821" s="7">
        <v>40.619999999999997</v>
      </c>
      <c r="O1821" s="4">
        <v>1787.28</v>
      </c>
      <c r="P1821" s="4">
        <v>1787.28</v>
      </c>
      <c r="Q1821" s="6">
        <v>0</v>
      </c>
    </row>
    <row r="1822" spans="1:17" x14ac:dyDescent="0.25">
      <c r="A1822" s="2" t="s">
        <v>52</v>
      </c>
      <c r="B1822" s="2" t="s">
        <v>21</v>
      </c>
      <c r="C1822" s="2" t="s">
        <v>22</v>
      </c>
      <c r="D1822" s="2" t="s">
        <v>758</v>
      </c>
      <c r="E1822" s="2" t="s">
        <v>792</v>
      </c>
      <c r="F1822" s="2" t="s">
        <v>791</v>
      </c>
      <c r="G1822" s="3">
        <v>46191</v>
      </c>
      <c r="H1822" s="2" t="s">
        <v>753</v>
      </c>
      <c r="I1822" s="2" t="s">
        <v>755</v>
      </c>
      <c r="J1822" s="2" t="s">
        <v>754</v>
      </c>
      <c r="K1822" s="2" t="s">
        <v>753</v>
      </c>
      <c r="L1822" s="6">
        <v>16</v>
      </c>
      <c r="M1822" s="2" t="s">
        <v>752</v>
      </c>
      <c r="N1822" s="7">
        <v>35</v>
      </c>
      <c r="O1822" s="4">
        <v>560</v>
      </c>
      <c r="P1822" s="4">
        <v>560</v>
      </c>
      <c r="Q1822" s="6">
        <v>0</v>
      </c>
    </row>
    <row r="1823" spans="1:17" x14ac:dyDescent="0.25">
      <c r="A1823" s="2" t="s">
        <v>52</v>
      </c>
      <c r="B1823" s="2" t="s">
        <v>21</v>
      </c>
      <c r="C1823" s="2" t="s">
        <v>22</v>
      </c>
      <c r="D1823" s="2" t="s">
        <v>758</v>
      </c>
      <c r="E1823" s="2" t="s">
        <v>790</v>
      </c>
      <c r="F1823" s="2" t="s">
        <v>789</v>
      </c>
      <c r="G1823" s="3">
        <v>46191</v>
      </c>
      <c r="H1823" s="2" t="s">
        <v>753</v>
      </c>
      <c r="I1823" s="2" t="s">
        <v>755</v>
      </c>
      <c r="J1823" s="2" t="s">
        <v>754</v>
      </c>
      <c r="K1823" s="2" t="s">
        <v>753</v>
      </c>
      <c r="L1823" s="6">
        <v>84</v>
      </c>
      <c r="M1823" s="2" t="s">
        <v>752</v>
      </c>
      <c r="N1823" s="7">
        <v>39.25</v>
      </c>
      <c r="O1823" s="4">
        <v>3297</v>
      </c>
      <c r="P1823" s="4">
        <v>3297</v>
      </c>
      <c r="Q1823" s="6">
        <v>0</v>
      </c>
    </row>
    <row r="1824" spans="1:17" x14ac:dyDescent="0.25">
      <c r="A1824" s="2" t="s">
        <v>52</v>
      </c>
      <c r="B1824" s="2" t="s">
        <v>21</v>
      </c>
      <c r="C1824" s="2" t="s">
        <v>22</v>
      </c>
      <c r="D1824" s="2" t="s">
        <v>758</v>
      </c>
      <c r="E1824" s="2" t="s">
        <v>788</v>
      </c>
      <c r="F1824" s="2" t="s">
        <v>787</v>
      </c>
      <c r="G1824" s="3">
        <v>46191</v>
      </c>
      <c r="H1824" s="2" t="s">
        <v>753</v>
      </c>
      <c r="I1824" s="2" t="s">
        <v>755</v>
      </c>
      <c r="J1824" s="2" t="s">
        <v>754</v>
      </c>
      <c r="K1824" s="2" t="s">
        <v>753</v>
      </c>
      <c r="L1824" s="6">
        <v>20</v>
      </c>
      <c r="M1824" s="2" t="s">
        <v>752</v>
      </c>
      <c r="N1824" s="7">
        <v>38.299999999999997</v>
      </c>
      <c r="O1824" s="4">
        <v>766</v>
      </c>
      <c r="P1824" s="4">
        <v>766</v>
      </c>
      <c r="Q1824" s="6">
        <v>0</v>
      </c>
    </row>
    <row r="1825" spans="1:17" x14ac:dyDescent="0.25">
      <c r="A1825" s="2" t="s">
        <v>52</v>
      </c>
      <c r="B1825" s="2" t="s">
        <v>21</v>
      </c>
      <c r="C1825" s="2" t="s">
        <v>22</v>
      </c>
      <c r="D1825" s="2" t="s">
        <v>758</v>
      </c>
      <c r="E1825" s="2" t="s">
        <v>772</v>
      </c>
      <c r="F1825" s="2" t="s">
        <v>771</v>
      </c>
      <c r="G1825" s="3">
        <v>46191</v>
      </c>
      <c r="H1825" s="2" t="s">
        <v>753</v>
      </c>
      <c r="I1825" s="2" t="s">
        <v>755</v>
      </c>
      <c r="J1825" s="2" t="s">
        <v>754</v>
      </c>
      <c r="K1825" s="2" t="s">
        <v>753</v>
      </c>
      <c r="L1825" s="6">
        <v>0</v>
      </c>
      <c r="M1825" s="2" t="s">
        <v>752</v>
      </c>
      <c r="N1825" s="7">
        <v>34.5</v>
      </c>
      <c r="O1825" s="4">
        <v>0</v>
      </c>
      <c r="P1825" s="4">
        <v>0</v>
      </c>
      <c r="Q1825" s="6">
        <v>0</v>
      </c>
    </row>
    <row r="1826" spans="1:17" x14ac:dyDescent="0.25">
      <c r="A1826" s="2" t="s">
        <v>52</v>
      </c>
      <c r="B1826" s="2" t="s">
        <v>21</v>
      </c>
      <c r="C1826" s="2" t="s">
        <v>22</v>
      </c>
      <c r="D1826" s="2" t="s">
        <v>758</v>
      </c>
      <c r="E1826" s="2" t="s">
        <v>786</v>
      </c>
      <c r="F1826" s="2" t="s">
        <v>785</v>
      </c>
      <c r="G1826" s="3">
        <v>46191</v>
      </c>
      <c r="H1826" s="2" t="s">
        <v>753</v>
      </c>
      <c r="I1826" s="2" t="s">
        <v>755</v>
      </c>
      <c r="J1826" s="2" t="s">
        <v>754</v>
      </c>
      <c r="K1826" s="2" t="s">
        <v>753</v>
      </c>
      <c r="L1826" s="6">
        <v>56</v>
      </c>
      <c r="M1826" s="2" t="s">
        <v>752</v>
      </c>
      <c r="N1826" s="7">
        <v>35</v>
      </c>
      <c r="O1826" s="4">
        <v>1960</v>
      </c>
      <c r="P1826" s="4">
        <v>1960</v>
      </c>
      <c r="Q1826" s="6">
        <v>0</v>
      </c>
    </row>
    <row r="1827" spans="1:17" x14ac:dyDescent="0.25">
      <c r="A1827" s="2" t="s">
        <v>52</v>
      </c>
      <c r="B1827" s="2" t="s">
        <v>21</v>
      </c>
      <c r="C1827" s="2" t="s">
        <v>22</v>
      </c>
      <c r="D1827" s="2" t="s">
        <v>758</v>
      </c>
      <c r="E1827" s="2" t="s">
        <v>851</v>
      </c>
      <c r="F1827" s="2" t="s">
        <v>850</v>
      </c>
      <c r="G1827" s="3">
        <v>46191</v>
      </c>
      <c r="H1827" s="2" t="s">
        <v>753</v>
      </c>
      <c r="I1827" s="2" t="s">
        <v>755</v>
      </c>
      <c r="J1827" s="2" t="s">
        <v>754</v>
      </c>
      <c r="K1827" s="2" t="s">
        <v>753</v>
      </c>
      <c r="L1827" s="6">
        <v>8</v>
      </c>
      <c r="M1827" s="2" t="s">
        <v>752</v>
      </c>
      <c r="N1827" s="7">
        <v>43.82</v>
      </c>
      <c r="O1827" s="4">
        <v>350.56</v>
      </c>
      <c r="P1827" s="4">
        <v>350.56</v>
      </c>
      <c r="Q1827" s="6">
        <v>0</v>
      </c>
    </row>
    <row r="1828" spans="1:17" x14ac:dyDescent="0.25">
      <c r="A1828" s="2" t="s">
        <v>52</v>
      </c>
      <c r="B1828" s="2" t="s">
        <v>21</v>
      </c>
      <c r="C1828" s="2" t="s">
        <v>22</v>
      </c>
      <c r="D1828" s="2" t="s">
        <v>758</v>
      </c>
      <c r="E1828" s="2" t="s">
        <v>784</v>
      </c>
      <c r="F1828" s="2" t="s">
        <v>783</v>
      </c>
      <c r="G1828" s="3">
        <v>46191</v>
      </c>
      <c r="H1828" s="2" t="s">
        <v>753</v>
      </c>
      <c r="I1828" s="2" t="s">
        <v>755</v>
      </c>
      <c r="J1828" s="2" t="s">
        <v>754</v>
      </c>
      <c r="K1828" s="2" t="s">
        <v>753</v>
      </c>
      <c r="L1828" s="6">
        <v>4</v>
      </c>
      <c r="M1828" s="2" t="s">
        <v>752</v>
      </c>
      <c r="N1828" s="7">
        <v>38.07</v>
      </c>
      <c r="O1828" s="4">
        <v>152.28</v>
      </c>
      <c r="P1828" s="4">
        <v>152.28</v>
      </c>
      <c r="Q1828" s="6">
        <v>0</v>
      </c>
    </row>
    <row r="1829" spans="1:17" x14ac:dyDescent="0.25">
      <c r="A1829" s="2" t="s">
        <v>52</v>
      </c>
      <c r="B1829" s="2" t="s">
        <v>21</v>
      </c>
      <c r="C1829" s="2" t="s">
        <v>22</v>
      </c>
      <c r="D1829" s="2" t="s">
        <v>758</v>
      </c>
      <c r="E1829" s="2" t="s">
        <v>782</v>
      </c>
      <c r="F1829" s="2" t="s">
        <v>781</v>
      </c>
      <c r="G1829" s="3">
        <v>46191</v>
      </c>
      <c r="H1829" s="2" t="s">
        <v>753</v>
      </c>
      <c r="I1829" s="2" t="s">
        <v>755</v>
      </c>
      <c r="J1829" s="2" t="s">
        <v>754</v>
      </c>
      <c r="K1829" s="2" t="s">
        <v>753</v>
      </c>
      <c r="L1829" s="6">
        <v>30</v>
      </c>
      <c r="M1829" s="2" t="s">
        <v>752</v>
      </c>
      <c r="N1829" s="7">
        <v>36.18</v>
      </c>
      <c r="O1829" s="4">
        <v>1085.4000000000001</v>
      </c>
      <c r="P1829" s="4">
        <v>1085.4000000000001</v>
      </c>
      <c r="Q1829" s="6">
        <v>0</v>
      </c>
    </row>
    <row r="1830" spans="1:17" x14ac:dyDescent="0.25">
      <c r="A1830" s="2" t="s">
        <v>52</v>
      </c>
      <c r="B1830" s="2" t="s">
        <v>21</v>
      </c>
      <c r="C1830" s="2" t="s">
        <v>22</v>
      </c>
      <c r="D1830" s="2" t="s">
        <v>758</v>
      </c>
      <c r="E1830" s="2" t="s">
        <v>780</v>
      </c>
      <c r="F1830" s="2" t="s">
        <v>779</v>
      </c>
      <c r="G1830" s="3">
        <v>46191</v>
      </c>
      <c r="H1830" s="2" t="s">
        <v>753</v>
      </c>
      <c r="I1830" s="2" t="s">
        <v>755</v>
      </c>
      <c r="J1830" s="2" t="s">
        <v>754</v>
      </c>
      <c r="K1830" s="2" t="s">
        <v>753</v>
      </c>
      <c r="L1830" s="6">
        <v>8</v>
      </c>
      <c r="M1830" s="2" t="s">
        <v>752</v>
      </c>
      <c r="N1830" s="7">
        <v>36.07</v>
      </c>
      <c r="O1830" s="4">
        <v>288.56</v>
      </c>
      <c r="P1830" s="4">
        <v>288.56</v>
      </c>
      <c r="Q1830" s="6">
        <v>0</v>
      </c>
    </row>
    <row r="1831" spans="1:17" x14ac:dyDescent="0.25">
      <c r="A1831" s="2" t="s">
        <v>52</v>
      </c>
      <c r="B1831" s="2" t="s">
        <v>21</v>
      </c>
      <c r="C1831" s="2" t="s">
        <v>22</v>
      </c>
      <c r="D1831" s="2" t="s">
        <v>758</v>
      </c>
      <c r="E1831" s="2" t="s">
        <v>776</v>
      </c>
      <c r="F1831" s="2" t="s">
        <v>775</v>
      </c>
      <c r="G1831" s="3">
        <v>46191</v>
      </c>
      <c r="H1831" s="2" t="s">
        <v>753</v>
      </c>
      <c r="I1831" s="2" t="s">
        <v>755</v>
      </c>
      <c r="J1831" s="2" t="s">
        <v>754</v>
      </c>
      <c r="K1831" s="2" t="s">
        <v>753</v>
      </c>
      <c r="L1831" s="6">
        <v>48</v>
      </c>
      <c r="M1831" s="2" t="s">
        <v>752</v>
      </c>
      <c r="N1831" s="7">
        <v>43.82</v>
      </c>
      <c r="O1831" s="4">
        <v>2103.36</v>
      </c>
      <c r="P1831" s="4">
        <v>2103.36</v>
      </c>
      <c r="Q1831" s="6">
        <v>0</v>
      </c>
    </row>
    <row r="1832" spans="1:17" x14ac:dyDescent="0.25">
      <c r="A1832" s="2" t="s">
        <v>44</v>
      </c>
      <c r="B1832" s="2" t="s">
        <v>45</v>
      </c>
      <c r="C1832" s="2" t="s">
        <v>46</v>
      </c>
      <c r="D1832" s="2" t="s">
        <v>758</v>
      </c>
      <c r="E1832" s="2" t="s">
        <v>849</v>
      </c>
      <c r="F1832" s="2" t="s">
        <v>848</v>
      </c>
      <c r="G1832" s="3">
        <v>46195</v>
      </c>
      <c r="H1832" s="2" t="s">
        <v>753</v>
      </c>
      <c r="I1832" s="2" t="s">
        <v>755</v>
      </c>
      <c r="J1832" s="2" t="s">
        <v>754</v>
      </c>
      <c r="K1832" s="2" t="s">
        <v>753</v>
      </c>
      <c r="L1832" s="6">
        <v>28</v>
      </c>
      <c r="M1832" s="2" t="s">
        <v>752</v>
      </c>
      <c r="N1832" s="7">
        <v>38</v>
      </c>
      <c r="O1832" s="4">
        <v>1064</v>
      </c>
      <c r="P1832" s="4">
        <v>1064</v>
      </c>
      <c r="Q1832" s="6">
        <v>0</v>
      </c>
    </row>
    <row r="1833" spans="1:17" x14ac:dyDescent="0.25">
      <c r="A1833" s="2" t="s">
        <v>44</v>
      </c>
      <c r="B1833" s="2" t="s">
        <v>45</v>
      </c>
      <c r="C1833" s="2" t="s">
        <v>46</v>
      </c>
      <c r="D1833" s="2" t="s">
        <v>758</v>
      </c>
      <c r="E1833" s="2" t="s">
        <v>817</v>
      </c>
      <c r="F1833" s="2" t="s">
        <v>816</v>
      </c>
      <c r="G1833" s="3">
        <v>46195</v>
      </c>
      <c r="H1833" s="2" t="s">
        <v>753</v>
      </c>
      <c r="I1833" s="2" t="s">
        <v>755</v>
      </c>
      <c r="J1833" s="2" t="s">
        <v>754</v>
      </c>
      <c r="K1833" s="2" t="s">
        <v>753</v>
      </c>
      <c r="L1833" s="6">
        <v>84</v>
      </c>
      <c r="M1833" s="2" t="s">
        <v>752</v>
      </c>
      <c r="N1833" s="7">
        <v>36</v>
      </c>
      <c r="O1833" s="4">
        <v>3024</v>
      </c>
      <c r="P1833" s="4">
        <v>3024</v>
      </c>
      <c r="Q1833" s="6">
        <v>0</v>
      </c>
    </row>
    <row r="1834" spans="1:17" x14ac:dyDescent="0.25">
      <c r="A1834" s="2" t="s">
        <v>44</v>
      </c>
      <c r="B1834" s="2" t="s">
        <v>45</v>
      </c>
      <c r="C1834" s="2" t="s">
        <v>46</v>
      </c>
      <c r="D1834" s="2" t="s">
        <v>758</v>
      </c>
      <c r="E1834" s="2" t="s">
        <v>776</v>
      </c>
      <c r="F1834" s="2" t="s">
        <v>775</v>
      </c>
      <c r="G1834" s="3">
        <v>46195</v>
      </c>
      <c r="H1834" s="2" t="s">
        <v>753</v>
      </c>
      <c r="I1834" s="2" t="s">
        <v>755</v>
      </c>
      <c r="J1834" s="2" t="s">
        <v>754</v>
      </c>
      <c r="K1834" s="2" t="s">
        <v>753</v>
      </c>
      <c r="L1834" s="6">
        <v>112</v>
      </c>
      <c r="M1834" s="2" t="s">
        <v>752</v>
      </c>
      <c r="N1834" s="7">
        <v>43.82</v>
      </c>
      <c r="O1834" s="4">
        <v>4907.84</v>
      </c>
      <c r="P1834" s="4">
        <v>4907.84</v>
      </c>
      <c r="Q1834" s="6">
        <v>0</v>
      </c>
    </row>
    <row r="1835" spans="1:17" x14ac:dyDescent="0.25">
      <c r="A1835" s="2" t="s">
        <v>44</v>
      </c>
      <c r="B1835" s="2" t="s">
        <v>45</v>
      </c>
      <c r="C1835" s="2" t="s">
        <v>46</v>
      </c>
      <c r="D1835" s="2" t="s">
        <v>758</v>
      </c>
      <c r="E1835" s="2" t="s">
        <v>763</v>
      </c>
      <c r="F1835" s="2" t="s">
        <v>762</v>
      </c>
      <c r="G1835" s="3">
        <v>46195</v>
      </c>
      <c r="H1835" s="2" t="s">
        <v>753</v>
      </c>
      <c r="I1835" s="2" t="s">
        <v>755</v>
      </c>
      <c r="J1835" s="2" t="s">
        <v>754</v>
      </c>
      <c r="K1835" s="2" t="s">
        <v>753</v>
      </c>
      <c r="L1835" s="6">
        <v>504</v>
      </c>
      <c r="M1835" s="2" t="s">
        <v>752</v>
      </c>
      <c r="N1835" s="7">
        <v>42.6</v>
      </c>
      <c r="O1835" s="4">
        <v>21470.400000000001</v>
      </c>
      <c r="P1835" s="4">
        <v>21470.400000000001</v>
      </c>
      <c r="Q1835" s="6">
        <v>0</v>
      </c>
    </row>
    <row r="1836" spans="1:17" x14ac:dyDescent="0.25">
      <c r="A1836" s="2" t="s">
        <v>40</v>
      </c>
      <c r="B1836" s="2" t="s">
        <v>41</v>
      </c>
      <c r="C1836" s="2" t="s">
        <v>42</v>
      </c>
      <c r="D1836" s="2" t="s">
        <v>758</v>
      </c>
      <c r="E1836" s="2" t="s">
        <v>784</v>
      </c>
      <c r="F1836" s="2" t="s">
        <v>783</v>
      </c>
      <c r="G1836" s="3">
        <v>46195</v>
      </c>
      <c r="H1836" s="2" t="s">
        <v>753</v>
      </c>
      <c r="I1836" s="2" t="s">
        <v>755</v>
      </c>
      <c r="J1836" s="2" t="s">
        <v>754</v>
      </c>
      <c r="K1836" s="2" t="s">
        <v>753</v>
      </c>
      <c r="L1836" s="6">
        <v>16</v>
      </c>
      <c r="M1836" s="2" t="s">
        <v>752</v>
      </c>
      <c r="N1836" s="7">
        <v>34.93</v>
      </c>
      <c r="O1836" s="4">
        <v>558.88</v>
      </c>
      <c r="P1836" s="4">
        <v>558.88</v>
      </c>
      <c r="Q1836" s="6">
        <v>0</v>
      </c>
    </row>
    <row r="1837" spans="1:17" x14ac:dyDescent="0.25">
      <c r="A1837" s="2" t="s">
        <v>40</v>
      </c>
      <c r="B1837" s="2" t="s">
        <v>41</v>
      </c>
      <c r="C1837" s="2" t="s">
        <v>42</v>
      </c>
      <c r="D1837" s="2" t="s">
        <v>758</v>
      </c>
      <c r="E1837" s="2" t="s">
        <v>847</v>
      </c>
      <c r="F1837" s="2" t="s">
        <v>846</v>
      </c>
      <c r="G1837" s="3">
        <v>46195</v>
      </c>
      <c r="H1837" s="2" t="s">
        <v>753</v>
      </c>
      <c r="I1837" s="2" t="s">
        <v>755</v>
      </c>
      <c r="J1837" s="2" t="s">
        <v>754</v>
      </c>
      <c r="K1837" s="2" t="s">
        <v>753</v>
      </c>
      <c r="L1837" s="6">
        <v>48</v>
      </c>
      <c r="M1837" s="2" t="s">
        <v>752</v>
      </c>
      <c r="N1837" s="7">
        <v>35.479999999999997</v>
      </c>
      <c r="O1837" s="4">
        <v>1703.04</v>
      </c>
      <c r="P1837" s="4">
        <v>1703.04</v>
      </c>
      <c r="Q1837" s="6">
        <v>0</v>
      </c>
    </row>
    <row r="1838" spans="1:17" x14ac:dyDescent="0.25">
      <c r="A1838" s="2" t="s">
        <v>40</v>
      </c>
      <c r="B1838" s="2" t="s">
        <v>41</v>
      </c>
      <c r="C1838" s="2" t="s">
        <v>42</v>
      </c>
      <c r="D1838" s="2" t="s">
        <v>758</v>
      </c>
      <c r="E1838" s="2" t="s">
        <v>794</v>
      </c>
      <c r="F1838" s="2" t="s">
        <v>793</v>
      </c>
      <c r="G1838" s="3">
        <v>46195</v>
      </c>
      <c r="H1838" s="2" t="s">
        <v>753</v>
      </c>
      <c r="I1838" s="2" t="s">
        <v>755</v>
      </c>
      <c r="J1838" s="2" t="s">
        <v>754</v>
      </c>
      <c r="K1838" s="2" t="s">
        <v>753</v>
      </c>
      <c r="L1838" s="6">
        <v>120</v>
      </c>
      <c r="M1838" s="2" t="s">
        <v>752</v>
      </c>
      <c r="N1838" s="7">
        <v>28.49</v>
      </c>
      <c r="O1838" s="4">
        <v>3418.8</v>
      </c>
      <c r="P1838" s="4">
        <v>3418.8</v>
      </c>
      <c r="Q1838" s="6">
        <v>0</v>
      </c>
    </row>
    <row r="1839" spans="1:17" x14ac:dyDescent="0.25">
      <c r="A1839" s="2" t="s">
        <v>40</v>
      </c>
      <c r="B1839" s="2" t="s">
        <v>41</v>
      </c>
      <c r="C1839" s="2" t="s">
        <v>42</v>
      </c>
      <c r="D1839" s="2" t="s">
        <v>758</v>
      </c>
      <c r="E1839" s="2" t="s">
        <v>845</v>
      </c>
      <c r="F1839" s="2" t="s">
        <v>844</v>
      </c>
      <c r="G1839" s="3">
        <v>46195</v>
      </c>
      <c r="H1839" s="2" t="s">
        <v>753</v>
      </c>
      <c r="I1839" s="2" t="s">
        <v>755</v>
      </c>
      <c r="J1839" s="2" t="s">
        <v>754</v>
      </c>
      <c r="K1839" s="2" t="s">
        <v>753</v>
      </c>
      <c r="L1839" s="6">
        <v>56</v>
      </c>
      <c r="M1839" s="2" t="s">
        <v>752</v>
      </c>
      <c r="N1839" s="7">
        <v>28.49</v>
      </c>
      <c r="O1839" s="4">
        <v>1595.44</v>
      </c>
      <c r="P1839" s="4">
        <v>1595.44</v>
      </c>
      <c r="Q1839" s="6">
        <v>0</v>
      </c>
    </row>
    <row r="1840" spans="1:17" x14ac:dyDescent="0.25">
      <c r="A1840" s="2" t="s">
        <v>40</v>
      </c>
      <c r="B1840" s="2" t="s">
        <v>41</v>
      </c>
      <c r="C1840" s="2" t="s">
        <v>42</v>
      </c>
      <c r="D1840" s="2" t="s">
        <v>758</v>
      </c>
      <c r="E1840" s="2" t="s">
        <v>843</v>
      </c>
      <c r="F1840" s="2" t="s">
        <v>842</v>
      </c>
      <c r="G1840" s="3">
        <v>46195</v>
      </c>
      <c r="H1840" s="2" t="s">
        <v>753</v>
      </c>
      <c r="I1840" s="2" t="s">
        <v>755</v>
      </c>
      <c r="J1840" s="2" t="s">
        <v>754</v>
      </c>
      <c r="K1840" s="2" t="s">
        <v>753</v>
      </c>
      <c r="L1840" s="6">
        <v>64</v>
      </c>
      <c r="M1840" s="2" t="s">
        <v>752</v>
      </c>
      <c r="N1840" s="7">
        <v>28.49</v>
      </c>
      <c r="O1840" s="4">
        <v>1823.36</v>
      </c>
      <c r="P1840" s="4">
        <v>1823.36</v>
      </c>
      <c r="Q1840" s="6">
        <v>0</v>
      </c>
    </row>
    <row r="1841" spans="1:17" x14ac:dyDescent="0.25">
      <c r="A1841" s="2" t="s">
        <v>40</v>
      </c>
      <c r="B1841" s="2" t="s">
        <v>41</v>
      </c>
      <c r="C1841" s="2" t="s">
        <v>42</v>
      </c>
      <c r="D1841" s="2" t="s">
        <v>758</v>
      </c>
      <c r="E1841" s="2" t="s">
        <v>841</v>
      </c>
      <c r="F1841" s="2" t="s">
        <v>840</v>
      </c>
      <c r="G1841" s="3">
        <v>46195</v>
      </c>
      <c r="H1841" s="2" t="s">
        <v>753</v>
      </c>
      <c r="I1841" s="2" t="s">
        <v>755</v>
      </c>
      <c r="J1841" s="2" t="s">
        <v>754</v>
      </c>
      <c r="K1841" s="2" t="s">
        <v>753</v>
      </c>
      <c r="L1841" s="6">
        <v>64</v>
      </c>
      <c r="M1841" s="2" t="s">
        <v>752</v>
      </c>
      <c r="N1841" s="7">
        <v>28.49</v>
      </c>
      <c r="O1841" s="4">
        <v>1823.36</v>
      </c>
      <c r="P1841" s="4">
        <v>1823.36</v>
      </c>
      <c r="Q1841" s="6">
        <v>0</v>
      </c>
    </row>
    <row r="1842" spans="1:17" x14ac:dyDescent="0.25">
      <c r="A1842" s="2" t="s">
        <v>40</v>
      </c>
      <c r="B1842" s="2" t="s">
        <v>41</v>
      </c>
      <c r="C1842" s="2" t="s">
        <v>42</v>
      </c>
      <c r="D1842" s="2" t="s">
        <v>758</v>
      </c>
      <c r="E1842" s="2" t="s">
        <v>786</v>
      </c>
      <c r="F1842" s="2" t="s">
        <v>785</v>
      </c>
      <c r="G1842" s="3">
        <v>46195</v>
      </c>
      <c r="H1842" s="2" t="s">
        <v>753</v>
      </c>
      <c r="I1842" s="2" t="s">
        <v>755</v>
      </c>
      <c r="J1842" s="2" t="s">
        <v>754</v>
      </c>
      <c r="K1842" s="2" t="s">
        <v>753</v>
      </c>
      <c r="L1842" s="6">
        <v>224</v>
      </c>
      <c r="M1842" s="2" t="s">
        <v>752</v>
      </c>
      <c r="N1842" s="7">
        <v>25.25</v>
      </c>
      <c r="O1842" s="4">
        <v>5656</v>
      </c>
      <c r="P1842" s="4">
        <v>5656</v>
      </c>
      <c r="Q1842" s="6">
        <v>0</v>
      </c>
    </row>
    <row r="1843" spans="1:17" x14ac:dyDescent="0.25">
      <c r="A1843" s="2" t="s">
        <v>40</v>
      </c>
      <c r="B1843" s="2" t="s">
        <v>41</v>
      </c>
      <c r="C1843" s="2" t="s">
        <v>42</v>
      </c>
      <c r="D1843" s="2" t="s">
        <v>758</v>
      </c>
      <c r="E1843" s="2" t="s">
        <v>839</v>
      </c>
      <c r="F1843" s="2" t="s">
        <v>838</v>
      </c>
      <c r="G1843" s="3">
        <v>46195</v>
      </c>
      <c r="H1843" s="2" t="s">
        <v>753</v>
      </c>
      <c r="I1843" s="2" t="s">
        <v>755</v>
      </c>
      <c r="J1843" s="2" t="s">
        <v>754</v>
      </c>
      <c r="K1843" s="2" t="s">
        <v>753</v>
      </c>
      <c r="L1843" s="6">
        <v>16</v>
      </c>
      <c r="M1843" s="2" t="s">
        <v>752</v>
      </c>
      <c r="N1843" s="7">
        <v>36.630000000000003</v>
      </c>
      <c r="O1843" s="4">
        <v>586.08000000000004</v>
      </c>
      <c r="P1843" s="4">
        <v>586.08000000000004</v>
      </c>
      <c r="Q1843" s="6">
        <v>0</v>
      </c>
    </row>
    <row r="1844" spans="1:17" x14ac:dyDescent="0.25">
      <c r="A1844" s="2" t="s">
        <v>40</v>
      </c>
      <c r="B1844" s="2" t="s">
        <v>41</v>
      </c>
      <c r="C1844" s="2" t="s">
        <v>42</v>
      </c>
      <c r="D1844" s="2" t="s">
        <v>758</v>
      </c>
      <c r="E1844" s="2" t="s">
        <v>776</v>
      </c>
      <c r="F1844" s="2" t="s">
        <v>775</v>
      </c>
      <c r="G1844" s="3">
        <v>46195</v>
      </c>
      <c r="H1844" s="2" t="s">
        <v>753</v>
      </c>
      <c r="I1844" s="2" t="s">
        <v>755</v>
      </c>
      <c r="J1844" s="2" t="s">
        <v>754</v>
      </c>
      <c r="K1844" s="2" t="s">
        <v>753</v>
      </c>
      <c r="L1844" s="6">
        <v>24</v>
      </c>
      <c r="M1844" s="2" t="s">
        <v>752</v>
      </c>
      <c r="N1844" s="7">
        <v>37.950000000000003</v>
      </c>
      <c r="O1844" s="4">
        <v>910.8</v>
      </c>
      <c r="P1844" s="4">
        <v>910.8</v>
      </c>
      <c r="Q1844" s="6">
        <v>0</v>
      </c>
    </row>
    <row r="1845" spans="1:17" x14ac:dyDescent="0.25">
      <c r="A1845" s="2" t="s">
        <v>40</v>
      </c>
      <c r="B1845" s="2" t="s">
        <v>41</v>
      </c>
      <c r="C1845" s="2" t="s">
        <v>42</v>
      </c>
      <c r="D1845" s="2" t="s">
        <v>758</v>
      </c>
      <c r="E1845" s="2" t="s">
        <v>813</v>
      </c>
      <c r="F1845" s="2" t="s">
        <v>812</v>
      </c>
      <c r="G1845" s="3">
        <v>46195</v>
      </c>
      <c r="H1845" s="2" t="s">
        <v>753</v>
      </c>
      <c r="I1845" s="2" t="s">
        <v>755</v>
      </c>
      <c r="J1845" s="2" t="s">
        <v>754</v>
      </c>
      <c r="K1845" s="2" t="s">
        <v>753</v>
      </c>
      <c r="L1845" s="6">
        <v>36</v>
      </c>
      <c r="M1845" s="2" t="s">
        <v>752</v>
      </c>
      <c r="N1845" s="7">
        <v>36.630000000000003</v>
      </c>
      <c r="O1845" s="4">
        <v>1318.68</v>
      </c>
      <c r="P1845" s="4">
        <v>1318.68</v>
      </c>
      <c r="Q1845" s="6">
        <v>0</v>
      </c>
    </row>
    <row r="1846" spans="1:17" x14ac:dyDescent="0.25">
      <c r="A1846" s="2" t="s">
        <v>40</v>
      </c>
      <c r="B1846" s="2" t="s">
        <v>41</v>
      </c>
      <c r="C1846" s="2" t="s">
        <v>42</v>
      </c>
      <c r="D1846" s="2" t="s">
        <v>758</v>
      </c>
      <c r="E1846" s="2" t="s">
        <v>763</v>
      </c>
      <c r="F1846" s="2" t="s">
        <v>762</v>
      </c>
      <c r="G1846" s="3">
        <v>46195</v>
      </c>
      <c r="H1846" s="2" t="s">
        <v>753</v>
      </c>
      <c r="I1846" s="2" t="s">
        <v>755</v>
      </c>
      <c r="J1846" s="2" t="s">
        <v>754</v>
      </c>
      <c r="K1846" s="2" t="s">
        <v>753</v>
      </c>
      <c r="L1846" s="6">
        <v>168</v>
      </c>
      <c r="M1846" s="2" t="s">
        <v>752</v>
      </c>
      <c r="N1846" s="7">
        <v>40.43</v>
      </c>
      <c r="O1846" s="4">
        <v>6792.24</v>
      </c>
      <c r="P1846" s="4">
        <v>6792.24</v>
      </c>
      <c r="Q1846" s="6">
        <v>0</v>
      </c>
    </row>
    <row r="1847" spans="1:17" x14ac:dyDescent="0.25">
      <c r="A1847" s="2" t="s">
        <v>32</v>
      </c>
      <c r="B1847" s="2" t="s">
        <v>33</v>
      </c>
      <c r="C1847" s="2" t="s">
        <v>34</v>
      </c>
      <c r="D1847" s="2" t="s">
        <v>758</v>
      </c>
      <c r="E1847" s="2" t="s">
        <v>784</v>
      </c>
      <c r="F1847" s="2" t="s">
        <v>783</v>
      </c>
      <c r="G1847" s="3">
        <v>46196</v>
      </c>
      <c r="H1847" s="2" t="s">
        <v>753</v>
      </c>
      <c r="I1847" s="2" t="s">
        <v>755</v>
      </c>
      <c r="J1847" s="2" t="s">
        <v>754</v>
      </c>
      <c r="K1847" s="2" t="s">
        <v>753</v>
      </c>
      <c r="L1847" s="6">
        <v>16</v>
      </c>
      <c r="M1847" s="2" t="s">
        <v>752</v>
      </c>
      <c r="N1847" s="7">
        <v>37.049999999999997</v>
      </c>
      <c r="O1847" s="4">
        <v>592.79999999999995</v>
      </c>
      <c r="P1847" s="4">
        <v>592.79999999999995</v>
      </c>
      <c r="Q1847" s="6">
        <v>0</v>
      </c>
    </row>
    <row r="1848" spans="1:17" x14ac:dyDescent="0.25">
      <c r="A1848" s="2" t="s">
        <v>32</v>
      </c>
      <c r="B1848" s="2" t="s">
        <v>33</v>
      </c>
      <c r="C1848" s="2" t="s">
        <v>34</v>
      </c>
      <c r="D1848" s="2" t="s">
        <v>758</v>
      </c>
      <c r="E1848" s="2" t="s">
        <v>837</v>
      </c>
      <c r="F1848" s="2" t="s">
        <v>836</v>
      </c>
      <c r="G1848" s="3">
        <v>46196</v>
      </c>
      <c r="H1848" s="2" t="s">
        <v>753</v>
      </c>
      <c r="I1848" s="2" t="s">
        <v>755</v>
      </c>
      <c r="J1848" s="2" t="s">
        <v>754</v>
      </c>
      <c r="K1848" s="2" t="s">
        <v>753</v>
      </c>
      <c r="L1848" s="6">
        <v>64</v>
      </c>
      <c r="M1848" s="2" t="s">
        <v>752</v>
      </c>
      <c r="N1848" s="7">
        <v>60.07</v>
      </c>
      <c r="O1848" s="4">
        <v>3844.48</v>
      </c>
      <c r="P1848" s="4">
        <v>3844.48</v>
      </c>
      <c r="Q1848" s="6">
        <v>0</v>
      </c>
    </row>
    <row r="1849" spans="1:17" x14ac:dyDescent="0.25">
      <c r="A1849" s="2" t="s">
        <v>32</v>
      </c>
      <c r="B1849" s="2" t="s">
        <v>33</v>
      </c>
      <c r="C1849" s="2" t="s">
        <v>34</v>
      </c>
      <c r="D1849" s="2" t="s">
        <v>758</v>
      </c>
      <c r="E1849" s="2" t="s">
        <v>835</v>
      </c>
      <c r="F1849" s="2" t="s">
        <v>834</v>
      </c>
      <c r="G1849" s="3">
        <v>46196</v>
      </c>
      <c r="H1849" s="2" t="s">
        <v>753</v>
      </c>
      <c r="I1849" s="2" t="s">
        <v>755</v>
      </c>
      <c r="J1849" s="2" t="s">
        <v>754</v>
      </c>
      <c r="K1849" s="2" t="s">
        <v>753</v>
      </c>
      <c r="L1849" s="6">
        <v>56</v>
      </c>
      <c r="M1849" s="2" t="s">
        <v>752</v>
      </c>
      <c r="N1849" s="7">
        <v>64</v>
      </c>
      <c r="O1849" s="4">
        <v>3584</v>
      </c>
      <c r="P1849" s="4">
        <v>3584</v>
      </c>
      <c r="Q1849" s="6">
        <v>0</v>
      </c>
    </row>
    <row r="1850" spans="1:17" x14ac:dyDescent="0.25">
      <c r="A1850" s="2" t="s">
        <v>32</v>
      </c>
      <c r="B1850" s="2" t="s">
        <v>33</v>
      </c>
      <c r="C1850" s="2" t="s">
        <v>34</v>
      </c>
      <c r="D1850" s="2" t="s">
        <v>758</v>
      </c>
      <c r="E1850" s="2" t="s">
        <v>763</v>
      </c>
      <c r="F1850" s="2" t="s">
        <v>762</v>
      </c>
      <c r="G1850" s="3">
        <v>46196</v>
      </c>
      <c r="H1850" s="2" t="s">
        <v>753</v>
      </c>
      <c r="I1850" s="2" t="s">
        <v>755</v>
      </c>
      <c r="J1850" s="2" t="s">
        <v>754</v>
      </c>
      <c r="K1850" s="2" t="s">
        <v>753</v>
      </c>
      <c r="L1850" s="6">
        <v>252</v>
      </c>
      <c r="M1850" s="2" t="s">
        <v>752</v>
      </c>
      <c r="N1850" s="7">
        <v>46.1</v>
      </c>
      <c r="O1850" s="4">
        <v>11617.2</v>
      </c>
      <c r="P1850" s="4">
        <v>11617.2</v>
      </c>
      <c r="Q1850" s="6">
        <v>0</v>
      </c>
    </row>
    <row r="1851" spans="1:17" x14ac:dyDescent="0.25">
      <c r="A1851" s="2" t="s">
        <v>32</v>
      </c>
      <c r="B1851" s="2" t="s">
        <v>33</v>
      </c>
      <c r="C1851" s="2" t="s">
        <v>34</v>
      </c>
      <c r="D1851" s="2" t="s">
        <v>758</v>
      </c>
      <c r="E1851" s="2" t="s">
        <v>817</v>
      </c>
      <c r="F1851" s="2" t="s">
        <v>816</v>
      </c>
      <c r="G1851" s="3">
        <v>46196</v>
      </c>
      <c r="H1851" s="2" t="s">
        <v>753</v>
      </c>
      <c r="I1851" s="2" t="s">
        <v>755</v>
      </c>
      <c r="J1851" s="2" t="s">
        <v>754</v>
      </c>
      <c r="K1851" s="2" t="s">
        <v>753</v>
      </c>
      <c r="L1851" s="6">
        <v>80</v>
      </c>
      <c r="M1851" s="2" t="s">
        <v>752</v>
      </c>
      <c r="N1851" s="7">
        <v>38</v>
      </c>
      <c r="O1851" s="4">
        <v>3040</v>
      </c>
      <c r="P1851" s="4">
        <v>3040</v>
      </c>
      <c r="Q1851" s="6">
        <v>0</v>
      </c>
    </row>
    <row r="1852" spans="1:17" x14ac:dyDescent="0.25">
      <c r="A1852" s="2" t="s">
        <v>32</v>
      </c>
      <c r="B1852" s="2" t="s">
        <v>33</v>
      </c>
      <c r="C1852" s="2" t="s">
        <v>34</v>
      </c>
      <c r="D1852" s="2" t="s">
        <v>758</v>
      </c>
      <c r="E1852" s="2" t="s">
        <v>833</v>
      </c>
      <c r="F1852" s="2" t="s">
        <v>832</v>
      </c>
      <c r="G1852" s="3">
        <v>46196</v>
      </c>
      <c r="H1852" s="2" t="s">
        <v>753</v>
      </c>
      <c r="I1852" s="2" t="s">
        <v>755</v>
      </c>
      <c r="J1852" s="2" t="s">
        <v>754</v>
      </c>
      <c r="K1852" s="2" t="s">
        <v>753</v>
      </c>
      <c r="L1852" s="6">
        <v>168</v>
      </c>
      <c r="M1852" s="2" t="s">
        <v>752</v>
      </c>
      <c r="N1852" s="7">
        <v>45</v>
      </c>
      <c r="O1852" s="4">
        <v>7560</v>
      </c>
      <c r="P1852" s="4">
        <v>7560</v>
      </c>
      <c r="Q1852" s="6">
        <v>0</v>
      </c>
    </row>
    <row r="1853" spans="1:17" x14ac:dyDescent="0.25">
      <c r="A1853" s="2" t="s">
        <v>24</v>
      </c>
      <c r="B1853" s="2" t="s">
        <v>25</v>
      </c>
      <c r="C1853" s="2" t="s">
        <v>26</v>
      </c>
      <c r="D1853" s="2" t="s">
        <v>758</v>
      </c>
      <c r="E1853" s="2" t="s">
        <v>831</v>
      </c>
      <c r="F1853" s="2" t="s">
        <v>830</v>
      </c>
      <c r="G1853" s="3">
        <v>46197</v>
      </c>
      <c r="H1853" s="2" t="s">
        <v>753</v>
      </c>
      <c r="I1853" s="2" t="s">
        <v>755</v>
      </c>
      <c r="J1853" s="2" t="s">
        <v>754</v>
      </c>
      <c r="K1853" s="2" t="s">
        <v>753</v>
      </c>
      <c r="L1853" s="6">
        <v>32</v>
      </c>
      <c r="M1853" s="2" t="s">
        <v>752</v>
      </c>
      <c r="N1853" s="7">
        <v>56</v>
      </c>
      <c r="O1853" s="4">
        <v>1792</v>
      </c>
      <c r="P1853" s="4">
        <v>1792</v>
      </c>
      <c r="Q1853" s="6">
        <v>0</v>
      </c>
    </row>
    <row r="1854" spans="1:17" x14ac:dyDescent="0.25">
      <c r="A1854" s="2" t="s">
        <v>24</v>
      </c>
      <c r="B1854" s="2" t="s">
        <v>25</v>
      </c>
      <c r="C1854" s="2" t="s">
        <v>26</v>
      </c>
      <c r="D1854" s="2" t="s">
        <v>758</v>
      </c>
      <c r="E1854" s="2" t="s">
        <v>829</v>
      </c>
      <c r="F1854" s="2" t="s">
        <v>828</v>
      </c>
      <c r="G1854" s="3">
        <v>46197</v>
      </c>
      <c r="H1854" s="2" t="s">
        <v>753</v>
      </c>
      <c r="I1854" s="2" t="s">
        <v>755</v>
      </c>
      <c r="J1854" s="2" t="s">
        <v>754</v>
      </c>
      <c r="K1854" s="2" t="s">
        <v>753</v>
      </c>
      <c r="L1854" s="6">
        <v>16</v>
      </c>
      <c r="M1854" s="2" t="s">
        <v>752</v>
      </c>
      <c r="N1854" s="7">
        <v>40</v>
      </c>
      <c r="O1854" s="4">
        <v>640</v>
      </c>
      <c r="P1854" s="4">
        <v>640</v>
      </c>
      <c r="Q1854" s="6">
        <v>0</v>
      </c>
    </row>
    <row r="1855" spans="1:17" x14ac:dyDescent="0.25">
      <c r="A1855" s="2" t="s">
        <v>24</v>
      </c>
      <c r="B1855" s="2" t="s">
        <v>25</v>
      </c>
      <c r="C1855" s="2" t="s">
        <v>26</v>
      </c>
      <c r="D1855" s="2" t="s">
        <v>758</v>
      </c>
      <c r="E1855" s="2" t="s">
        <v>827</v>
      </c>
      <c r="F1855" s="2" t="s">
        <v>826</v>
      </c>
      <c r="G1855" s="3">
        <v>46197</v>
      </c>
      <c r="H1855" s="2" t="s">
        <v>753</v>
      </c>
      <c r="I1855" s="2" t="s">
        <v>755</v>
      </c>
      <c r="J1855" s="2" t="s">
        <v>754</v>
      </c>
      <c r="K1855" s="2" t="s">
        <v>753</v>
      </c>
      <c r="L1855" s="6">
        <v>16</v>
      </c>
      <c r="M1855" s="2" t="s">
        <v>752</v>
      </c>
      <c r="N1855" s="7">
        <v>41.85</v>
      </c>
      <c r="O1855" s="4">
        <v>669.6</v>
      </c>
      <c r="P1855" s="4">
        <v>669.6</v>
      </c>
      <c r="Q1855" s="6">
        <v>0</v>
      </c>
    </row>
    <row r="1856" spans="1:17" x14ac:dyDescent="0.25">
      <c r="A1856" s="2" t="s">
        <v>24</v>
      </c>
      <c r="B1856" s="2" t="s">
        <v>25</v>
      </c>
      <c r="C1856" s="2" t="s">
        <v>26</v>
      </c>
      <c r="D1856" s="2" t="s">
        <v>758</v>
      </c>
      <c r="E1856" s="2" t="s">
        <v>825</v>
      </c>
      <c r="F1856" s="2" t="s">
        <v>824</v>
      </c>
      <c r="G1856" s="3">
        <v>46197</v>
      </c>
      <c r="H1856" s="2" t="s">
        <v>753</v>
      </c>
      <c r="I1856" s="2" t="s">
        <v>755</v>
      </c>
      <c r="J1856" s="2" t="s">
        <v>754</v>
      </c>
      <c r="K1856" s="2" t="s">
        <v>753</v>
      </c>
      <c r="L1856" s="6">
        <v>12</v>
      </c>
      <c r="M1856" s="2" t="s">
        <v>752</v>
      </c>
      <c r="N1856" s="7">
        <v>47.2</v>
      </c>
      <c r="O1856" s="4">
        <v>566.4</v>
      </c>
      <c r="P1856" s="4">
        <v>566.4</v>
      </c>
      <c r="Q1856" s="6">
        <v>0</v>
      </c>
    </row>
    <row r="1857" spans="1:17" x14ac:dyDescent="0.25">
      <c r="A1857" s="2" t="s">
        <v>24</v>
      </c>
      <c r="B1857" s="2" t="s">
        <v>25</v>
      </c>
      <c r="C1857" s="2" t="s">
        <v>26</v>
      </c>
      <c r="D1857" s="2" t="s">
        <v>758</v>
      </c>
      <c r="E1857" s="2" t="s">
        <v>823</v>
      </c>
      <c r="F1857" s="2" t="s">
        <v>822</v>
      </c>
      <c r="G1857" s="3">
        <v>46197</v>
      </c>
      <c r="H1857" s="2" t="s">
        <v>753</v>
      </c>
      <c r="I1857" s="2" t="s">
        <v>755</v>
      </c>
      <c r="J1857" s="2" t="s">
        <v>754</v>
      </c>
      <c r="K1857" s="2" t="s">
        <v>753</v>
      </c>
      <c r="L1857" s="6">
        <v>28</v>
      </c>
      <c r="M1857" s="2" t="s">
        <v>752</v>
      </c>
      <c r="N1857" s="7">
        <v>52</v>
      </c>
      <c r="O1857" s="4">
        <v>1456</v>
      </c>
      <c r="P1857" s="4">
        <v>1456</v>
      </c>
      <c r="Q1857" s="6">
        <v>0</v>
      </c>
    </row>
    <row r="1858" spans="1:17" x14ac:dyDescent="0.25">
      <c r="A1858" s="2" t="s">
        <v>24</v>
      </c>
      <c r="B1858" s="2" t="s">
        <v>25</v>
      </c>
      <c r="C1858" s="2" t="s">
        <v>26</v>
      </c>
      <c r="D1858" s="2" t="s">
        <v>758</v>
      </c>
      <c r="E1858" s="2" t="s">
        <v>813</v>
      </c>
      <c r="F1858" s="2" t="s">
        <v>812</v>
      </c>
      <c r="G1858" s="3">
        <v>46197</v>
      </c>
      <c r="H1858" s="2" t="s">
        <v>753</v>
      </c>
      <c r="I1858" s="2" t="s">
        <v>755</v>
      </c>
      <c r="J1858" s="2" t="s">
        <v>754</v>
      </c>
      <c r="K1858" s="2" t="s">
        <v>753</v>
      </c>
      <c r="L1858" s="6">
        <v>1</v>
      </c>
      <c r="M1858" s="2" t="s">
        <v>752</v>
      </c>
      <c r="N1858" s="7">
        <v>54</v>
      </c>
      <c r="O1858" s="4">
        <v>54</v>
      </c>
      <c r="P1858" s="4">
        <v>54</v>
      </c>
      <c r="Q1858" s="6">
        <v>0</v>
      </c>
    </row>
    <row r="1859" spans="1:17" x14ac:dyDescent="0.25">
      <c r="A1859" s="2" t="s">
        <v>24</v>
      </c>
      <c r="B1859" s="2" t="s">
        <v>25</v>
      </c>
      <c r="C1859" s="2" t="s">
        <v>26</v>
      </c>
      <c r="D1859" s="2" t="s">
        <v>758</v>
      </c>
      <c r="E1859" s="2" t="s">
        <v>821</v>
      </c>
      <c r="F1859" s="2" t="s">
        <v>820</v>
      </c>
      <c r="G1859" s="3">
        <v>46197</v>
      </c>
      <c r="H1859" s="2" t="s">
        <v>753</v>
      </c>
      <c r="I1859" s="2" t="s">
        <v>755</v>
      </c>
      <c r="J1859" s="2" t="s">
        <v>754</v>
      </c>
      <c r="K1859" s="2" t="s">
        <v>753</v>
      </c>
      <c r="L1859" s="6">
        <v>8</v>
      </c>
      <c r="M1859" s="2" t="s">
        <v>752</v>
      </c>
      <c r="N1859" s="7">
        <v>52</v>
      </c>
      <c r="O1859" s="4">
        <v>416</v>
      </c>
      <c r="P1859" s="4">
        <v>416</v>
      </c>
      <c r="Q1859" s="6">
        <v>0</v>
      </c>
    </row>
    <row r="1860" spans="1:17" x14ac:dyDescent="0.25">
      <c r="A1860" s="2" t="s">
        <v>24</v>
      </c>
      <c r="B1860" s="2" t="s">
        <v>25</v>
      </c>
      <c r="C1860" s="2" t="s">
        <v>26</v>
      </c>
      <c r="D1860" s="2" t="s">
        <v>758</v>
      </c>
      <c r="E1860" s="2" t="s">
        <v>819</v>
      </c>
      <c r="F1860" s="2" t="s">
        <v>818</v>
      </c>
      <c r="G1860" s="3">
        <v>46197</v>
      </c>
      <c r="H1860" s="2" t="s">
        <v>753</v>
      </c>
      <c r="I1860" s="2" t="s">
        <v>755</v>
      </c>
      <c r="J1860" s="2" t="s">
        <v>754</v>
      </c>
      <c r="K1860" s="2" t="s">
        <v>753</v>
      </c>
      <c r="L1860" s="6">
        <v>28</v>
      </c>
      <c r="M1860" s="2" t="s">
        <v>752</v>
      </c>
      <c r="N1860" s="7">
        <v>38.25</v>
      </c>
      <c r="O1860" s="4">
        <v>1071</v>
      </c>
      <c r="P1860" s="4">
        <v>1071</v>
      </c>
      <c r="Q1860" s="6">
        <v>0</v>
      </c>
    </row>
    <row r="1861" spans="1:17" x14ac:dyDescent="0.25">
      <c r="A1861" s="2" t="s">
        <v>28</v>
      </c>
      <c r="B1861" s="2" t="s">
        <v>29</v>
      </c>
      <c r="C1861" s="2" t="s">
        <v>30</v>
      </c>
      <c r="D1861" s="2" t="s">
        <v>758</v>
      </c>
      <c r="E1861" s="2" t="s">
        <v>780</v>
      </c>
      <c r="F1861" s="2" t="s">
        <v>779</v>
      </c>
      <c r="G1861" s="3">
        <v>46196</v>
      </c>
      <c r="H1861" s="2" t="s">
        <v>753</v>
      </c>
      <c r="I1861" s="2" t="s">
        <v>755</v>
      </c>
      <c r="J1861" s="2" t="s">
        <v>754</v>
      </c>
      <c r="K1861" s="2" t="s">
        <v>753</v>
      </c>
      <c r="L1861" s="6">
        <v>28</v>
      </c>
      <c r="M1861" s="2" t="s">
        <v>752</v>
      </c>
      <c r="N1861" s="7">
        <v>36.5</v>
      </c>
      <c r="O1861" s="4">
        <v>1022</v>
      </c>
      <c r="P1861" s="4">
        <v>1022</v>
      </c>
      <c r="Q1861" s="6">
        <v>0</v>
      </c>
    </row>
    <row r="1862" spans="1:17" x14ac:dyDescent="0.25">
      <c r="A1862" s="2" t="s">
        <v>28</v>
      </c>
      <c r="B1862" s="2" t="s">
        <v>29</v>
      </c>
      <c r="C1862" s="2" t="s">
        <v>30</v>
      </c>
      <c r="D1862" s="2" t="s">
        <v>758</v>
      </c>
      <c r="E1862" s="2" t="s">
        <v>817</v>
      </c>
      <c r="F1862" s="2" t="s">
        <v>816</v>
      </c>
      <c r="G1862" s="3">
        <v>46196</v>
      </c>
      <c r="H1862" s="2" t="s">
        <v>753</v>
      </c>
      <c r="I1862" s="2" t="s">
        <v>755</v>
      </c>
      <c r="J1862" s="2" t="s">
        <v>754</v>
      </c>
      <c r="K1862" s="2" t="s">
        <v>753</v>
      </c>
      <c r="L1862" s="6">
        <v>56</v>
      </c>
      <c r="M1862" s="2" t="s">
        <v>752</v>
      </c>
      <c r="N1862" s="7">
        <v>31.42</v>
      </c>
      <c r="O1862" s="4">
        <v>1759.52</v>
      </c>
      <c r="P1862" s="4">
        <v>1759.52</v>
      </c>
      <c r="Q1862" s="6">
        <v>0</v>
      </c>
    </row>
    <row r="1863" spans="1:17" x14ac:dyDescent="0.25">
      <c r="A1863" s="2" t="s">
        <v>28</v>
      </c>
      <c r="B1863" s="2" t="s">
        <v>29</v>
      </c>
      <c r="C1863" s="2" t="s">
        <v>30</v>
      </c>
      <c r="D1863" s="2" t="s">
        <v>758</v>
      </c>
      <c r="E1863" s="2" t="s">
        <v>815</v>
      </c>
      <c r="F1863" s="2" t="s">
        <v>814</v>
      </c>
      <c r="G1863" s="3">
        <v>46196</v>
      </c>
      <c r="H1863" s="2" t="s">
        <v>753</v>
      </c>
      <c r="I1863" s="2" t="s">
        <v>755</v>
      </c>
      <c r="J1863" s="2" t="s">
        <v>754</v>
      </c>
      <c r="K1863" s="2" t="s">
        <v>753</v>
      </c>
      <c r="L1863" s="6">
        <v>140</v>
      </c>
      <c r="M1863" s="2" t="s">
        <v>752</v>
      </c>
      <c r="N1863" s="7">
        <v>34</v>
      </c>
      <c r="O1863" s="4">
        <v>4760</v>
      </c>
      <c r="P1863" s="4">
        <v>4760</v>
      </c>
      <c r="Q1863" s="6">
        <v>0</v>
      </c>
    </row>
    <row r="1864" spans="1:17" x14ac:dyDescent="0.25">
      <c r="A1864" s="2" t="s">
        <v>28</v>
      </c>
      <c r="B1864" s="2" t="s">
        <v>29</v>
      </c>
      <c r="C1864" s="2" t="s">
        <v>30</v>
      </c>
      <c r="D1864" s="2" t="s">
        <v>758</v>
      </c>
      <c r="E1864" s="2" t="s">
        <v>813</v>
      </c>
      <c r="F1864" s="2" t="s">
        <v>812</v>
      </c>
      <c r="G1864" s="3">
        <v>46196</v>
      </c>
      <c r="H1864" s="2" t="s">
        <v>753</v>
      </c>
      <c r="I1864" s="2" t="s">
        <v>755</v>
      </c>
      <c r="J1864" s="2" t="s">
        <v>754</v>
      </c>
      <c r="K1864" s="2" t="s">
        <v>753</v>
      </c>
      <c r="L1864" s="6">
        <v>12</v>
      </c>
      <c r="M1864" s="2" t="s">
        <v>752</v>
      </c>
      <c r="N1864" s="7">
        <v>43.26</v>
      </c>
      <c r="O1864" s="4">
        <v>519.12</v>
      </c>
      <c r="P1864" s="4">
        <v>519.12</v>
      </c>
      <c r="Q1864" s="6">
        <v>0</v>
      </c>
    </row>
    <row r="1865" spans="1:17" x14ac:dyDescent="0.25">
      <c r="A1865" s="2" t="s">
        <v>28</v>
      </c>
      <c r="B1865" s="2" t="s">
        <v>29</v>
      </c>
      <c r="C1865" s="2" t="s">
        <v>30</v>
      </c>
      <c r="D1865" s="2" t="s">
        <v>758</v>
      </c>
      <c r="E1865" s="2" t="s">
        <v>811</v>
      </c>
      <c r="F1865" s="2" t="s">
        <v>810</v>
      </c>
      <c r="G1865" s="3">
        <v>46196</v>
      </c>
      <c r="H1865" s="2" t="s">
        <v>753</v>
      </c>
      <c r="I1865" s="2" t="s">
        <v>755</v>
      </c>
      <c r="J1865" s="2" t="s">
        <v>754</v>
      </c>
      <c r="K1865" s="2" t="s">
        <v>753</v>
      </c>
      <c r="L1865" s="6">
        <v>20</v>
      </c>
      <c r="M1865" s="2" t="s">
        <v>752</v>
      </c>
      <c r="N1865" s="7">
        <v>43.26</v>
      </c>
      <c r="O1865" s="4">
        <v>865.2</v>
      </c>
      <c r="P1865" s="4">
        <v>865.2</v>
      </c>
      <c r="Q1865" s="6">
        <v>0</v>
      </c>
    </row>
    <row r="1866" spans="1:17" x14ac:dyDescent="0.25">
      <c r="A1866" s="2" t="s">
        <v>28</v>
      </c>
      <c r="B1866" s="2" t="s">
        <v>29</v>
      </c>
      <c r="C1866" s="2" t="s">
        <v>30</v>
      </c>
      <c r="D1866" s="2" t="s">
        <v>758</v>
      </c>
      <c r="E1866" s="2" t="s">
        <v>763</v>
      </c>
      <c r="F1866" s="2" t="s">
        <v>762</v>
      </c>
      <c r="G1866" s="3">
        <v>46196</v>
      </c>
      <c r="H1866" s="2" t="s">
        <v>753</v>
      </c>
      <c r="I1866" s="2" t="s">
        <v>755</v>
      </c>
      <c r="J1866" s="2" t="s">
        <v>754</v>
      </c>
      <c r="K1866" s="2" t="s">
        <v>753</v>
      </c>
      <c r="L1866" s="6">
        <v>84</v>
      </c>
      <c r="M1866" s="2" t="s">
        <v>752</v>
      </c>
      <c r="N1866" s="7">
        <v>43.36</v>
      </c>
      <c r="O1866" s="4">
        <v>3642.24</v>
      </c>
      <c r="P1866" s="4">
        <v>3642.24</v>
      </c>
      <c r="Q1866" s="6">
        <v>0</v>
      </c>
    </row>
    <row r="1867" spans="1:17" x14ac:dyDescent="0.25">
      <c r="A1867" s="2" t="s">
        <v>28</v>
      </c>
      <c r="B1867" s="2" t="s">
        <v>29</v>
      </c>
      <c r="C1867" s="2" t="s">
        <v>30</v>
      </c>
      <c r="D1867" s="2" t="s">
        <v>758</v>
      </c>
      <c r="E1867" s="2" t="s">
        <v>809</v>
      </c>
      <c r="F1867" s="2" t="s">
        <v>808</v>
      </c>
      <c r="G1867" s="3">
        <v>46196</v>
      </c>
      <c r="H1867" s="2" t="s">
        <v>753</v>
      </c>
      <c r="I1867" s="2" t="s">
        <v>755</v>
      </c>
      <c r="J1867" s="2" t="s">
        <v>754</v>
      </c>
      <c r="K1867" s="2" t="s">
        <v>753</v>
      </c>
      <c r="L1867" s="6">
        <v>28</v>
      </c>
      <c r="M1867" s="2" t="s">
        <v>752</v>
      </c>
      <c r="N1867" s="7">
        <v>39.53</v>
      </c>
      <c r="O1867" s="4">
        <v>1106.8399999999999</v>
      </c>
      <c r="P1867" s="4">
        <v>1106.8399999999999</v>
      </c>
      <c r="Q1867" s="6">
        <v>0</v>
      </c>
    </row>
    <row r="1868" spans="1:17" x14ac:dyDescent="0.25">
      <c r="A1868" s="2" t="s">
        <v>28</v>
      </c>
      <c r="B1868" s="2" t="s">
        <v>29</v>
      </c>
      <c r="C1868" s="2" t="s">
        <v>30</v>
      </c>
      <c r="D1868" s="2" t="s">
        <v>758</v>
      </c>
      <c r="E1868" s="2" t="s">
        <v>776</v>
      </c>
      <c r="F1868" s="2" t="s">
        <v>775</v>
      </c>
      <c r="G1868" s="3">
        <v>46196</v>
      </c>
      <c r="H1868" s="2" t="s">
        <v>753</v>
      </c>
      <c r="I1868" s="2" t="s">
        <v>755</v>
      </c>
      <c r="J1868" s="2" t="s">
        <v>754</v>
      </c>
      <c r="K1868" s="2" t="s">
        <v>753</v>
      </c>
      <c r="L1868" s="6">
        <v>20</v>
      </c>
      <c r="M1868" s="2" t="s">
        <v>752</v>
      </c>
      <c r="N1868" s="7">
        <v>41.2</v>
      </c>
      <c r="O1868" s="4">
        <v>824</v>
      </c>
      <c r="P1868" s="4">
        <v>824</v>
      </c>
      <c r="Q1868" s="6">
        <v>0</v>
      </c>
    </row>
    <row r="1869" spans="1:17" x14ac:dyDescent="0.25">
      <c r="A1869" s="2" t="s">
        <v>28</v>
      </c>
      <c r="B1869" s="2" t="s">
        <v>29</v>
      </c>
      <c r="C1869" s="2" t="s">
        <v>30</v>
      </c>
      <c r="D1869" s="2" t="s">
        <v>758</v>
      </c>
      <c r="E1869" s="2" t="s">
        <v>807</v>
      </c>
      <c r="F1869" s="2" t="s">
        <v>806</v>
      </c>
      <c r="G1869" s="3">
        <v>46196</v>
      </c>
      <c r="H1869" s="2" t="s">
        <v>753</v>
      </c>
      <c r="I1869" s="2" t="s">
        <v>755</v>
      </c>
      <c r="J1869" s="2" t="s">
        <v>754</v>
      </c>
      <c r="K1869" s="2" t="s">
        <v>753</v>
      </c>
      <c r="L1869" s="6">
        <v>12</v>
      </c>
      <c r="M1869" s="2" t="s">
        <v>752</v>
      </c>
      <c r="N1869" s="7">
        <v>42.02</v>
      </c>
      <c r="O1869" s="4">
        <v>504.24</v>
      </c>
      <c r="P1869" s="4">
        <v>504.24</v>
      </c>
      <c r="Q1869" s="6">
        <v>0</v>
      </c>
    </row>
    <row r="1870" spans="1:17" x14ac:dyDescent="0.25">
      <c r="A1870" s="2" t="s">
        <v>28</v>
      </c>
      <c r="B1870" s="2" t="s">
        <v>29</v>
      </c>
      <c r="C1870" s="2" t="s">
        <v>30</v>
      </c>
      <c r="D1870" s="2" t="s">
        <v>758</v>
      </c>
      <c r="E1870" s="2" t="s">
        <v>805</v>
      </c>
      <c r="F1870" s="2" t="s">
        <v>804</v>
      </c>
      <c r="G1870" s="3">
        <v>46196</v>
      </c>
      <c r="H1870" s="2" t="s">
        <v>753</v>
      </c>
      <c r="I1870" s="2" t="s">
        <v>755</v>
      </c>
      <c r="J1870" s="2" t="s">
        <v>754</v>
      </c>
      <c r="K1870" s="2" t="s">
        <v>753</v>
      </c>
      <c r="L1870" s="6">
        <v>180</v>
      </c>
      <c r="M1870" s="2" t="s">
        <v>752</v>
      </c>
      <c r="N1870" s="7">
        <v>41</v>
      </c>
      <c r="O1870" s="4">
        <v>7380</v>
      </c>
      <c r="P1870" s="4">
        <v>7380</v>
      </c>
      <c r="Q1870" s="6">
        <v>0</v>
      </c>
    </row>
    <row r="1871" spans="1:17" x14ac:dyDescent="0.25">
      <c r="A1871" s="2" t="s">
        <v>803</v>
      </c>
      <c r="B1871" s="2" t="s">
        <v>802</v>
      </c>
      <c r="C1871" s="2" t="s">
        <v>801</v>
      </c>
      <c r="D1871" s="2" t="s">
        <v>758</v>
      </c>
      <c r="E1871" s="2" t="s">
        <v>757</v>
      </c>
      <c r="F1871" s="2" t="s">
        <v>756</v>
      </c>
      <c r="G1871" s="3">
        <v>46185</v>
      </c>
      <c r="H1871" s="2" t="s">
        <v>770</v>
      </c>
      <c r="I1871" s="2" t="s">
        <v>755</v>
      </c>
      <c r="J1871" s="2" t="s">
        <v>754</v>
      </c>
      <c r="K1871" s="2" t="s">
        <v>753</v>
      </c>
      <c r="L1871" s="6">
        <v>2</v>
      </c>
      <c r="M1871" s="2" t="s">
        <v>752</v>
      </c>
      <c r="N1871" s="7">
        <v>0</v>
      </c>
      <c r="O1871" s="4">
        <v>0</v>
      </c>
      <c r="P1871" s="4">
        <v>0</v>
      </c>
      <c r="Q1871" s="6">
        <v>0</v>
      </c>
    </row>
    <row r="1872" spans="1:17" x14ac:dyDescent="0.25">
      <c r="A1872" s="2" t="s">
        <v>20</v>
      </c>
      <c r="B1872" s="2" t="s">
        <v>21</v>
      </c>
      <c r="C1872" s="2" t="s">
        <v>22</v>
      </c>
      <c r="D1872" s="2" t="s">
        <v>758</v>
      </c>
      <c r="E1872" s="2" t="s">
        <v>763</v>
      </c>
      <c r="F1872" s="2" t="s">
        <v>762</v>
      </c>
      <c r="G1872" s="3">
        <v>46197</v>
      </c>
      <c r="H1872" s="2" t="s">
        <v>753</v>
      </c>
      <c r="I1872" s="2" t="s">
        <v>755</v>
      </c>
      <c r="J1872" s="2" t="s">
        <v>754</v>
      </c>
      <c r="K1872" s="2" t="s">
        <v>753</v>
      </c>
      <c r="L1872" s="6">
        <v>336</v>
      </c>
      <c r="M1872" s="2" t="s">
        <v>752</v>
      </c>
      <c r="N1872" s="7">
        <v>42.6</v>
      </c>
      <c r="O1872" s="4">
        <v>14313.6</v>
      </c>
      <c r="P1872" s="4">
        <v>14313.6</v>
      </c>
      <c r="Q1872" s="6">
        <v>0</v>
      </c>
    </row>
    <row r="1873" spans="1:17" x14ac:dyDescent="0.25">
      <c r="A1873" s="2" t="s">
        <v>20</v>
      </c>
      <c r="B1873" s="2" t="s">
        <v>21</v>
      </c>
      <c r="C1873" s="2" t="s">
        <v>22</v>
      </c>
      <c r="D1873" s="2" t="s">
        <v>758</v>
      </c>
      <c r="E1873" s="2" t="s">
        <v>800</v>
      </c>
      <c r="F1873" s="2" t="s">
        <v>799</v>
      </c>
      <c r="G1873" s="3">
        <v>46197</v>
      </c>
      <c r="H1873" s="2" t="s">
        <v>753</v>
      </c>
      <c r="I1873" s="2" t="s">
        <v>755</v>
      </c>
      <c r="J1873" s="2" t="s">
        <v>754</v>
      </c>
      <c r="K1873" s="2" t="s">
        <v>753</v>
      </c>
      <c r="L1873" s="6">
        <v>12</v>
      </c>
      <c r="M1873" s="2" t="s">
        <v>752</v>
      </c>
      <c r="N1873" s="7">
        <v>34.200000000000003</v>
      </c>
      <c r="O1873" s="4">
        <v>410.4</v>
      </c>
      <c r="P1873" s="4">
        <v>410.4</v>
      </c>
      <c r="Q1873" s="6">
        <v>0</v>
      </c>
    </row>
    <row r="1874" spans="1:17" x14ac:dyDescent="0.25">
      <c r="A1874" s="2" t="s">
        <v>20</v>
      </c>
      <c r="B1874" s="2" t="s">
        <v>21</v>
      </c>
      <c r="C1874" s="2" t="s">
        <v>22</v>
      </c>
      <c r="D1874" s="2" t="s">
        <v>758</v>
      </c>
      <c r="E1874" s="2" t="s">
        <v>798</v>
      </c>
      <c r="F1874" s="2" t="s">
        <v>797</v>
      </c>
      <c r="G1874" s="3">
        <v>46197</v>
      </c>
      <c r="H1874" s="2" t="s">
        <v>753</v>
      </c>
      <c r="I1874" s="2" t="s">
        <v>755</v>
      </c>
      <c r="J1874" s="2" t="s">
        <v>754</v>
      </c>
      <c r="K1874" s="2" t="s">
        <v>753</v>
      </c>
      <c r="L1874" s="6">
        <v>4</v>
      </c>
      <c r="M1874" s="2" t="s">
        <v>752</v>
      </c>
      <c r="N1874" s="7">
        <v>35.65</v>
      </c>
      <c r="O1874" s="4">
        <v>142.6</v>
      </c>
      <c r="P1874" s="4">
        <v>142.6</v>
      </c>
      <c r="Q1874" s="6">
        <v>0</v>
      </c>
    </row>
    <row r="1875" spans="1:17" x14ac:dyDescent="0.25">
      <c r="A1875" s="2" t="s">
        <v>20</v>
      </c>
      <c r="B1875" s="2" t="s">
        <v>21</v>
      </c>
      <c r="C1875" s="2" t="s">
        <v>22</v>
      </c>
      <c r="D1875" s="2" t="s">
        <v>758</v>
      </c>
      <c r="E1875" s="2" t="s">
        <v>796</v>
      </c>
      <c r="F1875" s="2" t="s">
        <v>795</v>
      </c>
      <c r="G1875" s="3">
        <v>46197</v>
      </c>
      <c r="H1875" s="2" t="s">
        <v>753</v>
      </c>
      <c r="I1875" s="2" t="s">
        <v>755</v>
      </c>
      <c r="J1875" s="2" t="s">
        <v>754</v>
      </c>
      <c r="K1875" s="2" t="s">
        <v>753</v>
      </c>
      <c r="L1875" s="6">
        <v>16</v>
      </c>
      <c r="M1875" s="2" t="s">
        <v>752</v>
      </c>
      <c r="N1875" s="7">
        <v>35.65</v>
      </c>
      <c r="O1875" s="4">
        <v>570.4</v>
      </c>
      <c r="P1875" s="4">
        <v>570.4</v>
      </c>
      <c r="Q1875" s="6">
        <v>0</v>
      </c>
    </row>
    <row r="1876" spans="1:17" x14ac:dyDescent="0.25">
      <c r="A1876" s="2" t="s">
        <v>20</v>
      </c>
      <c r="B1876" s="2" t="s">
        <v>21</v>
      </c>
      <c r="C1876" s="2" t="s">
        <v>22</v>
      </c>
      <c r="D1876" s="2" t="s">
        <v>758</v>
      </c>
      <c r="E1876" s="2" t="s">
        <v>794</v>
      </c>
      <c r="F1876" s="2" t="s">
        <v>793</v>
      </c>
      <c r="G1876" s="3">
        <v>46197</v>
      </c>
      <c r="H1876" s="2" t="s">
        <v>753</v>
      </c>
      <c r="I1876" s="2" t="s">
        <v>755</v>
      </c>
      <c r="J1876" s="2" t="s">
        <v>754</v>
      </c>
      <c r="K1876" s="2" t="s">
        <v>753</v>
      </c>
      <c r="L1876" s="6">
        <v>12</v>
      </c>
      <c r="M1876" s="2" t="s">
        <v>752</v>
      </c>
      <c r="N1876" s="7">
        <v>40.619999999999997</v>
      </c>
      <c r="O1876" s="4">
        <v>487.44</v>
      </c>
      <c r="P1876" s="4">
        <v>487.44</v>
      </c>
      <c r="Q1876" s="6">
        <v>0</v>
      </c>
    </row>
    <row r="1877" spans="1:17" x14ac:dyDescent="0.25">
      <c r="A1877" s="2" t="s">
        <v>20</v>
      </c>
      <c r="B1877" s="2" t="s">
        <v>21</v>
      </c>
      <c r="C1877" s="2" t="s">
        <v>22</v>
      </c>
      <c r="D1877" s="2" t="s">
        <v>758</v>
      </c>
      <c r="E1877" s="2" t="s">
        <v>792</v>
      </c>
      <c r="F1877" s="2" t="s">
        <v>791</v>
      </c>
      <c r="G1877" s="3">
        <v>46197</v>
      </c>
      <c r="H1877" s="2" t="s">
        <v>753</v>
      </c>
      <c r="I1877" s="2" t="s">
        <v>755</v>
      </c>
      <c r="J1877" s="2" t="s">
        <v>754</v>
      </c>
      <c r="K1877" s="2" t="s">
        <v>753</v>
      </c>
      <c r="L1877" s="6">
        <v>12</v>
      </c>
      <c r="M1877" s="2" t="s">
        <v>752</v>
      </c>
      <c r="N1877" s="7">
        <v>35</v>
      </c>
      <c r="O1877" s="4">
        <v>420</v>
      </c>
      <c r="P1877" s="4">
        <v>420</v>
      </c>
      <c r="Q1877" s="6">
        <v>0</v>
      </c>
    </row>
    <row r="1878" spans="1:17" x14ac:dyDescent="0.25">
      <c r="A1878" s="2" t="s">
        <v>20</v>
      </c>
      <c r="B1878" s="2" t="s">
        <v>21</v>
      </c>
      <c r="C1878" s="2" t="s">
        <v>22</v>
      </c>
      <c r="D1878" s="2" t="s">
        <v>758</v>
      </c>
      <c r="E1878" s="2" t="s">
        <v>790</v>
      </c>
      <c r="F1878" s="2" t="s">
        <v>789</v>
      </c>
      <c r="G1878" s="3">
        <v>46197</v>
      </c>
      <c r="H1878" s="2" t="s">
        <v>753</v>
      </c>
      <c r="I1878" s="2" t="s">
        <v>755</v>
      </c>
      <c r="J1878" s="2" t="s">
        <v>754</v>
      </c>
      <c r="K1878" s="2" t="s">
        <v>753</v>
      </c>
      <c r="L1878" s="6">
        <v>56</v>
      </c>
      <c r="M1878" s="2" t="s">
        <v>752</v>
      </c>
      <c r="N1878" s="7">
        <v>39.25</v>
      </c>
      <c r="O1878" s="4">
        <v>2198</v>
      </c>
      <c r="P1878" s="4">
        <v>2198</v>
      </c>
      <c r="Q1878" s="6">
        <v>0</v>
      </c>
    </row>
    <row r="1879" spans="1:17" x14ac:dyDescent="0.25">
      <c r="A1879" s="2" t="s">
        <v>20</v>
      </c>
      <c r="B1879" s="2" t="s">
        <v>21</v>
      </c>
      <c r="C1879" s="2" t="s">
        <v>22</v>
      </c>
      <c r="D1879" s="2" t="s">
        <v>758</v>
      </c>
      <c r="E1879" s="2" t="s">
        <v>788</v>
      </c>
      <c r="F1879" s="2" t="s">
        <v>787</v>
      </c>
      <c r="G1879" s="3">
        <v>46197</v>
      </c>
      <c r="H1879" s="2" t="s">
        <v>753</v>
      </c>
      <c r="I1879" s="2" t="s">
        <v>755</v>
      </c>
      <c r="J1879" s="2" t="s">
        <v>754</v>
      </c>
      <c r="K1879" s="2" t="s">
        <v>753</v>
      </c>
      <c r="L1879" s="6">
        <v>32</v>
      </c>
      <c r="M1879" s="2" t="s">
        <v>752</v>
      </c>
      <c r="N1879" s="7">
        <v>38.299999999999997</v>
      </c>
      <c r="O1879" s="4">
        <v>1225.5999999999999</v>
      </c>
      <c r="P1879" s="4">
        <v>1225.5999999999999</v>
      </c>
      <c r="Q1879" s="6">
        <v>0</v>
      </c>
    </row>
    <row r="1880" spans="1:17" x14ac:dyDescent="0.25">
      <c r="A1880" s="2" t="s">
        <v>20</v>
      </c>
      <c r="B1880" s="2" t="s">
        <v>21</v>
      </c>
      <c r="C1880" s="2" t="s">
        <v>22</v>
      </c>
      <c r="D1880" s="2" t="s">
        <v>758</v>
      </c>
      <c r="E1880" s="2" t="s">
        <v>786</v>
      </c>
      <c r="F1880" s="2" t="s">
        <v>785</v>
      </c>
      <c r="G1880" s="3">
        <v>46197</v>
      </c>
      <c r="H1880" s="2" t="s">
        <v>753</v>
      </c>
      <c r="I1880" s="2" t="s">
        <v>755</v>
      </c>
      <c r="J1880" s="2" t="s">
        <v>754</v>
      </c>
      <c r="K1880" s="2" t="s">
        <v>753</v>
      </c>
      <c r="L1880" s="6">
        <v>28</v>
      </c>
      <c r="M1880" s="2" t="s">
        <v>752</v>
      </c>
      <c r="N1880" s="7">
        <v>35</v>
      </c>
      <c r="O1880" s="4">
        <v>980</v>
      </c>
      <c r="P1880" s="4">
        <v>980</v>
      </c>
      <c r="Q1880" s="6">
        <v>0</v>
      </c>
    </row>
    <row r="1881" spans="1:17" x14ac:dyDescent="0.25">
      <c r="A1881" s="2" t="s">
        <v>20</v>
      </c>
      <c r="B1881" s="2" t="s">
        <v>21</v>
      </c>
      <c r="C1881" s="2" t="s">
        <v>22</v>
      </c>
      <c r="D1881" s="2" t="s">
        <v>758</v>
      </c>
      <c r="E1881" s="2" t="s">
        <v>784</v>
      </c>
      <c r="F1881" s="2" t="s">
        <v>783</v>
      </c>
      <c r="G1881" s="3">
        <v>46197</v>
      </c>
      <c r="H1881" s="2" t="s">
        <v>753</v>
      </c>
      <c r="I1881" s="2" t="s">
        <v>755</v>
      </c>
      <c r="J1881" s="2" t="s">
        <v>754</v>
      </c>
      <c r="K1881" s="2" t="s">
        <v>753</v>
      </c>
      <c r="L1881" s="6">
        <v>8</v>
      </c>
      <c r="M1881" s="2" t="s">
        <v>752</v>
      </c>
      <c r="N1881" s="7">
        <v>38.07</v>
      </c>
      <c r="O1881" s="4">
        <v>304.56</v>
      </c>
      <c r="P1881" s="4">
        <v>304.56</v>
      </c>
      <c r="Q1881" s="6">
        <v>0</v>
      </c>
    </row>
    <row r="1882" spans="1:17" x14ac:dyDescent="0.25">
      <c r="A1882" s="2" t="s">
        <v>20</v>
      </c>
      <c r="B1882" s="2" t="s">
        <v>21</v>
      </c>
      <c r="C1882" s="2" t="s">
        <v>22</v>
      </c>
      <c r="D1882" s="2" t="s">
        <v>758</v>
      </c>
      <c r="E1882" s="2" t="s">
        <v>782</v>
      </c>
      <c r="F1882" s="2" t="s">
        <v>781</v>
      </c>
      <c r="G1882" s="3">
        <v>46197</v>
      </c>
      <c r="H1882" s="2" t="s">
        <v>753</v>
      </c>
      <c r="I1882" s="2" t="s">
        <v>755</v>
      </c>
      <c r="J1882" s="2" t="s">
        <v>754</v>
      </c>
      <c r="K1882" s="2" t="s">
        <v>753</v>
      </c>
      <c r="L1882" s="6">
        <v>10</v>
      </c>
      <c r="M1882" s="2" t="s">
        <v>752</v>
      </c>
      <c r="N1882" s="7">
        <v>36.18</v>
      </c>
      <c r="O1882" s="4">
        <v>361.8</v>
      </c>
      <c r="P1882" s="4">
        <v>361.8</v>
      </c>
      <c r="Q1882" s="6">
        <v>0</v>
      </c>
    </row>
    <row r="1883" spans="1:17" x14ac:dyDescent="0.25">
      <c r="A1883" s="2" t="s">
        <v>20</v>
      </c>
      <c r="B1883" s="2" t="s">
        <v>21</v>
      </c>
      <c r="C1883" s="2" t="s">
        <v>22</v>
      </c>
      <c r="D1883" s="2" t="s">
        <v>758</v>
      </c>
      <c r="E1883" s="2" t="s">
        <v>780</v>
      </c>
      <c r="F1883" s="2" t="s">
        <v>779</v>
      </c>
      <c r="G1883" s="3">
        <v>46197</v>
      </c>
      <c r="H1883" s="2" t="s">
        <v>753</v>
      </c>
      <c r="I1883" s="2" t="s">
        <v>755</v>
      </c>
      <c r="J1883" s="2" t="s">
        <v>754</v>
      </c>
      <c r="K1883" s="2" t="s">
        <v>753</v>
      </c>
      <c r="L1883" s="6">
        <v>4</v>
      </c>
      <c r="M1883" s="2" t="s">
        <v>752</v>
      </c>
      <c r="N1883" s="7">
        <v>36.07</v>
      </c>
      <c r="O1883" s="4">
        <v>144.28</v>
      </c>
      <c r="P1883" s="4">
        <v>144.28</v>
      </c>
      <c r="Q1883" s="6">
        <v>0</v>
      </c>
    </row>
    <row r="1884" spans="1:17" x14ac:dyDescent="0.25">
      <c r="A1884" s="2" t="s">
        <v>20</v>
      </c>
      <c r="B1884" s="2" t="s">
        <v>21</v>
      </c>
      <c r="C1884" s="2" t="s">
        <v>22</v>
      </c>
      <c r="D1884" s="2" t="s">
        <v>758</v>
      </c>
      <c r="E1884" s="2" t="s">
        <v>778</v>
      </c>
      <c r="F1884" s="2" t="s">
        <v>777</v>
      </c>
      <c r="G1884" s="3">
        <v>46197</v>
      </c>
      <c r="H1884" s="2" t="s">
        <v>753</v>
      </c>
      <c r="I1884" s="2" t="s">
        <v>755</v>
      </c>
      <c r="J1884" s="2" t="s">
        <v>754</v>
      </c>
      <c r="K1884" s="2" t="s">
        <v>753</v>
      </c>
      <c r="L1884" s="6">
        <v>4</v>
      </c>
      <c r="M1884" s="2" t="s">
        <v>752</v>
      </c>
      <c r="N1884" s="7">
        <v>42</v>
      </c>
      <c r="O1884" s="4">
        <v>168</v>
      </c>
      <c r="P1884" s="4">
        <v>168</v>
      </c>
      <c r="Q1884" s="6">
        <v>0</v>
      </c>
    </row>
    <row r="1885" spans="1:17" x14ac:dyDescent="0.25">
      <c r="A1885" s="2" t="s">
        <v>20</v>
      </c>
      <c r="B1885" s="2" t="s">
        <v>21</v>
      </c>
      <c r="C1885" s="2" t="s">
        <v>22</v>
      </c>
      <c r="D1885" s="2" t="s">
        <v>758</v>
      </c>
      <c r="E1885" s="2" t="s">
        <v>776</v>
      </c>
      <c r="F1885" s="2" t="s">
        <v>775</v>
      </c>
      <c r="G1885" s="3">
        <v>46197</v>
      </c>
      <c r="H1885" s="2" t="s">
        <v>753</v>
      </c>
      <c r="I1885" s="2" t="s">
        <v>755</v>
      </c>
      <c r="J1885" s="2" t="s">
        <v>754</v>
      </c>
      <c r="K1885" s="2" t="s">
        <v>753</v>
      </c>
      <c r="L1885" s="6">
        <v>48</v>
      </c>
      <c r="M1885" s="2" t="s">
        <v>752</v>
      </c>
      <c r="N1885" s="7">
        <v>43.82</v>
      </c>
      <c r="O1885" s="4">
        <v>2103.36</v>
      </c>
      <c r="P1885" s="4">
        <v>2103.36</v>
      </c>
      <c r="Q1885" s="6">
        <v>0</v>
      </c>
    </row>
    <row r="1886" spans="1:17" x14ac:dyDescent="0.25">
      <c r="A1886" s="2" t="s">
        <v>20</v>
      </c>
      <c r="B1886" s="2" t="s">
        <v>21</v>
      </c>
      <c r="C1886" s="2" t="s">
        <v>22</v>
      </c>
      <c r="D1886" s="2" t="s">
        <v>758</v>
      </c>
      <c r="E1886" s="2" t="s">
        <v>774</v>
      </c>
      <c r="F1886" s="2" t="s">
        <v>773</v>
      </c>
      <c r="G1886" s="3">
        <v>46197</v>
      </c>
      <c r="H1886" s="2" t="s">
        <v>753</v>
      </c>
      <c r="I1886" s="2" t="s">
        <v>755</v>
      </c>
      <c r="J1886" s="2" t="s">
        <v>754</v>
      </c>
      <c r="K1886" s="2" t="s">
        <v>753</v>
      </c>
      <c r="L1886" s="6">
        <v>16</v>
      </c>
      <c r="M1886" s="2" t="s">
        <v>752</v>
      </c>
      <c r="N1886" s="7">
        <v>38.299999999999997</v>
      </c>
      <c r="O1886" s="4">
        <v>612.79999999999995</v>
      </c>
      <c r="P1886" s="4">
        <v>612.79999999999995</v>
      </c>
      <c r="Q1886" s="6">
        <v>0</v>
      </c>
    </row>
    <row r="1887" spans="1:17" x14ac:dyDescent="0.25">
      <c r="A1887" s="2" t="s">
        <v>14</v>
      </c>
      <c r="B1887" s="2" t="s">
        <v>15</v>
      </c>
      <c r="C1887" s="2" t="s">
        <v>16</v>
      </c>
      <c r="D1887" s="2" t="s">
        <v>758</v>
      </c>
      <c r="E1887" s="2" t="s">
        <v>763</v>
      </c>
      <c r="F1887" s="2" t="s">
        <v>762</v>
      </c>
      <c r="G1887" s="3">
        <v>46197</v>
      </c>
      <c r="H1887" s="2" t="s">
        <v>770</v>
      </c>
      <c r="I1887" s="2" t="s">
        <v>755</v>
      </c>
      <c r="J1887" s="2" t="s">
        <v>754</v>
      </c>
      <c r="K1887" s="2" t="s">
        <v>753</v>
      </c>
      <c r="L1887" s="6">
        <v>364</v>
      </c>
      <c r="M1887" s="2" t="s">
        <v>752</v>
      </c>
      <c r="N1887" s="7">
        <v>42.6</v>
      </c>
      <c r="O1887" s="4">
        <v>15506.4</v>
      </c>
      <c r="P1887" s="4">
        <v>15506.4</v>
      </c>
      <c r="Q1887" s="6">
        <v>0</v>
      </c>
    </row>
    <row r="1888" spans="1:17" x14ac:dyDescent="0.25">
      <c r="A1888" s="2" t="s">
        <v>14</v>
      </c>
      <c r="B1888" s="2" t="s">
        <v>15</v>
      </c>
      <c r="C1888" s="2" t="s">
        <v>16</v>
      </c>
      <c r="D1888" s="2" t="s">
        <v>758</v>
      </c>
      <c r="E1888" s="2" t="s">
        <v>772</v>
      </c>
      <c r="F1888" s="2" t="s">
        <v>771</v>
      </c>
      <c r="G1888" s="3">
        <v>46197</v>
      </c>
      <c r="H1888" s="2" t="s">
        <v>770</v>
      </c>
      <c r="I1888" s="2" t="s">
        <v>755</v>
      </c>
      <c r="J1888" s="2" t="s">
        <v>754</v>
      </c>
      <c r="K1888" s="2" t="s">
        <v>753</v>
      </c>
      <c r="L1888" s="6">
        <v>476</v>
      </c>
      <c r="M1888" s="2" t="s">
        <v>752</v>
      </c>
      <c r="N1888" s="7">
        <v>34.5</v>
      </c>
      <c r="O1888" s="4">
        <v>16422</v>
      </c>
      <c r="P1888" s="4">
        <v>16422</v>
      </c>
      <c r="Q1888" s="6">
        <v>0</v>
      </c>
    </row>
    <row r="1889" spans="1:17" x14ac:dyDescent="0.25">
      <c r="A1889" s="2" t="s">
        <v>769</v>
      </c>
      <c r="B1889" s="2" t="s">
        <v>768</v>
      </c>
      <c r="C1889" s="2" t="s">
        <v>767</v>
      </c>
      <c r="D1889" s="2" t="s">
        <v>758</v>
      </c>
      <c r="E1889" s="2" t="s">
        <v>766</v>
      </c>
      <c r="F1889" s="2" t="s">
        <v>765</v>
      </c>
      <c r="G1889" s="3">
        <v>46193</v>
      </c>
      <c r="H1889" s="2" t="s">
        <v>753</v>
      </c>
      <c r="I1889" s="2" t="s">
        <v>755</v>
      </c>
      <c r="J1889" s="2" t="s">
        <v>754</v>
      </c>
      <c r="K1889" s="2" t="s">
        <v>753</v>
      </c>
      <c r="L1889" s="6">
        <v>0</v>
      </c>
      <c r="M1889" s="2" t="s">
        <v>752</v>
      </c>
      <c r="N1889" s="7">
        <v>0</v>
      </c>
      <c r="O1889" s="4">
        <v>0</v>
      </c>
      <c r="P1889" s="4">
        <v>0</v>
      </c>
      <c r="Q1889" s="6">
        <v>0</v>
      </c>
    </row>
    <row r="1890" spans="1:17" x14ac:dyDescent="0.25">
      <c r="A1890" s="2" t="s">
        <v>764</v>
      </c>
      <c r="B1890" s="2" t="s">
        <v>760</v>
      </c>
      <c r="C1890" s="2" t="s">
        <v>759</v>
      </c>
      <c r="D1890" s="2" t="s">
        <v>758</v>
      </c>
      <c r="E1890" s="2" t="s">
        <v>763</v>
      </c>
      <c r="F1890" s="2" t="s">
        <v>762</v>
      </c>
      <c r="G1890" s="3">
        <v>46196</v>
      </c>
      <c r="H1890" s="2" t="s">
        <v>753</v>
      </c>
      <c r="I1890" s="2" t="s">
        <v>755</v>
      </c>
      <c r="J1890" s="2" t="s">
        <v>754</v>
      </c>
      <c r="K1890" s="2" t="s">
        <v>753</v>
      </c>
      <c r="L1890" s="6">
        <v>4</v>
      </c>
      <c r="M1890" s="2" t="s">
        <v>752</v>
      </c>
      <c r="N1890" s="7">
        <v>0</v>
      </c>
      <c r="O1890" s="4">
        <v>0</v>
      </c>
      <c r="P1890" s="4">
        <v>0</v>
      </c>
      <c r="Q1890" s="6">
        <v>0</v>
      </c>
    </row>
    <row r="1891" spans="1:17" x14ac:dyDescent="0.25">
      <c r="A1891" s="2" t="s">
        <v>761</v>
      </c>
      <c r="B1891" s="2" t="s">
        <v>760</v>
      </c>
      <c r="C1891" s="2" t="s">
        <v>759</v>
      </c>
      <c r="D1891" s="2" t="s">
        <v>758</v>
      </c>
      <c r="E1891" s="2" t="s">
        <v>757</v>
      </c>
      <c r="F1891" s="2" t="s">
        <v>756</v>
      </c>
      <c r="G1891" s="3">
        <v>46196</v>
      </c>
      <c r="H1891" s="2" t="s">
        <v>753</v>
      </c>
      <c r="I1891" s="2" t="s">
        <v>755</v>
      </c>
      <c r="J1891" s="2" t="s">
        <v>754</v>
      </c>
      <c r="K1891" s="2" t="s">
        <v>753</v>
      </c>
      <c r="L1891" s="6">
        <v>1</v>
      </c>
      <c r="M1891" s="2" t="s">
        <v>752</v>
      </c>
      <c r="N1891" s="7">
        <v>0</v>
      </c>
      <c r="O1891" s="4">
        <v>0</v>
      </c>
      <c r="P1891" s="4">
        <v>0</v>
      </c>
      <c r="Q1891" s="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47CA-E3F2-49B3-A935-3D7E6F06772D}">
  <dimension ref="A1:I1891"/>
  <sheetViews>
    <sheetView tabSelected="1" workbookViewId="0">
      <pane ySplit="1" topLeftCell="A2" activePane="bottomLeft" state="frozen"/>
      <selection pane="bottomLeft" activeCell="N13" sqref="N12:N13"/>
    </sheetView>
  </sheetViews>
  <sheetFormatPr defaultRowHeight="15" x14ac:dyDescent="0.25"/>
  <cols>
    <col min="1" max="1" width="16.42578125" bestFit="1" customWidth="1"/>
    <col min="2" max="2" width="22.5703125" bestFit="1" customWidth="1"/>
    <col min="3" max="3" width="24.85546875" bestFit="1" customWidth="1"/>
    <col min="4" max="4" width="6.42578125" bestFit="1" customWidth="1"/>
    <col min="5" max="5" width="13.85546875" bestFit="1" customWidth="1"/>
    <col min="6" max="6" width="14.7109375" bestFit="1" customWidth="1"/>
    <col min="7" max="7" width="11" bestFit="1" customWidth="1"/>
    <col min="8" max="8" width="20.42578125" bestFit="1" customWidth="1"/>
    <col min="9" max="9" width="10.28515625" bestFit="1" customWidth="1"/>
  </cols>
  <sheetData>
    <row r="1" spans="1:9" x14ac:dyDescent="0.25">
      <c r="A1" t="s">
        <v>1032</v>
      </c>
      <c r="B1" t="s">
        <v>1031</v>
      </c>
      <c r="C1" t="s">
        <v>1030</v>
      </c>
      <c r="D1" t="s">
        <v>0</v>
      </c>
      <c r="E1" t="s">
        <v>1028</v>
      </c>
      <c r="F1" t="s">
        <v>3</v>
      </c>
      <c r="G1" t="s">
        <v>1023</v>
      </c>
      <c r="H1" t="s">
        <v>1021</v>
      </c>
      <c r="I1" t="s">
        <v>5</v>
      </c>
    </row>
    <row r="2" spans="1:9" x14ac:dyDescent="0.25">
      <c r="A2" s="2" t="str">
        <f>'Posted Sales Invoice Lines'!A2</f>
        <v>PS-INV173271</v>
      </c>
      <c r="B2" s="2" t="str">
        <f>'Posted Sales Invoice Lines'!B2</f>
        <v>10719-6</v>
      </c>
      <c r="C2" s="2" t="str">
        <f>'Posted Sales Invoice Lines'!C2</f>
        <v>US Foods - Alcoa TN.</v>
      </c>
      <c r="D2" s="2" t="str">
        <f>'Posted Sales Invoice Lines'!E2</f>
        <v>F53094</v>
      </c>
      <c r="E2" s="2" t="str">
        <f>'Posted Sales Invoice Lines'!F2</f>
        <v>Cs. 6" Italian 12-6pks</v>
      </c>
      <c r="F2" s="3">
        <f>'Posted Sales Invoice Lines'!G2</f>
        <v>46027</v>
      </c>
      <c r="G2" s="9">
        <f>'Posted Sales Invoice Lines'!L2</f>
        <v>28</v>
      </c>
      <c r="H2" s="8">
        <f>'Posted Sales Invoice Lines'!N2</f>
        <v>35</v>
      </c>
      <c r="I2" s="8">
        <f>'Posted Sales Invoice Lines'!O2</f>
        <v>980</v>
      </c>
    </row>
    <row r="3" spans="1:9" x14ac:dyDescent="0.25">
      <c r="A3" s="2" t="str">
        <f>'Posted Sales Invoice Lines'!A3</f>
        <v>PS-INV173271</v>
      </c>
      <c r="B3" s="2" t="str">
        <f>'Posted Sales Invoice Lines'!B3</f>
        <v>10719-6</v>
      </c>
      <c r="C3" s="2" t="str">
        <f>'Posted Sales Invoice Lines'!C3</f>
        <v>US Foods - Alcoa TN.</v>
      </c>
      <c r="D3" s="2" t="str">
        <f>'Posted Sales Invoice Lines'!E3</f>
        <v>F51136</v>
      </c>
      <c r="E3" s="2" t="str">
        <f>'Posted Sales Invoice Lines'!F3</f>
        <v>Cs. Texas Toast 1" 12lvs</v>
      </c>
      <c r="F3" s="3">
        <f>'Posted Sales Invoice Lines'!G3</f>
        <v>46027</v>
      </c>
      <c r="G3" s="9">
        <f>'Posted Sales Invoice Lines'!L3</f>
        <v>84</v>
      </c>
      <c r="H3" s="8">
        <f>'Posted Sales Invoice Lines'!N3</f>
        <v>40.119999999999997</v>
      </c>
      <c r="I3" s="8">
        <f>'Posted Sales Invoice Lines'!O3</f>
        <v>3370.08</v>
      </c>
    </row>
    <row r="4" spans="1:9" x14ac:dyDescent="0.25">
      <c r="A4" s="2" t="str">
        <f>'Posted Sales Invoice Lines'!A4</f>
        <v>PS-INV173271</v>
      </c>
      <c r="B4" s="2" t="str">
        <f>'Posted Sales Invoice Lines'!B4</f>
        <v>10719-6</v>
      </c>
      <c r="C4" s="2" t="str">
        <f>'Posted Sales Invoice Lines'!C4</f>
        <v>US Foods - Alcoa TN.</v>
      </c>
      <c r="D4" s="2" t="str">
        <f>'Posted Sales Invoice Lines'!E4</f>
        <v>F51004</v>
      </c>
      <c r="E4" s="2" t="str">
        <f>'Posted Sales Invoice Lines'!F4</f>
        <v>Cs. Rye 5/8" 8lvs</v>
      </c>
      <c r="F4" s="3">
        <f>'Posted Sales Invoice Lines'!G4</f>
        <v>46027</v>
      </c>
      <c r="G4" s="9">
        <f>'Posted Sales Invoice Lines'!L4</f>
        <v>8</v>
      </c>
      <c r="H4" s="8">
        <f>'Posted Sales Invoice Lines'!N4</f>
        <v>42.03</v>
      </c>
      <c r="I4" s="8">
        <f>'Posted Sales Invoice Lines'!O4</f>
        <v>336.24</v>
      </c>
    </row>
    <row r="5" spans="1:9" x14ac:dyDescent="0.25">
      <c r="A5" s="2" t="str">
        <f>'Posted Sales Invoice Lines'!A5</f>
        <v>PS-INV173271</v>
      </c>
      <c r="B5" s="2" t="str">
        <f>'Posted Sales Invoice Lines'!B5</f>
        <v>10719-6</v>
      </c>
      <c r="C5" s="2" t="str">
        <f>'Posted Sales Invoice Lines'!C5</f>
        <v>US Foods - Alcoa TN.</v>
      </c>
      <c r="D5" s="2" t="str">
        <f>'Posted Sales Invoice Lines'!E5</f>
        <v>F53025</v>
      </c>
      <c r="E5" s="2" t="str">
        <f>'Posted Sales Invoice Lines'!F5</f>
        <v>Cs. Sesame Challah Kaiser 8-12pk</v>
      </c>
      <c r="F5" s="3">
        <f>'Posted Sales Invoice Lines'!G5</f>
        <v>46027</v>
      </c>
      <c r="G5" s="9">
        <f>'Posted Sales Invoice Lines'!L5</f>
        <v>308</v>
      </c>
      <c r="H5" s="8">
        <f>'Posted Sales Invoice Lines'!N5</f>
        <v>39</v>
      </c>
      <c r="I5" s="8">
        <f>'Posted Sales Invoice Lines'!O5</f>
        <v>12012</v>
      </c>
    </row>
    <row r="6" spans="1:9" x14ac:dyDescent="0.25">
      <c r="A6" s="2" t="str">
        <f>'Posted Sales Invoice Lines'!A6</f>
        <v>PS-INV173271</v>
      </c>
      <c r="B6" s="2" t="str">
        <f>'Posted Sales Invoice Lines'!B6</f>
        <v>10719-6</v>
      </c>
      <c r="C6" s="2" t="str">
        <f>'Posted Sales Invoice Lines'!C6</f>
        <v>US Foods - Alcoa TN.</v>
      </c>
      <c r="D6" s="2" t="str">
        <f>'Posted Sales Invoice Lines'!E6</f>
        <v>F53087</v>
      </c>
      <c r="E6" s="2" t="str">
        <f>'Posted Sales Invoice Lines'!F6</f>
        <v>Cs. 3.5" Challah Bun 8-12 pk</v>
      </c>
      <c r="F6" s="3">
        <f>'Posted Sales Invoice Lines'!G6</f>
        <v>46027</v>
      </c>
      <c r="G6" s="9">
        <f>'Posted Sales Invoice Lines'!L6</f>
        <v>28</v>
      </c>
      <c r="H6" s="8">
        <f>'Posted Sales Invoice Lines'!N6</f>
        <v>36.24</v>
      </c>
      <c r="I6" s="8">
        <f>'Posted Sales Invoice Lines'!O6</f>
        <v>1014.72</v>
      </c>
    </row>
    <row r="7" spans="1:9" x14ac:dyDescent="0.25">
      <c r="A7" s="2" t="str">
        <f>'Posted Sales Invoice Lines'!A7</f>
        <v>PS-INV173271</v>
      </c>
      <c r="B7" s="2" t="str">
        <f>'Posted Sales Invoice Lines'!B7</f>
        <v>10719-6</v>
      </c>
      <c r="C7" s="2" t="str">
        <f>'Posted Sales Invoice Lines'!C7</f>
        <v>US Foods - Alcoa TN.</v>
      </c>
      <c r="D7" s="2" t="str">
        <f>'Posted Sales Invoice Lines'!E7</f>
        <v>F51066</v>
      </c>
      <c r="E7" s="2" t="str">
        <f>'Posted Sales Invoice Lines'!F7</f>
        <v>Cs. Honey Wheat 3/4" 8lvs</v>
      </c>
      <c r="F7" s="3">
        <f>'Posted Sales Invoice Lines'!G7</f>
        <v>46027</v>
      </c>
      <c r="G7" s="9">
        <f>'Posted Sales Invoice Lines'!L7</f>
        <v>14</v>
      </c>
      <c r="H7" s="8">
        <f>'Posted Sales Invoice Lines'!N7</f>
        <v>35.21</v>
      </c>
      <c r="I7" s="8">
        <f>'Posted Sales Invoice Lines'!O7</f>
        <v>492.94</v>
      </c>
    </row>
    <row r="8" spans="1:9" x14ac:dyDescent="0.25">
      <c r="A8" s="2" t="str">
        <f>'Posted Sales Invoice Lines'!A8</f>
        <v>PS-INV173271</v>
      </c>
      <c r="B8" s="2" t="str">
        <f>'Posted Sales Invoice Lines'!B8</f>
        <v>10719-6</v>
      </c>
      <c r="C8" s="2" t="str">
        <f>'Posted Sales Invoice Lines'!C8</f>
        <v>US Foods - Alcoa TN.</v>
      </c>
      <c r="D8" s="2" t="str">
        <f>'Posted Sales Invoice Lines'!E8</f>
        <v>F53001</v>
      </c>
      <c r="E8" s="2" t="str">
        <f>'Posted Sales Invoice Lines'!F8</f>
        <v>Cs. 4" Brioche Bun 8-12pk</v>
      </c>
      <c r="F8" s="3">
        <f>'Posted Sales Invoice Lines'!G8</f>
        <v>46027</v>
      </c>
      <c r="G8" s="9">
        <f>'Posted Sales Invoice Lines'!L8</f>
        <v>140</v>
      </c>
      <c r="H8" s="8">
        <f>'Posted Sales Invoice Lines'!N8</f>
        <v>45.49</v>
      </c>
      <c r="I8" s="8">
        <f>'Posted Sales Invoice Lines'!O8</f>
        <v>6368.6</v>
      </c>
    </row>
    <row r="9" spans="1:9" x14ac:dyDescent="0.25">
      <c r="A9" s="2" t="str">
        <f>'Posted Sales Invoice Lines'!A9</f>
        <v>PS-INV173271</v>
      </c>
      <c r="B9" s="2" t="str">
        <f>'Posted Sales Invoice Lines'!B9</f>
        <v>10719-6</v>
      </c>
      <c r="C9" s="2" t="str">
        <f>'Posted Sales Invoice Lines'!C9</f>
        <v>US Foods - Alcoa TN.</v>
      </c>
      <c r="D9" s="2" t="str">
        <f>'Posted Sales Invoice Lines'!E9</f>
        <v>F530501</v>
      </c>
      <c r="E9" s="2" t="str">
        <f>'Posted Sales Invoice Lines'!F9</f>
        <v>Cs. 4.5" Challah Kaiser 6-12pk</v>
      </c>
      <c r="F9" s="3">
        <f>'Posted Sales Invoice Lines'!G9</f>
        <v>46027</v>
      </c>
      <c r="G9" s="9">
        <f>'Posted Sales Invoice Lines'!L9</f>
        <v>28</v>
      </c>
      <c r="H9" s="8">
        <f>'Posted Sales Invoice Lines'!N9</f>
        <v>37.020000000000003</v>
      </c>
      <c r="I9" s="8">
        <f>'Posted Sales Invoice Lines'!O9</f>
        <v>1036.56</v>
      </c>
    </row>
    <row r="10" spans="1:9" x14ac:dyDescent="0.25">
      <c r="A10" s="2" t="str">
        <f>'Posted Sales Invoice Lines'!A10</f>
        <v>PS-INV173271</v>
      </c>
      <c r="B10" s="2" t="str">
        <f>'Posted Sales Invoice Lines'!B10</f>
        <v>10719-6</v>
      </c>
      <c r="C10" s="2" t="str">
        <f>'Posted Sales Invoice Lines'!C10</f>
        <v>US Foods - Alcoa TN.</v>
      </c>
      <c r="D10" s="2" t="str">
        <f>'Posted Sales Invoice Lines'!E10</f>
        <v>F51084</v>
      </c>
      <c r="E10" s="2" t="str">
        <f>'Posted Sales Invoice Lines'!F10</f>
        <v>Cs. Wheatberry Hearth</v>
      </c>
      <c r="F10" s="3">
        <f>'Posted Sales Invoice Lines'!G10</f>
        <v>46027</v>
      </c>
      <c r="G10" s="9">
        <f>'Posted Sales Invoice Lines'!L10</f>
        <v>4</v>
      </c>
      <c r="H10" s="8">
        <f>'Posted Sales Invoice Lines'!N10</f>
        <v>52.47</v>
      </c>
      <c r="I10" s="8">
        <f>'Posted Sales Invoice Lines'!O10</f>
        <v>209.88</v>
      </c>
    </row>
    <row r="11" spans="1:9" x14ac:dyDescent="0.25">
      <c r="A11" s="2" t="str">
        <f>'Posted Sales Invoice Lines'!A11</f>
        <v>PS-INV173271</v>
      </c>
      <c r="B11" s="2" t="str">
        <f>'Posted Sales Invoice Lines'!B11</f>
        <v>10719-6</v>
      </c>
      <c r="C11" s="2" t="str">
        <f>'Posted Sales Invoice Lines'!C11</f>
        <v>US Foods - Alcoa TN.</v>
      </c>
      <c r="D11" s="2" t="str">
        <f>'Posted Sales Invoice Lines'!E11</f>
        <v>F51024</v>
      </c>
      <c r="E11" s="2" t="str">
        <f>'Posted Sales Invoice Lines'!F11</f>
        <v>Cs. Marble Rye 5/8" 8lvs</v>
      </c>
      <c r="F11" s="3">
        <f>'Posted Sales Invoice Lines'!G11</f>
        <v>46027</v>
      </c>
      <c r="G11" s="9">
        <f>'Posted Sales Invoice Lines'!L11</f>
        <v>4</v>
      </c>
      <c r="H11" s="8">
        <f>'Posted Sales Invoice Lines'!N11</f>
        <v>54</v>
      </c>
      <c r="I11" s="8">
        <f>'Posted Sales Invoice Lines'!O11</f>
        <v>216</v>
      </c>
    </row>
    <row r="12" spans="1:9" x14ac:dyDescent="0.25">
      <c r="A12" s="2" t="str">
        <f>'Posted Sales Invoice Lines'!A12</f>
        <v>PS-INV173271</v>
      </c>
      <c r="B12" s="2" t="str">
        <f>'Posted Sales Invoice Lines'!B12</f>
        <v>10719-6</v>
      </c>
      <c r="C12" s="2" t="str">
        <f>'Posted Sales Invoice Lines'!C12</f>
        <v>US Foods - Alcoa TN.</v>
      </c>
      <c r="D12" s="2" t="str">
        <f>'Posted Sales Invoice Lines'!E12</f>
        <v>F51034</v>
      </c>
      <c r="E12" s="2" t="str">
        <f>'Posted Sales Invoice Lines'!F12</f>
        <v>Cs. Sour Dough Hearth 5/8" 8lvs</v>
      </c>
      <c r="F12" s="3">
        <f>'Posted Sales Invoice Lines'!G12</f>
        <v>46027</v>
      </c>
      <c r="G12" s="9">
        <f>'Posted Sales Invoice Lines'!L12</f>
        <v>8</v>
      </c>
      <c r="H12" s="8">
        <f>'Posted Sales Invoice Lines'!N12</f>
        <v>43.2</v>
      </c>
      <c r="I12" s="8">
        <f>'Posted Sales Invoice Lines'!O12</f>
        <v>345.6</v>
      </c>
    </row>
    <row r="13" spans="1:9" x14ac:dyDescent="0.25">
      <c r="A13" s="2" t="str">
        <f>'Posted Sales Invoice Lines'!A13</f>
        <v>PS-INV173271</v>
      </c>
      <c r="B13" s="2" t="str">
        <f>'Posted Sales Invoice Lines'!B13</f>
        <v>10719-6</v>
      </c>
      <c r="C13" s="2" t="str">
        <f>'Posted Sales Invoice Lines'!C13</f>
        <v>US Foods - Alcoa TN.</v>
      </c>
      <c r="D13" s="2" t="str">
        <f>'Posted Sales Invoice Lines'!E13</f>
        <v>F51157</v>
      </c>
      <c r="E13" s="2" t="str">
        <f>'Posted Sales Invoice Lines'!F13</f>
        <v>Cs. Challah Hearth 7/8" 8lvs</v>
      </c>
      <c r="F13" s="3">
        <f>'Posted Sales Invoice Lines'!G13</f>
        <v>46027</v>
      </c>
      <c r="G13" s="9">
        <f>'Posted Sales Invoice Lines'!L13</f>
        <v>28</v>
      </c>
      <c r="H13" s="8">
        <f>'Posted Sales Invoice Lines'!N13</f>
        <v>44.15</v>
      </c>
      <c r="I13" s="8">
        <f>'Posted Sales Invoice Lines'!O13</f>
        <v>1236.2</v>
      </c>
    </row>
    <row r="14" spans="1:9" x14ac:dyDescent="0.25">
      <c r="A14" s="2" t="str">
        <f>'Posted Sales Invoice Lines'!A14</f>
        <v>PS-INV173271</v>
      </c>
      <c r="B14" s="2" t="str">
        <f>'Posted Sales Invoice Lines'!B14</f>
        <v>10719-6</v>
      </c>
      <c r="C14" s="2" t="str">
        <f>'Posted Sales Invoice Lines'!C14</f>
        <v>US Foods - Alcoa TN.</v>
      </c>
      <c r="D14" s="2" t="str">
        <f>'Posted Sales Invoice Lines'!E14</f>
        <v>F53028</v>
      </c>
      <c r="E14" s="2" t="str">
        <f>'Posted Sales Invoice Lines'!F14</f>
        <v>Cs. 4" Sour Dough Bun 8-12pk</v>
      </c>
      <c r="F14" s="3">
        <f>'Posted Sales Invoice Lines'!G14</f>
        <v>46027</v>
      </c>
      <c r="G14" s="9">
        <f>'Posted Sales Invoice Lines'!L14</f>
        <v>4</v>
      </c>
      <c r="H14" s="8">
        <f>'Posted Sales Invoice Lines'!N14</f>
        <v>47.4</v>
      </c>
      <c r="I14" s="8">
        <f>'Posted Sales Invoice Lines'!O14</f>
        <v>189.6</v>
      </c>
    </row>
    <row r="15" spans="1:9" x14ac:dyDescent="0.25">
      <c r="A15" s="2" t="str">
        <f>'Posted Sales Invoice Lines'!A15</f>
        <v>PS-INV173271</v>
      </c>
      <c r="B15" s="2" t="str">
        <f>'Posted Sales Invoice Lines'!B15</f>
        <v>10719-6</v>
      </c>
      <c r="C15" s="2" t="str">
        <f>'Posted Sales Invoice Lines'!C15</f>
        <v>US Foods - Alcoa TN.</v>
      </c>
      <c r="D15" s="2" t="str">
        <f>'Posted Sales Invoice Lines'!E15</f>
        <v>F53006</v>
      </c>
      <c r="E15" s="2" t="str">
        <f>'Posted Sales Invoice Lines'!F15</f>
        <v>Cs. 4" Wheat Bun 8-12pk</v>
      </c>
      <c r="F15" s="3">
        <f>'Posted Sales Invoice Lines'!G15</f>
        <v>46027</v>
      </c>
      <c r="G15" s="9">
        <f>'Posted Sales Invoice Lines'!L15</f>
        <v>8</v>
      </c>
      <c r="H15" s="8">
        <f>'Posted Sales Invoice Lines'!N15</f>
        <v>40.22</v>
      </c>
      <c r="I15" s="8">
        <f>'Posted Sales Invoice Lines'!O15</f>
        <v>321.76</v>
      </c>
    </row>
    <row r="16" spans="1:9" x14ac:dyDescent="0.25">
      <c r="A16" s="2" t="str">
        <f>'Posted Sales Invoice Lines'!A16</f>
        <v>PS-INV173271</v>
      </c>
      <c r="B16" s="2" t="str">
        <f>'Posted Sales Invoice Lines'!B16</f>
        <v>10719-6</v>
      </c>
      <c r="C16" s="2" t="str">
        <f>'Posted Sales Invoice Lines'!C16</f>
        <v>US Foods - Alcoa TN.</v>
      </c>
      <c r="D16" s="2" t="str">
        <f>'Posted Sales Invoice Lines'!E16</f>
        <v>F53127</v>
      </c>
      <c r="E16" s="2" t="str">
        <f>'Posted Sales Invoice Lines'!F16</f>
        <v>Cs. 8" Philly 10-6pks</v>
      </c>
      <c r="F16" s="3">
        <f>'Posted Sales Invoice Lines'!G16</f>
        <v>46027</v>
      </c>
      <c r="G16" s="9">
        <f>'Posted Sales Invoice Lines'!L16</f>
        <v>56</v>
      </c>
      <c r="H16" s="8">
        <f>'Posted Sales Invoice Lines'!N16</f>
        <v>42.37</v>
      </c>
      <c r="I16" s="8">
        <f>'Posted Sales Invoice Lines'!O16</f>
        <v>2372.7199999999998</v>
      </c>
    </row>
    <row r="17" spans="1:9" x14ac:dyDescent="0.25">
      <c r="A17" s="2" t="str">
        <f>'Posted Sales Invoice Lines'!A17</f>
        <v>PS-INV173271</v>
      </c>
      <c r="B17" s="2" t="str">
        <f>'Posted Sales Invoice Lines'!B17</f>
        <v>10719-6</v>
      </c>
      <c r="C17" s="2" t="str">
        <f>'Posted Sales Invoice Lines'!C17</f>
        <v>US Foods - Alcoa TN.</v>
      </c>
      <c r="D17" s="2" t="str">
        <f>'Posted Sales Invoice Lines'!E17</f>
        <v>F53086</v>
      </c>
      <c r="E17" s="2" t="str">
        <f>'Posted Sales Invoice Lines'!F17</f>
        <v>Cs. 3.5" Plain Hamburger Bun 8-12pk</v>
      </c>
      <c r="F17" s="3">
        <f>'Posted Sales Invoice Lines'!G17</f>
        <v>46027</v>
      </c>
      <c r="G17" s="9">
        <f>'Posted Sales Invoice Lines'!L17</f>
        <v>4</v>
      </c>
      <c r="H17" s="8">
        <f>'Posted Sales Invoice Lines'!N17</f>
        <v>36.24</v>
      </c>
      <c r="I17" s="8">
        <f>'Posted Sales Invoice Lines'!O17</f>
        <v>144.96</v>
      </c>
    </row>
    <row r="18" spans="1:9" x14ac:dyDescent="0.25">
      <c r="A18" s="2" t="str">
        <f>'Posted Sales Invoice Lines'!A18</f>
        <v>PS-INV173271</v>
      </c>
      <c r="B18" s="2" t="str">
        <f>'Posted Sales Invoice Lines'!B18</f>
        <v>10719-6</v>
      </c>
      <c r="C18" s="2" t="str">
        <f>'Posted Sales Invoice Lines'!C18</f>
        <v>US Foods - Alcoa TN.</v>
      </c>
      <c r="D18" s="2" t="str">
        <f>'Posted Sales Invoice Lines'!E18</f>
        <v>F52035</v>
      </c>
      <c r="E18" s="2" t="str">
        <f>'Posted Sales Invoice Lines'!F18</f>
        <v>Cs. French Boule 12-2pk</v>
      </c>
      <c r="F18" s="3">
        <f>'Posted Sales Invoice Lines'!G18</f>
        <v>46027</v>
      </c>
      <c r="G18" s="9">
        <f>'Posted Sales Invoice Lines'!L18</f>
        <v>28</v>
      </c>
      <c r="H18" s="8">
        <f>'Posted Sales Invoice Lines'!N18</f>
        <v>32.549999999999997</v>
      </c>
      <c r="I18" s="8">
        <f>'Posted Sales Invoice Lines'!O18</f>
        <v>911.4</v>
      </c>
    </row>
    <row r="19" spans="1:9" x14ac:dyDescent="0.25">
      <c r="A19" s="2" t="str">
        <f>'Posted Sales Invoice Lines'!A19</f>
        <v>PS-INV173271</v>
      </c>
      <c r="B19" s="2" t="str">
        <f>'Posted Sales Invoice Lines'!B19</f>
        <v>10719-6</v>
      </c>
      <c r="C19" s="2" t="str">
        <f>'Posted Sales Invoice Lines'!C19</f>
        <v>US Foods - Alcoa TN.</v>
      </c>
      <c r="D19" s="2" t="str">
        <f>'Posted Sales Invoice Lines'!E19</f>
        <v>F52032</v>
      </c>
      <c r="E19" s="2" t="str">
        <f>'Posted Sales Invoice Lines'!F19</f>
        <v>Cs. 8oz Sour Dough Boule 12-2pk</v>
      </c>
      <c r="F19" s="3">
        <f>'Posted Sales Invoice Lines'!G19</f>
        <v>46027</v>
      </c>
      <c r="G19" s="9">
        <f>'Posted Sales Invoice Lines'!L19</f>
        <v>28</v>
      </c>
      <c r="H19" s="8">
        <f>'Posted Sales Invoice Lines'!N19</f>
        <v>41.25</v>
      </c>
      <c r="I19" s="8">
        <f>'Posted Sales Invoice Lines'!O19</f>
        <v>1155</v>
      </c>
    </row>
    <row r="20" spans="1:9" x14ac:dyDescent="0.25">
      <c r="A20" s="2" t="str">
        <f>'Posted Sales Invoice Lines'!A20</f>
        <v>PS-INV173271</v>
      </c>
      <c r="B20" s="2" t="str">
        <f>'Posted Sales Invoice Lines'!B20</f>
        <v>10719-6</v>
      </c>
      <c r="C20" s="2" t="str">
        <f>'Posted Sales Invoice Lines'!C20</f>
        <v>US Foods - Alcoa TN.</v>
      </c>
      <c r="D20" s="2" t="str">
        <f>'Posted Sales Invoice Lines'!E20</f>
        <v>F53024</v>
      </c>
      <c r="E20" s="2" t="str">
        <f>'Posted Sales Invoice Lines'!F20</f>
        <v>Cs. 4" Challah Kaiser 8-12pk</v>
      </c>
      <c r="F20" s="3">
        <f>'Posted Sales Invoice Lines'!G20</f>
        <v>46027</v>
      </c>
      <c r="G20" s="9">
        <f>'Posted Sales Invoice Lines'!L20</f>
        <v>28</v>
      </c>
      <c r="H20" s="8">
        <f>'Posted Sales Invoice Lines'!N20</f>
        <v>40.22</v>
      </c>
      <c r="I20" s="8">
        <f>'Posted Sales Invoice Lines'!O20</f>
        <v>1126.1600000000001</v>
      </c>
    </row>
    <row r="21" spans="1:9" x14ac:dyDescent="0.25">
      <c r="A21" s="2" t="str">
        <f>'Posted Sales Invoice Lines'!A21</f>
        <v>PS-INV173549</v>
      </c>
      <c r="B21" s="2" t="str">
        <f>'Posted Sales Invoice Lines'!B21</f>
        <v>10138-5</v>
      </c>
      <c r="C21" s="2" t="str">
        <f>'Posted Sales Invoice Lines'!C21</f>
        <v>Costco PriceSmart Export</v>
      </c>
      <c r="D21" s="2" t="str">
        <f>'Posted Sales Invoice Lines'!E21</f>
        <v>F53106</v>
      </c>
      <c r="E21" s="2" t="str">
        <f>'Posted Sales Invoice Lines'!F21</f>
        <v>Cs. Large Hot Dog 12-6pk</v>
      </c>
      <c r="F21" s="3">
        <f>'Posted Sales Invoice Lines'!G21</f>
        <v>46027</v>
      </c>
      <c r="G21" s="9">
        <f>'Posted Sales Invoice Lines'!L21</f>
        <v>960</v>
      </c>
      <c r="H21" s="8">
        <f>'Posted Sales Invoice Lines'!N21</f>
        <v>26.25</v>
      </c>
      <c r="I21" s="8">
        <f>'Posted Sales Invoice Lines'!O21</f>
        <v>25200</v>
      </c>
    </row>
    <row r="22" spans="1:9" x14ac:dyDescent="0.25">
      <c r="A22" s="2" t="str">
        <f>'Posted Sales Invoice Lines'!A22</f>
        <v>PS-INV174655</v>
      </c>
      <c r="B22" s="2" t="str">
        <f>'Posted Sales Invoice Lines'!B22</f>
        <v>12707</v>
      </c>
      <c r="C22" s="2" t="str">
        <f>'Posted Sales Invoice Lines'!C22</f>
        <v>PFG Florence SC</v>
      </c>
      <c r="D22" s="2" t="str">
        <f>'Posted Sales Invoice Lines'!E22</f>
        <v>F53001</v>
      </c>
      <c r="E22" s="2" t="str">
        <f>'Posted Sales Invoice Lines'!F22</f>
        <v>Cs. 4" Brioche Bun 8-12pk</v>
      </c>
      <c r="F22" s="3">
        <f>'Posted Sales Invoice Lines'!G22</f>
        <v>46027</v>
      </c>
      <c r="G22" s="9">
        <f>'Posted Sales Invoice Lines'!L22</f>
        <v>168</v>
      </c>
      <c r="H22" s="8">
        <f>'Posted Sales Invoice Lines'!N22</f>
        <v>46.6</v>
      </c>
      <c r="I22" s="8">
        <f>'Posted Sales Invoice Lines'!O22</f>
        <v>7828.8</v>
      </c>
    </row>
    <row r="23" spans="1:9" x14ac:dyDescent="0.25">
      <c r="A23" s="2" t="str">
        <f>'Posted Sales Invoice Lines'!A23</f>
        <v>PS-INV174928</v>
      </c>
      <c r="B23" s="2" t="str">
        <f>'Posted Sales Invoice Lines'!B23</f>
        <v>12358</v>
      </c>
      <c r="C23" s="2" t="str">
        <f>'Posted Sales Invoice Lines'!C23</f>
        <v>PFG Powell GA</v>
      </c>
      <c r="D23" s="2" t="str">
        <f>'Posted Sales Invoice Lines'!E23</f>
        <v>F51024</v>
      </c>
      <c r="E23" s="2" t="str">
        <f>'Posted Sales Invoice Lines'!F23</f>
        <v>Cs. Marble Rye 5/8" 8lvs</v>
      </c>
      <c r="F23" s="3">
        <f>'Posted Sales Invoice Lines'!G23</f>
        <v>46027</v>
      </c>
      <c r="G23" s="9">
        <f>'Posted Sales Invoice Lines'!L23</f>
        <v>48</v>
      </c>
      <c r="H23" s="8">
        <f>'Posted Sales Invoice Lines'!N23</f>
        <v>45</v>
      </c>
      <c r="I23" s="8">
        <f>'Posted Sales Invoice Lines'!O23</f>
        <v>2160</v>
      </c>
    </row>
    <row r="24" spans="1:9" x14ac:dyDescent="0.25">
      <c r="A24" s="2" t="str">
        <f>'Posted Sales Invoice Lines'!A24</f>
        <v>PS-INV174928</v>
      </c>
      <c r="B24" s="2" t="str">
        <f>'Posted Sales Invoice Lines'!B24</f>
        <v>12358</v>
      </c>
      <c r="C24" s="2" t="str">
        <f>'Posted Sales Invoice Lines'!C24</f>
        <v>PFG Powell GA</v>
      </c>
      <c r="D24" s="2" t="str">
        <f>'Posted Sales Invoice Lines'!E24</f>
        <v>F53001</v>
      </c>
      <c r="E24" s="2" t="str">
        <f>'Posted Sales Invoice Lines'!F24</f>
        <v>Cs. 4" Brioche Bun 8-12pk</v>
      </c>
      <c r="F24" s="3">
        <f>'Posted Sales Invoice Lines'!G24</f>
        <v>46027</v>
      </c>
      <c r="G24" s="9">
        <f>'Posted Sales Invoice Lines'!L24</f>
        <v>80</v>
      </c>
      <c r="H24" s="8">
        <f>'Posted Sales Invoice Lines'!N24</f>
        <v>42.6</v>
      </c>
      <c r="I24" s="8">
        <f>'Posted Sales Invoice Lines'!O24</f>
        <v>3408</v>
      </c>
    </row>
    <row r="25" spans="1:9" x14ac:dyDescent="0.25">
      <c r="A25" s="2" t="str">
        <f>'Posted Sales Invoice Lines'!A25</f>
        <v>PS-INV174928</v>
      </c>
      <c r="B25" s="2" t="str">
        <f>'Posted Sales Invoice Lines'!B25</f>
        <v>12358</v>
      </c>
      <c r="C25" s="2" t="str">
        <f>'Posted Sales Invoice Lines'!C25</f>
        <v>PFG Powell GA</v>
      </c>
      <c r="D25" s="2" t="str">
        <f>'Posted Sales Invoice Lines'!E25</f>
        <v>F53003</v>
      </c>
      <c r="E25" s="2" t="str">
        <f>'Posted Sales Invoice Lines'!F25</f>
        <v>Cs. 4" Unseeded Challah Bun 8-12pk</v>
      </c>
      <c r="F25" s="3">
        <f>'Posted Sales Invoice Lines'!G25</f>
        <v>46027</v>
      </c>
      <c r="G25" s="9">
        <f>'Posted Sales Invoice Lines'!L25</f>
        <v>80</v>
      </c>
      <c r="H25" s="8">
        <f>'Posted Sales Invoice Lines'!N25</f>
        <v>40</v>
      </c>
      <c r="I25" s="8">
        <f>'Posted Sales Invoice Lines'!O25</f>
        <v>3200</v>
      </c>
    </row>
    <row r="26" spans="1:9" x14ac:dyDescent="0.25">
      <c r="A26" s="2" t="str">
        <f>'Posted Sales Invoice Lines'!A26</f>
        <v>PS-INV175182</v>
      </c>
      <c r="B26" s="2" t="str">
        <f>'Posted Sales Invoice Lines'!B26</f>
        <v>12692</v>
      </c>
      <c r="C26" s="2" t="str">
        <f>'Posted Sales Invoice Lines'!C26</f>
        <v>United Food Service</v>
      </c>
      <c r="D26" s="2" t="str">
        <f>'Posted Sales Invoice Lines'!E26</f>
        <v>F53116</v>
      </c>
      <c r="E26" s="2" t="str">
        <f>'Posted Sales Invoice Lines'!F26</f>
        <v>Cs. 7" French Hinged 12</v>
      </c>
      <c r="F26" s="3">
        <f>'Posted Sales Invoice Lines'!G26</f>
        <v>46029</v>
      </c>
      <c r="G26" s="9">
        <f>'Posted Sales Invoice Lines'!L26</f>
        <v>224</v>
      </c>
      <c r="H26" s="8">
        <f>'Posted Sales Invoice Lines'!N26</f>
        <v>32.5</v>
      </c>
      <c r="I26" s="8">
        <f>'Posted Sales Invoice Lines'!O26</f>
        <v>7280</v>
      </c>
    </row>
    <row r="27" spans="1:9" x14ac:dyDescent="0.25">
      <c r="A27" s="2" t="str">
        <f>'Posted Sales Invoice Lines'!A27</f>
        <v>PS-INV175182</v>
      </c>
      <c r="B27" s="2" t="str">
        <f>'Posted Sales Invoice Lines'!B27</f>
        <v>12692</v>
      </c>
      <c r="C27" s="2" t="str">
        <f>'Posted Sales Invoice Lines'!C27</f>
        <v>United Food Service</v>
      </c>
      <c r="D27" s="2" t="str">
        <f>'Posted Sales Invoice Lines'!E27</f>
        <v>F53127</v>
      </c>
      <c r="E27" s="2" t="str">
        <f>'Posted Sales Invoice Lines'!F27</f>
        <v>Cs. 8" Philly 10-6pks</v>
      </c>
      <c r="F27" s="3">
        <f>'Posted Sales Invoice Lines'!G27</f>
        <v>46029</v>
      </c>
      <c r="G27" s="9">
        <f>'Posted Sales Invoice Lines'!L27</f>
        <v>0</v>
      </c>
      <c r="H27" s="8">
        <f>'Posted Sales Invoice Lines'!N27</f>
        <v>0</v>
      </c>
      <c r="I27" s="8">
        <f>'Posted Sales Invoice Lines'!O27</f>
        <v>0</v>
      </c>
    </row>
    <row r="28" spans="1:9" x14ac:dyDescent="0.25">
      <c r="A28" s="2" t="str">
        <f>'Posted Sales Invoice Lines'!A28</f>
        <v>PS-INV175938</v>
      </c>
      <c r="B28" s="2" t="str">
        <f>'Posted Sales Invoice Lines'!B28</f>
        <v>10719-3</v>
      </c>
      <c r="C28" s="2" t="str">
        <f>'Posted Sales Invoice Lines'!C28</f>
        <v>US Foods - Raleigh/Zebulon</v>
      </c>
      <c r="D28" s="2" t="str">
        <f>'Posted Sales Invoice Lines'!E28</f>
        <v>F53002</v>
      </c>
      <c r="E28" s="2" t="str">
        <f>'Posted Sales Invoice Lines'!F28</f>
        <v>Cs. Sesame Bun 8-12pk</v>
      </c>
      <c r="F28" s="3">
        <f>'Posted Sales Invoice Lines'!G28</f>
        <v>46030</v>
      </c>
      <c r="G28" s="9">
        <f>'Posted Sales Invoice Lines'!L28</f>
        <v>60</v>
      </c>
      <c r="H28" s="8">
        <f>'Posted Sales Invoice Lines'!N28</f>
        <v>41.66</v>
      </c>
      <c r="I28" s="8">
        <f>'Posted Sales Invoice Lines'!O28</f>
        <v>2499.6</v>
      </c>
    </row>
    <row r="29" spans="1:9" x14ac:dyDescent="0.25">
      <c r="A29" s="2" t="str">
        <f>'Posted Sales Invoice Lines'!A29</f>
        <v>PS-INV175938</v>
      </c>
      <c r="B29" s="2" t="str">
        <f>'Posted Sales Invoice Lines'!B29</f>
        <v>10719-3</v>
      </c>
      <c r="C29" s="2" t="str">
        <f>'Posted Sales Invoice Lines'!C29</f>
        <v>US Foods - Raleigh/Zebulon</v>
      </c>
      <c r="D29" s="2" t="str">
        <f>'Posted Sales Invoice Lines'!E29</f>
        <v>F52902</v>
      </c>
      <c r="E29" s="2" t="str">
        <f>'Posted Sales Invoice Lines'!F29</f>
        <v>Cs. 22" Rye Baguette 10-2pk</v>
      </c>
      <c r="F29" s="3">
        <f>'Posted Sales Invoice Lines'!G29</f>
        <v>46030</v>
      </c>
      <c r="G29" s="9">
        <f>'Posted Sales Invoice Lines'!L29</f>
        <v>8</v>
      </c>
      <c r="H29" s="8">
        <f>'Posted Sales Invoice Lines'!N29</f>
        <v>42.53</v>
      </c>
      <c r="I29" s="8">
        <f>'Posted Sales Invoice Lines'!O29</f>
        <v>340.24</v>
      </c>
    </row>
    <row r="30" spans="1:9" x14ac:dyDescent="0.25">
      <c r="A30" s="2" t="str">
        <f>'Posted Sales Invoice Lines'!A30</f>
        <v>PS-INV175938</v>
      </c>
      <c r="B30" s="2" t="str">
        <f>'Posted Sales Invoice Lines'!B30</f>
        <v>10719-3</v>
      </c>
      <c r="C30" s="2" t="str">
        <f>'Posted Sales Invoice Lines'!C30</f>
        <v>US Foods - Raleigh/Zebulon</v>
      </c>
      <c r="D30" s="2" t="str">
        <f>'Posted Sales Invoice Lines'!E30</f>
        <v>F52007</v>
      </c>
      <c r="E30" s="2" t="str">
        <f>'Posted Sales Invoice Lines'!F30</f>
        <v>Cs. 22" 17oz French 10</v>
      </c>
      <c r="F30" s="3">
        <f>'Posted Sales Invoice Lines'!G30</f>
        <v>46030</v>
      </c>
      <c r="G30" s="9">
        <f>'Posted Sales Invoice Lines'!L30</f>
        <v>8</v>
      </c>
      <c r="H30" s="8">
        <f>'Posted Sales Invoice Lines'!N30</f>
        <v>39.96</v>
      </c>
      <c r="I30" s="8">
        <f>'Posted Sales Invoice Lines'!O30</f>
        <v>319.68</v>
      </c>
    </row>
    <row r="31" spans="1:9" x14ac:dyDescent="0.25">
      <c r="A31" s="2" t="str">
        <f>'Posted Sales Invoice Lines'!A31</f>
        <v>PS-INV175938</v>
      </c>
      <c r="B31" s="2" t="str">
        <f>'Posted Sales Invoice Lines'!B31</f>
        <v>10719-3</v>
      </c>
      <c r="C31" s="2" t="str">
        <f>'Posted Sales Invoice Lines'!C31</f>
        <v>US Foods - Raleigh/Zebulon</v>
      </c>
      <c r="D31" s="2" t="str">
        <f>'Posted Sales Invoice Lines'!E31</f>
        <v>F51026</v>
      </c>
      <c r="E31" s="2" t="str">
        <f>'Posted Sales Invoice Lines'!F31</f>
        <v>Cs. Marble Rye 3/4" 8lvs</v>
      </c>
      <c r="F31" s="3">
        <f>'Posted Sales Invoice Lines'!G31</f>
        <v>46030</v>
      </c>
      <c r="G31" s="9">
        <f>'Posted Sales Invoice Lines'!L31</f>
        <v>60</v>
      </c>
      <c r="H31" s="8">
        <f>'Posted Sales Invoice Lines'!N31</f>
        <v>52</v>
      </c>
      <c r="I31" s="8">
        <f>'Posted Sales Invoice Lines'!O31</f>
        <v>3120</v>
      </c>
    </row>
    <row r="32" spans="1:9" x14ac:dyDescent="0.25">
      <c r="A32" s="2" t="str">
        <f>'Posted Sales Invoice Lines'!A32</f>
        <v>PS-INV175944</v>
      </c>
      <c r="B32" s="2" t="str">
        <f>'Posted Sales Invoice Lines'!B32</f>
        <v>10719-4</v>
      </c>
      <c r="C32" s="2" t="str">
        <f>'Posted Sales Invoice Lines'!C32</f>
        <v>US Foods - Columbia/Lexington</v>
      </c>
      <c r="D32" s="2" t="str">
        <f>'Posted Sales Invoice Lines'!E32</f>
        <v>F53010</v>
      </c>
      <c r="E32" s="2" t="str">
        <f>'Posted Sales Invoice Lines'!F32</f>
        <v>Cs. Onion Roll 8-12pk</v>
      </c>
      <c r="F32" s="3">
        <f>'Posted Sales Invoice Lines'!G32</f>
        <v>46044</v>
      </c>
      <c r="G32" s="9">
        <f>'Posted Sales Invoice Lines'!L32</f>
        <v>16</v>
      </c>
      <c r="H32" s="8">
        <f>'Posted Sales Invoice Lines'!N32</f>
        <v>41.85</v>
      </c>
      <c r="I32" s="8">
        <f>'Posted Sales Invoice Lines'!O32</f>
        <v>669.6</v>
      </c>
    </row>
    <row r="33" spans="1:9" x14ac:dyDescent="0.25">
      <c r="A33" s="2" t="str">
        <f>'Posted Sales Invoice Lines'!A33</f>
        <v>PS-INV175944</v>
      </c>
      <c r="B33" s="2" t="str">
        <f>'Posted Sales Invoice Lines'!B33</f>
        <v>10719-4</v>
      </c>
      <c r="C33" s="2" t="str">
        <f>'Posted Sales Invoice Lines'!C33</f>
        <v>US Foods - Columbia/Lexington</v>
      </c>
      <c r="D33" s="2" t="str">
        <f>'Posted Sales Invoice Lines'!E33</f>
        <v>F53093</v>
      </c>
      <c r="E33" s="2" t="str">
        <f>'Posted Sales Invoice Lines'!F33</f>
        <v>Cs. 6" Philly Unsliced</v>
      </c>
      <c r="F33" s="3">
        <f>'Posted Sales Invoice Lines'!G33</f>
        <v>46044</v>
      </c>
      <c r="G33" s="9">
        <f>'Posted Sales Invoice Lines'!L33</f>
        <v>4</v>
      </c>
      <c r="H33" s="8">
        <f>'Posted Sales Invoice Lines'!N33</f>
        <v>47.2</v>
      </c>
      <c r="I33" s="8">
        <f>'Posted Sales Invoice Lines'!O33</f>
        <v>188.8</v>
      </c>
    </row>
    <row r="34" spans="1:9" x14ac:dyDescent="0.25">
      <c r="A34" s="2" t="str">
        <f>'Posted Sales Invoice Lines'!A34</f>
        <v>PS-INV175944</v>
      </c>
      <c r="B34" s="2" t="str">
        <f>'Posted Sales Invoice Lines'!B34</f>
        <v>10719-4</v>
      </c>
      <c r="C34" s="2" t="str">
        <f>'Posted Sales Invoice Lines'!C34</f>
        <v>US Foods - Columbia/Lexington</v>
      </c>
      <c r="D34" s="2" t="str">
        <f>'Posted Sales Invoice Lines'!E34</f>
        <v>F51026</v>
      </c>
      <c r="E34" s="2" t="str">
        <f>'Posted Sales Invoice Lines'!F34</f>
        <v>Cs. Marble Rye 3/4" 8lvs</v>
      </c>
      <c r="F34" s="3">
        <f>'Posted Sales Invoice Lines'!G34</f>
        <v>46044</v>
      </c>
      <c r="G34" s="9">
        <f>'Posted Sales Invoice Lines'!L34</f>
        <v>48</v>
      </c>
      <c r="H34" s="8">
        <f>'Posted Sales Invoice Lines'!N34</f>
        <v>52</v>
      </c>
      <c r="I34" s="8">
        <f>'Posted Sales Invoice Lines'!O34</f>
        <v>2496</v>
      </c>
    </row>
    <row r="35" spans="1:9" x14ac:dyDescent="0.25">
      <c r="A35" s="2" t="str">
        <f>'Posted Sales Invoice Lines'!A35</f>
        <v>PS-INV175944</v>
      </c>
      <c r="B35" s="2" t="str">
        <f>'Posted Sales Invoice Lines'!B35</f>
        <v>10719-4</v>
      </c>
      <c r="C35" s="2" t="str">
        <f>'Posted Sales Invoice Lines'!C35</f>
        <v>US Foods - Columbia/Lexington</v>
      </c>
      <c r="D35" s="2" t="str">
        <f>'Posted Sales Invoice Lines'!E35</f>
        <v>F53122</v>
      </c>
      <c r="E35" s="2" t="str">
        <f>'Posted Sales Invoice Lines'!F35</f>
        <v>Cs. 8" Italian Hinged 12-6pk</v>
      </c>
      <c r="F35" s="3">
        <f>'Posted Sales Invoice Lines'!G35</f>
        <v>46044</v>
      </c>
      <c r="G35" s="9">
        <f>'Posted Sales Invoice Lines'!L35</f>
        <v>16</v>
      </c>
      <c r="H35" s="8">
        <f>'Posted Sales Invoice Lines'!N35</f>
        <v>38.9</v>
      </c>
      <c r="I35" s="8">
        <f>'Posted Sales Invoice Lines'!O35</f>
        <v>622.4</v>
      </c>
    </row>
    <row r="36" spans="1:9" x14ac:dyDescent="0.25">
      <c r="A36" s="2" t="str">
        <f>'Posted Sales Invoice Lines'!A36</f>
        <v>PS-INV175944</v>
      </c>
      <c r="B36" s="2" t="str">
        <f>'Posted Sales Invoice Lines'!B36</f>
        <v>10719-4</v>
      </c>
      <c r="C36" s="2" t="str">
        <f>'Posted Sales Invoice Lines'!C36</f>
        <v>US Foods - Columbia/Lexington</v>
      </c>
      <c r="D36" s="2" t="str">
        <f>'Posted Sales Invoice Lines'!E36</f>
        <v>F53001</v>
      </c>
      <c r="E36" s="2" t="str">
        <f>'Posted Sales Invoice Lines'!F36</f>
        <v>Cs. 4" Brioche Bun 8-12pk</v>
      </c>
      <c r="F36" s="3">
        <f>'Posted Sales Invoice Lines'!G36</f>
        <v>46044</v>
      </c>
      <c r="G36" s="9">
        <f>'Posted Sales Invoice Lines'!L36</f>
        <v>24</v>
      </c>
      <c r="H36" s="8">
        <f>'Posted Sales Invoice Lines'!N36</f>
        <v>43.5</v>
      </c>
      <c r="I36" s="8">
        <f>'Posted Sales Invoice Lines'!O36</f>
        <v>1044</v>
      </c>
    </row>
    <row r="37" spans="1:9" x14ac:dyDescent="0.25">
      <c r="A37" s="2" t="str">
        <f>'Posted Sales Invoice Lines'!A37</f>
        <v>PS-INV175944</v>
      </c>
      <c r="B37" s="2" t="str">
        <f>'Posted Sales Invoice Lines'!B37</f>
        <v>10719-4</v>
      </c>
      <c r="C37" s="2" t="str">
        <f>'Posted Sales Invoice Lines'!C37</f>
        <v>US Foods - Columbia/Lexington</v>
      </c>
      <c r="D37" s="2" t="str">
        <f>'Posted Sales Invoice Lines'!E37</f>
        <v>F53024</v>
      </c>
      <c r="E37" s="2" t="str">
        <f>'Posted Sales Invoice Lines'!F37</f>
        <v>Cs. 4" Challah Kaiser 8-12pk</v>
      </c>
      <c r="F37" s="3">
        <f>'Posted Sales Invoice Lines'!G37</f>
        <v>46044</v>
      </c>
      <c r="G37" s="9">
        <f>'Posted Sales Invoice Lines'!L37</f>
        <v>32</v>
      </c>
      <c r="H37" s="8">
        <f>'Posted Sales Invoice Lines'!N37</f>
        <v>38.25</v>
      </c>
      <c r="I37" s="8">
        <f>'Posted Sales Invoice Lines'!O37</f>
        <v>1224</v>
      </c>
    </row>
    <row r="38" spans="1:9" x14ac:dyDescent="0.25">
      <c r="A38" s="2" t="str">
        <f>'Posted Sales Invoice Lines'!A38</f>
        <v>PS-INV175944</v>
      </c>
      <c r="B38" s="2" t="str">
        <f>'Posted Sales Invoice Lines'!B38</f>
        <v>10719-4</v>
      </c>
      <c r="C38" s="2" t="str">
        <f>'Posted Sales Invoice Lines'!C38</f>
        <v>US Foods - Columbia/Lexington</v>
      </c>
      <c r="D38" s="2" t="str">
        <f>'Posted Sales Invoice Lines'!E38</f>
        <v>F51020</v>
      </c>
      <c r="E38" s="2" t="str">
        <f>'Posted Sales Invoice Lines'!F38</f>
        <v>Cs. Marble Rye 1/2" 8lvs</v>
      </c>
      <c r="F38" s="3">
        <f>'Posted Sales Invoice Lines'!G38</f>
        <v>46044</v>
      </c>
      <c r="G38" s="9">
        <f>'Posted Sales Invoice Lines'!L38</f>
        <v>16</v>
      </c>
      <c r="H38" s="8">
        <f>'Posted Sales Invoice Lines'!N38</f>
        <v>52</v>
      </c>
      <c r="I38" s="8">
        <f>'Posted Sales Invoice Lines'!O38</f>
        <v>832</v>
      </c>
    </row>
    <row r="39" spans="1:9" x14ac:dyDescent="0.25">
      <c r="A39" s="2" t="str">
        <f>'Posted Sales Invoice Lines'!A39</f>
        <v>PS-INV177013</v>
      </c>
      <c r="B39" s="2" t="str">
        <f>'Posted Sales Invoice Lines'!B39</f>
        <v>10540-01</v>
      </c>
      <c r="C39" s="2" t="str">
        <f>'Posted Sales Invoice Lines'!C39</f>
        <v>PFG Johnson City TN</v>
      </c>
      <c r="D39" s="2" t="str">
        <f>'Posted Sales Invoice Lines'!E39</f>
        <v>F51383</v>
      </c>
      <c r="E39" s="2" t="str">
        <f>'Posted Sales Invoice Lines'!F39</f>
        <v>Cs. Challah Pullman 3/4" 10lvs</v>
      </c>
      <c r="F39" s="3">
        <f>'Posted Sales Invoice Lines'!G39</f>
        <v>46029</v>
      </c>
      <c r="G39" s="9">
        <f>'Posted Sales Invoice Lines'!L39</f>
        <v>12</v>
      </c>
      <c r="H39" s="8">
        <f>'Posted Sales Invoice Lines'!N39</f>
        <v>55.13</v>
      </c>
      <c r="I39" s="8">
        <f>'Posted Sales Invoice Lines'!O39</f>
        <v>661.56</v>
      </c>
    </row>
    <row r="40" spans="1:9" x14ac:dyDescent="0.25">
      <c r="A40" s="2" t="str">
        <f>'Posted Sales Invoice Lines'!A40</f>
        <v>PS-INV177013</v>
      </c>
      <c r="B40" s="2" t="str">
        <f>'Posted Sales Invoice Lines'!B40</f>
        <v>10540-01</v>
      </c>
      <c r="C40" s="2" t="str">
        <f>'Posted Sales Invoice Lines'!C40</f>
        <v>PFG Johnson City TN</v>
      </c>
      <c r="D40" s="2" t="str">
        <f>'Posted Sales Invoice Lines'!E40</f>
        <v>F51034</v>
      </c>
      <c r="E40" s="2" t="str">
        <f>'Posted Sales Invoice Lines'!F40</f>
        <v>Cs. Sour Dough Hearth 5/8" 8lvs</v>
      </c>
      <c r="F40" s="3">
        <f>'Posted Sales Invoice Lines'!G40</f>
        <v>46029</v>
      </c>
      <c r="G40" s="9">
        <f>'Posted Sales Invoice Lines'!L40</f>
        <v>44</v>
      </c>
      <c r="H40" s="8">
        <f>'Posted Sales Invoice Lines'!N40</f>
        <v>43.82</v>
      </c>
      <c r="I40" s="8">
        <f>'Posted Sales Invoice Lines'!O40</f>
        <v>1928.08</v>
      </c>
    </row>
    <row r="41" spans="1:9" x14ac:dyDescent="0.25">
      <c r="A41" s="2" t="str">
        <f>'Posted Sales Invoice Lines'!A41</f>
        <v>PS-INV177013</v>
      </c>
      <c r="B41" s="2" t="str">
        <f>'Posted Sales Invoice Lines'!B41</f>
        <v>10540-01</v>
      </c>
      <c r="C41" s="2" t="str">
        <f>'Posted Sales Invoice Lines'!C41</f>
        <v>PFG Johnson City TN</v>
      </c>
      <c r="D41" s="2" t="str">
        <f>'Posted Sales Invoice Lines'!E41</f>
        <v>F51024</v>
      </c>
      <c r="E41" s="2" t="str">
        <f>'Posted Sales Invoice Lines'!F41</f>
        <v>Cs. Marble Rye 5/8" 8lvs</v>
      </c>
      <c r="F41" s="3">
        <f>'Posted Sales Invoice Lines'!G41</f>
        <v>46029</v>
      </c>
      <c r="G41" s="9">
        <f>'Posted Sales Invoice Lines'!L41</f>
        <v>8</v>
      </c>
      <c r="H41" s="8">
        <f>'Posted Sales Invoice Lines'!N41</f>
        <v>53</v>
      </c>
      <c r="I41" s="8">
        <f>'Posted Sales Invoice Lines'!O41</f>
        <v>424</v>
      </c>
    </row>
    <row r="42" spans="1:9" x14ac:dyDescent="0.25">
      <c r="A42" s="2" t="str">
        <f>'Posted Sales Invoice Lines'!A42</f>
        <v>PS-INV177013</v>
      </c>
      <c r="B42" s="2" t="str">
        <f>'Posted Sales Invoice Lines'!B42</f>
        <v>10540-01</v>
      </c>
      <c r="C42" s="2" t="str">
        <f>'Posted Sales Invoice Lines'!C42</f>
        <v>PFG Johnson City TN</v>
      </c>
      <c r="D42" s="2" t="str">
        <f>'Posted Sales Invoice Lines'!E42</f>
        <v>F53094</v>
      </c>
      <c r="E42" s="2" t="str">
        <f>'Posted Sales Invoice Lines'!F42</f>
        <v>Cs. 6" Italian 12-6pks</v>
      </c>
      <c r="F42" s="3">
        <f>'Posted Sales Invoice Lines'!G42</f>
        <v>46029</v>
      </c>
      <c r="G42" s="9">
        <f>'Posted Sales Invoice Lines'!L42</f>
        <v>60</v>
      </c>
      <c r="H42" s="8">
        <f>'Posted Sales Invoice Lines'!N42</f>
        <v>35</v>
      </c>
      <c r="I42" s="8">
        <f>'Posted Sales Invoice Lines'!O42</f>
        <v>2100</v>
      </c>
    </row>
    <row r="43" spans="1:9" x14ac:dyDescent="0.25">
      <c r="A43" s="2" t="str">
        <f>'Posted Sales Invoice Lines'!A43</f>
        <v>PS-INV177013</v>
      </c>
      <c r="B43" s="2" t="str">
        <f>'Posted Sales Invoice Lines'!B43</f>
        <v>10540-01</v>
      </c>
      <c r="C43" s="2" t="str">
        <f>'Posted Sales Invoice Lines'!C43</f>
        <v>PFG Johnson City TN</v>
      </c>
      <c r="D43" s="2" t="str">
        <f>'Posted Sales Invoice Lines'!E43</f>
        <v>F51000</v>
      </c>
      <c r="E43" s="2" t="str">
        <f>'Posted Sales Invoice Lines'!F43</f>
        <v>Cs. Rye Bread 8lvs</v>
      </c>
      <c r="F43" s="3">
        <f>'Posted Sales Invoice Lines'!G43</f>
        <v>46029</v>
      </c>
      <c r="G43" s="9">
        <f>'Posted Sales Invoice Lines'!L43</f>
        <v>4</v>
      </c>
      <c r="H43" s="8">
        <f>'Posted Sales Invoice Lines'!N43</f>
        <v>41.6</v>
      </c>
      <c r="I43" s="8">
        <f>'Posted Sales Invoice Lines'!O43</f>
        <v>166.4</v>
      </c>
    </row>
    <row r="44" spans="1:9" x14ac:dyDescent="0.25">
      <c r="A44" s="2" t="str">
        <f>'Posted Sales Invoice Lines'!A44</f>
        <v>PS-INV177013</v>
      </c>
      <c r="B44" s="2" t="str">
        <f>'Posted Sales Invoice Lines'!B44</f>
        <v>10540-01</v>
      </c>
      <c r="C44" s="2" t="str">
        <f>'Posted Sales Invoice Lines'!C44</f>
        <v>PFG Johnson City TN</v>
      </c>
      <c r="D44" s="2" t="str">
        <f>'Posted Sales Invoice Lines'!E44</f>
        <v>F51136</v>
      </c>
      <c r="E44" s="2" t="str">
        <f>'Posted Sales Invoice Lines'!F44</f>
        <v>Cs. Texas Toast 1" 12lvs</v>
      </c>
      <c r="F44" s="3">
        <f>'Posted Sales Invoice Lines'!G44</f>
        <v>46029</v>
      </c>
      <c r="G44" s="9">
        <f>'Posted Sales Invoice Lines'!L44</f>
        <v>40</v>
      </c>
      <c r="H44" s="8">
        <f>'Posted Sales Invoice Lines'!N44</f>
        <v>40.619999999999997</v>
      </c>
      <c r="I44" s="8">
        <f>'Posted Sales Invoice Lines'!O44</f>
        <v>1624.8</v>
      </c>
    </row>
    <row r="45" spans="1:9" x14ac:dyDescent="0.25">
      <c r="A45" s="2" t="str">
        <f>'Posted Sales Invoice Lines'!A45</f>
        <v>PS-INV177013</v>
      </c>
      <c r="B45" s="2" t="str">
        <f>'Posted Sales Invoice Lines'!B45</f>
        <v>10540-01</v>
      </c>
      <c r="C45" s="2" t="str">
        <f>'Posted Sales Invoice Lines'!C45</f>
        <v>PFG Johnson City TN</v>
      </c>
      <c r="D45" s="2" t="str">
        <f>'Posted Sales Invoice Lines'!E45</f>
        <v>F531052</v>
      </c>
      <c r="E45" s="2" t="str">
        <f>'Posted Sales Invoice Lines'!F45</f>
        <v>Cs. 6" Hot Dog Top Sliced 12-12pk</v>
      </c>
      <c r="F45" s="3">
        <f>'Posted Sales Invoice Lines'!G45</f>
        <v>46029</v>
      </c>
      <c r="G45" s="9">
        <f>'Posted Sales Invoice Lines'!L45</f>
        <v>12</v>
      </c>
      <c r="H45" s="8">
        <f>'Posted Sales Invoice Lines'!N45</f>
        <v>40.78</v>
      </c>
      <c r="I45" s="8">
        <f>'Posted Sales Invoice Lines'!O45</f>
        <v>489.36</v>
      </c>
    </row>
    <row r="46" spans="1:9" x14ac:dyDescent="0.25">
      <c r="A46" s="2" t="str">
        <f>'Posted Sales Invoice Lines'!A46</f>
        <v>PS-INV177013</v>
      </c>
      <c r="B46" s="2" t="str">
        <f>'Posted Sales Invoice Lines'!B46</f>
        <v>10540-01</v>
      </c>
      <c r="C46" s="2" t="str">
        <f>'Posted Sales Invoice Lines'!C46</f>
        <v>PFG Johnson City TN</v>
      </c>
      <c r="D46" s="2" t="str">
        <f>'Posted Sales Invoice Lines'!E46</f>
        <v>F53003</v>
      </c>
      <c r="E46" s="2" t="str">
        <f>'Posted Sales Invoice Lines'!F46</f>
        <v>Cs. 4" Unseeded Challah Bun 8-12pk</v>
      </c>
      <c r="F46" s="3">
        <f>'Posted Sales Invoice Lines'!G46</f>
        <v>46029</v>
      </c>
      <c r="G46" s="9">
        <f>'Posted Sales Invoice Lines'!L46</f>
        <v>84</v>
      </c>
      <c r="H46" s="8">
        <f>'Posted Sales Invoice Lines'!N46</f>
        <v>38.75</v>
      </c>
      <c r="I46" s="8">
        <f>'Posted Sales Invoice Lines'!O46</f>
        <v>3255</v>
      </c>
    </row>
    <row r="47" spans="1:9" x14ac:dyDescent="0.25">
      <c r="A47" s="2" t="str">
        <f>'Posted Sales Invoice Lines'!A47</f>
        <v>PS-INV177013</v>
      </c>
      <c r="B47" s="2" t="str">
        <f>'Posted Sales Invoice Lines'!B47</f>
        <v>10540-01</v>
      </c>
      <c r="C47" s="2" t="str">
        <f>'Posted Sales Invoice Lines'!C47</f>
        <v>PFG Johnson City TN</v>
      </c>
      <c r="D47" s="2" t="str">
        <f>'Posted Sales Invoice Lines'!E47</f>
        <v>F56251</v>
      </c>
      <c r="E47" s="2" t="str">
        <f>'Posted Sales Invoice Lines'!F47</f>
        <v>Cs. Challah Sliders Sliced 18-12pks</v>
      </c>
      <c r="F47" s="3">
        <f>'Posted Sales Invoice Lines'!G47</f>
        <v>46029</v>
      </c>
      <c r="G47" s="9">
        <f>'Posted Sales Invoice Lines'!L47</f>
        <v>16</v>
      </c>
      <c r="H47" s="8">
        <f>'Posted Sales Invoice Lines'!N47</f>
        <v>42.11</v>
      </c>
      <c r="I47" s="8">
        <f>'Posted Sales Invoice Lines'!O47</f>
        <v>673.76</v>
      </c>
    </row>
    <row r="48" spans="1:9" x14ac:dyDescent="0.25">
      <c r="A48" s="2" t="str">
        <f>'Posted Sales Invoice Lines'!A48</f>
        <v>PS-INV177013</v>
      </c>
      <c r="B48" s="2" t="str">
        <f>'Posted Sales Invoice Lines'!B48</f>
        <v>10540-01</v>
      </c>
      <c r="C48" s="2" t="str">
        <f>'Posted Sales Invoice Lines'!C48</f>
        <v>PFG Johnson City TN</v>
      </c>
      <c r="D48" s="2" t="str">
        <f>'Posted Sales Invoice Lines'!E48</f>
        <v>F51077</v>
      </c>
      <c r="E48" s="2" t="str">
        <f>'Posted Sales Invoice Lines'!F48</f>
        <v>Cs. Oatie Multigrain 5/8" 8lvs</v>
      </c>
      <c r="F48" s="3">
        <f>'Posted Sales Invoice Lines'!G48</f>
        <v>46029</v>
      </c>
      <c r="G48" s="9">
        <f>'Posted Sales Invoice Lines'!L48</f>
        <v>8</v>
      </c>
      <c r="H48" s="8">
        <f>'Posted Sales Invoice Lines'!N48</f>
        <v>56</v>
      </c>
      <c r="I48" s="8">
        <f>'Posted Sales Invoice Lines'!O48</f>
        <v>448</v>
      </c>
    </row>
    <row r="49" spans="1:9" x14ac:dyDescent="0.25">
      <c r="A49" s="2" t="str">
        <f>'Posted Sales Invoice Lines'!A49</f>
        <v>PS-INV177013</v>
      </c>
      <c r="B49" s="2" t="str">
        <f>'Posted Sales Invoice Lines'!B49</f>
        <v>10540-01</v>
      </c>
      <c r="C49" s="2" t="str">
        <f>'Posted Sales Invoice Lines'!C49</f>
        <v>PFG Johnson City TN</v>
      </c>
      <c r="D49" s="2" t="str">
        <f>'Posted Sales Invoice Lines'!E49</f>
        <v>F53136</v>
      </c>
      <c r="E49" s="2" t="str">
        <f>'Posted Sales Invoice Lines'!F49</f>
        <v>Cs. 8" Squaw 12-6pks</v>
      </c>
      <c r="F49" s="3">
        <f>'Posted Sales Invoice Lines'!G49</f>
        <v>46029</v>
      </c>
      <c r="G49" s="9">
        <f>'Posted Sales Invoice Lines'!L49</f>
        <v>8</v>
      </c>
      <c r="H49" s="8">
        <f>'Posted Sales Invoice Lines'!N49</f>
        <v>37</v>
      </c>
      <c r="I49" s="8">
        <f>'Posted Sales Invoice Lines'!O49</f>
        <v>296</v>
      </c>
    </row>
    <row r="50" spans="1:9" x14ac:dyDescent="0.25">
      <c r="A50" s="2" t="str">
        <f>'Posted Sales Invoice Lines'!A50</f>
        <v>PS-INV177013</v>
      </c>
      <c r="B50" s="2" t="str">
        <f>'Posted Sales Invoice Lines'!B50</f>
        <v>10540-01</v>
      </c>
      <c r="C50" s="2" t="str">
        <f>'Posted Sales Invoice Lines'!C50</f>
        <v>PFG Johnson City TN</v>
      </c>
      <c r="D50" s="2" t="str">
        <f>'Posted Sales Invoice Lines'!E50</f>
        <v>F51157</v>
      </c>
      <c r="E50" s="2" t="str">
        <f>'Posted Sales Invoice Lines'!F50</f>
        <v>Cs. Challah Hearth 7/8" 8lvs</v>
      </c>
      <c r="F50" s="3">
        <f>'Posted Sales Invoice Lines'!G50</f>
        <v>46029</v>
      </c>
      <c r="G50" s="9">
        <f>'Posted Sales Invoice Lines'!L50</f>
        <v>8</v>
      </c>
      <c r="H50" s="8">
        <f>'Posted Sales Invoice Lines'!N50</f>
        <v>44.65</v>
      </c>
      <c r="I50" s="8">
        <f>'Posted Sales Invoice Lines'!O50</f>
        <v>357.2</v>
      </c>
    </row>
    <row r="51" spans="1:9" x14ac:dyDescent="0.25">
      <c r="A51" s="2" t="str">
        <f>'Posted Sales Invoice Lines'!A51</f>
        <v>PS-INV177041</v>
      </c>
      <c r="B51" s="2" t="str">
        <f>'Posted Sales Invoice Lines'!B51</f>
        <v>20334</v>
      </c>
      <c r="C51" s="2" t="str">
        <f>'Posted Sales Invoice Lines'!C51</f>
        <v>Sysco Atlanta</v>
      </c>
      <c r="D51" s="2" t="str">
        <f>'Posted Sales Invoice Lines'!E51</f>
        <v>F53106</v>
      </c>
      <c r="E51" s="2" t="str">
        <f>'Posted Sales Invoice Lines'!F51</f>
        <v>Cs. Large Hot Dog 12-6pk</v>
      </c>
      <c r="F51" s="3">
        <f>'Posted Sales Invoice Lines'!G51</f>
        <v>46027</v>
      </c>
      <c r="G51" s="9">
        <f>'Posted Sales Invoice Lines'!L51</f>
        <v>8</v>
      </c>
      <c r="H51" s="8">
        <f>'Posted Sales Invoice Lines'!N51</f>
        <v>36.5</v>
      </c>
      <c r="I51" s="8">
        <f>'Posted Sales Invoice Lines'!O51</f>
        <v>292</v>
      </c>
    </row>
    <row r="52" spans="1:9" x14ac:dyDescent="0.25">
      <c r="A52" s="2" t="str">
        <f>'Posted Sales Invoice Lines'!A52</f>
        <v>PS-INV177041</v>
      </c>
      <c r="B52" s="2" t="str">
        <f>'Posted Sales Invoice Lines'!B52</f>
        <v>20334</v>
      </c>
      <c r="C52" s="2" t="str">
        <f>'Posted Sales Invoice Lines'!C52</f>
        <v>Sysco Atlanta</v>
      </c>
      <c r="D52" s="2" t="str">
        <f>'Posted Sales Invoice Lines'!E52</f>
        <v>F53116</v>
      </c>
      <c r="E52" s="2" t="str">
        <f>'Posted Sales Invoice Lines'!F52</f>
        <v>Cs. 7" French Hinged 12</v>
      </c>
      <c r="F52" s="3">
        <f>'Posted Sales Invoice Lines'!G52</f>
        <v>46027</v>
      </c>
      <c r="G52" s="9">
        <f>'Posted Sales Invoice Lines'!L52</f>
        <v>56</v>
      </c>
      <c r="H52" s="8">
        <f>'Posted Sales Invoice Lines'!N52</f>
        <v>31.42</v>
      </c>
      <c r="I52" s="8">
        <f>'Posted Sales Invoice Lines'!O52</f>
        <v>1759.52</v>
      </c>
    </row>
    <row r="53" spans="1:9" x14ac:dyDescent="0.25">
      <c r="A53" s="2" t="str">
        <f>'Posted Sales Invoice Lines'!A53</f>
        <v>PS-INV177041</v>
      </c>
      <c r="B53" s="2" t="str">
        <f>'Posted Sales Invoice Lines'!B53</f>
        <v>20334</v>
      </c>
      <c r="C53" s="2" t="str">
        <f>'Posted Sales Invoice Lines'!C53</f>
        <v>Sysco Atlanta</v>
      </c>
      <c r="D53" s="2" t="str">
        <f>'Posted Sales Invoice Lines'!E53</f>
        <v>F53087</v>
      </c>
      <c r="E53" s="2" t="str">
        <f>'Posted Sales Invoice Lines'!F53</f>
        <v>Cs. 3.5" Challah Bun 8-12 pk</v>
      </c>
      <c r="F53" s="3">
        <f>'Posted Sales Invoice Lines'!G53</f>
        <v>46027</v>
      </c>
      <c r="G53" s="9">
        <f>'Posted Sales Invoice Lines'!L53</f>
        <v>196</v>
      </c>
      <c r="H53" s="8">
        <f>'Posted Sales Invoice Lines'!N53</f>
        <v>34</v>
      </c>
      <c r="I53" s="8">
        <f>'Posted Sales Invoice Lines'!O53</f>
        <v>6664</v>
      </c>
    </row>
    <row r="54" spans="1:9" x14ac:dyDescent="0.25">
      <c r="A54" s="2" t="str">
        <f>'Posted Sales Invoice Lines'!A54</f>
        <v>PS-INV177041</v>
      </c>
      <c r="B54" s="2" t="str">
        <f>'Posted Sales Invoice Lines'!B54</f>
        <v>20334</v>
      </c>
      <c r="C54" s="2" t="str">
        <f>'Posted Sales Invoice Lines'!C54</f>
        <v>Sysco Atlanta</v>
      </c>
      <c r="D54" s="2" t="str">
        <f>'Posted Sales Invoice Lines'!E54</f>
        <v>F53140</v>
      </c>
      <c r="E54" s="2" t="str">
        <f>'Posted Sales Invoice Lines'!F54</f>
        <v>Cs. Knuckies 8" White 12-6pk</v>
      </c>
      <c r="F54" s="3">
        <f>'Posted Sales Invoice Lines'!G54</f>
        <v>46027</v>
      </c>
      <c r="G54" s="9">
        <f>'Posted Sales Invoice Lines'!L54</f>
        <v>40</v>
      </c>
      <c r="H54" s="8">
        <f>'Posted Sales Invoice Lines'!N54</f>
        <v>41</v>
      </c>
      <c r="I54" s="8">
        <f>'Posted Sales Invoice Lines'!O54</f>
        <v>1640</v>
      </c>
    </row>
    <row r="55" spans="1:9" x14ac:dyDescent="0.25">
      <c r="A55" s="2" t="str">
        <f>'Posted Sales Invoice Lines'!A55</f>
        <v>PS-INV177041</v>
      </c>
      <c r="B55" s="2" t="str">
        <f>'Posted Sales Invoice Lines'!B55</f>
        <v>20334</v>
      </c>
      <c r="C55" s="2" t="str">
        <f>'Posted Sales Invoice Lines'!C55</f>
        <v>Sysco Atlanta</v>
      </c>
      <c r="D55" s="2" t="str">
        <f>'Posted Sales Invoice Lines'!E55</f>
        <v>F53001</v>
      </c>
      <c r="E55" s="2" t="str">
        <f>'Posted Sales Invoice Lines'!F55</f>
        <v>Cs. 4" Brioche Bun 8-12pk</v>
      </c>
      <c r="F55" s="3">
        <f>'Posted Sales Invoice Lines'!G55</f>
        <v>46027</v>
      </c>
      <c r="G55" s="9">
        <f>'Posted Sales Invoice Lines'!L55</f>
        <v>112</v>
      </c>
      <c r="H55" s="8">
        <f>'Posted Sales Invoice Lines'!N55</f>
        <v>43.36</v>
      </c>
      <c r="I55" s="8">
        <f>'Posted Sales Invoice Lines'!O55</f>
        <v>4856.32</v>
      </c>
    </row>
    <row r="56" spans="1:9" x14ac:dyDescent="0.25">
      <c r="A56" s="2" t="str">
        <f>'Posted Sales Invoice Lines'!A56</f>
        <v>PS-INV177041</v>
      </c>
      <c r="B56" s="2" t="str">
        <f>'Posted Sales Invoice Lines'!B56</f>
        <v>20334</v>
      </c>
      <c r="C56" s="2" t="str">
        <f>'Posted Sales Invoice Lines'!C56</f>
        <v>Sysco Atlanta</v>
      </c>
      <c r="D56" s="2" t="str">
        <f>'Posted Sales Invoice Lines'!E56</f>
        <v>F51024</v>
      </c>
      <c r="E56" s="2" t="str">
        <f>'Posted Sales Invoice Lines'!F56</f>
        <v>Cs. Marble Rye 5/8" 8lvs</v>
      </c>
      <c r="F56" s="3">
        <f>'Posted Sales Invoice Lines'!G56</f>
        <v>46027</v>
      </c>
      <c r="G56" s="9">
        <f>'Posted Sales Invoice Lines'!L56</f>
        <v>12</v>
      </c>
      <c r="H56" s="8">
        <f>'Posted Sales Invoice Lines'!N56</f>
        <v>43.26</v>
      </c>
      <c r="I56" s="8">
        <f>'Posted Sales Invoice Lines'!O56</f>
        <v>519.12</v>
      </c>
    </row>
    <row r="57" spans="1:9" x14ac:dyDescent="0.25">
      <c r="A57" s="2" t="str">
        <f>'Posted Sales Invoice Lines'!A57</f>
        <v>PS-INV177099</v>
      </c>
      <c r="B57" s="2" t="str">
        <f>'Posted Sales Invoice Lines'!B57</f>
        <v>11005</v>
      </c>
      <c r="C57" s="2" t="str">
        <f>'Posted Sales Invoice Lines'!C57</f>
        <v>Dot Foods Inc.</v>
      </c>
      <c r="D57" s="2" t="str">
        <f>'Posted Sales Invoice Lines'!E57</f>
        <v>F530142</v>
      </c>
      <c r="E57" s="2" t="str">
        <f>'Posted Sales Invoice Lines'!F57</f>
        <v>Cs. Knot Roll 8-12pk</v>
      </c>
      <c r="F57" s="3">
        <f>'Posted Sales Invoice Lines'!G57</f>
        <v>46029</v>
      </c>
      <c r="G57" s="9">
        <f>'Posted Sales Invoice Lines'!L57</f>
        <v>128</v>
      </c>
      <c r="H57" s="8">
        <f>'Posted Sales Invoice Lines'!N57</f>
        <v>33.42</v>
      </c>
      <c r="I57" s="8">
        <f>'Posted Sales Invoice Lines'!O57</f>
        <v>4277.76</v>
      </c>
    </row>
    <row r="58" spans="1:9" x14ac:dyDescent="0.25">
      <c r="A58" s="2" t="str">
        <f>'Posted Sales Invoice Lines'!A58</f>
        <v>PS-INV177204</v>
      </c>
      <c r="B58" s="2" t="str">
        <f>'Posted Sales Invoice Lines'!B58</f>
        <v>10540-03</v>
      </c>
      <c r="C58" s="2" t="str">
        <f>'Posted Sales Invoice Lines'!C58</f>
        <v>PFG Louisville TN</v>
      </c>
      <c r="D58" s="2" t="str">
        <f>'Posted Sales Invoice Lines'!E58</f>
        <v>F53001</v>
      </c>
      <c r="E58" s="2" t="str">
        <f>'Posted Sales Invoice Lines'!F58</f>
        <v>Cs. 4" Brioche Bun 8-12pk</v>
      </c>
      <c r="F58" s="3">
        <f>'Posted Sales Invoice Lines'!G58</f>
        <v>46028</v>
      </c>
      <c r="G58" s="9">
        <f>'Posted Sales Invoice Lines'!L58</f>
        <v>0</v>
      </c>
      <c r="H58" s="8">
        <f>'Posted Sales Invoice Lines'!N58</f>
        <v>42.6</v>
      </c>
      <c r="I58" s="8">
        <f>'Posted Sales Invoice Lines'!O58</f>
        <v>0</v>
      </c>
    </row>
    <row r="59" spans="1:9" x14ac:dyDescent="0.25">
      <c r="A59" s="2" t="str">
        <f>'Posted Sales Invoice Lines'!A59</f>
        <v>PS-INV177204</v>
      </c>
      <c r="B59" s="2" t="str">
        <f>'Posted Sales Invoice Lines'!B59</f>
        <v>10540-03</v>
      </c>
      <c r="C59" s="2" t="str">
        <f>'Posted Sales Invoice Lines'!C59</f>
        <v>PFG Louisville TN</v>
      </c>
      <c r="D59" s="2" t="str">
        <f>'Posted Sales Invoice Lines'!E59</f>
        <v>F530501</v>
      </c>
      <c r="E59" s="2" t="str">
        <f>'Posted Sales Invoice Lines'!F59</f>
        <v>Cs. 4.5" Challah Kaiser 6-12pk</v>
      </c>
      <c r="F59" s="3">
        <f>'Posted Sales Invoice Lines'!G59</f>
        <v>46028</v>
      </c>
      <c r="G59" s="9">
        <f>'Posted Sales Invoice Lines'!L59</f>
        <v>16</v>
      </c>
      <c r="H59" s="8">
        <f>'Posted Sales Invoice Lines'!N59</f>
        <v>38.299999999999997</v>
      </c>
      <c r="I59" s="8">
        <f>'Posted Sales Invoice Lines'!O59</f>
        <v>612.79999999999995</v>
      </c>
    </row>
    <row r="60" spans="1:9" x14ac:dyDescent="0.25">
      <c r="A60" s="2" t="str">
        <f>'Posted Sales Invoice Lines'!A60</f>
        <v>PS-INV177204</v>
      </c>
      <c r="B60" s="2" t="str">
        <f>'Posted Sales Invoice Lines'!B60</f>
        <v>10540-03</v>
      </c>
      <c r="C60" s="2" t="str">
        <f>'Posted Sales Invoice Lines'!C60</f>
        <v>PFG Louisville TN</v>
      </c>
      <c r="D60" s="2" t="str">
        <f>'Posted Sales Invoice Lines'!E60</f>
        <v>F51137</v>
      </c>
      <c r="E60" s="2" t="str">
        <f>'Posted Sales Invoice Lines'!F60</f>
        <v>Cs. Texas Toast 3/4" 12lvs</v>
      </c>
      <c r="F60" s="3">
        <f>'Posted Sales Invoice Lines'!G60</f>
        <v>46028</v>
      </c>
      <c r="G60" s="9">
        <f>'Posted Sales Invoice Lines'!L60</f>
        <v>28</v>
      </c>
      <c r="H60" s="8">
        <f>'Posted Sales Invoice Lines'!N60</f>
        <v>40.619999999999997</v>
      </c>
      <c r="I60" s="8">
        <f>'Posted Sales Invoice Lines'!O60</f>
        <v>1137.3599999999999</v>
      </c>
    </row>
    <row r="61" spans="1:9" x14ac:dyDescent="0.25">
      <c r="A61" s="2" t="str">
        <f>'Posted Sales Invoice Lines'!A61</f>
        <v>PS-INV177204</v>
      </c>
      <c r="B61" s="2" t="str">
        <f>'Posted Sales Invoice Lines'!B61</f>
        <v>10540-03</v>
      </c>
      <c r="C61" s="2" t="str">
        <f>'Posted Sales Invoice Lines'!C61</f>
        <v>PFG Louisville TN</v>
      </c>
      <c r="D61" s="2" t="str">
        <f>'Posted Sales Invoice Lines'!E61</f>
        <v>F53091</v>
      </c>
      <c r="E61" s="2" t="str">
        <f>'Posted Sales Invoice Lines'!F61</f>
        <v>Cs. 6" Hoagie Slab Cut</v>
      </c>
      <c r="F61" s="3">
        <f>'Posted Sales Invoice Lines'!G61</f>
        <v>46028</v>
      </c>
      <c r="G61" s="9">
        <f>'Posted Sales Invoice Lines'!L61</f>
        <v>20</v>
      </c>
      <c r="H61" s="8">
        <f>'Posted Sales Invoice Lines'!N61</f>
        <v>35</v>
      </c>
      <c r="I61" s="8">
        <f>'Posted Sales Invoice Lines'!O61</f>
        <v>700</v>
      </c>
    </row>
    <row r="62" spans="1:9" x14ac:dyDescent="0.25">
      <c r="A62" s="2" t="str">
        <f>'Posted Sales Invoice Lines'!A62</f>
        <v>PS-INV177204</v>
      </c>
      <c r="B62" s="2" t="str">
        <f>'Posted Sales Invoice Lines'!B62</f>
        <v>10540-03</v>
      </c>
      <c r="C62" s="2" t="str">
        <f>'Posted Sales Invoice Lines'!C62</f>
        <v>PFG Louisville TN</v>
      </c>
      <c r="D62" s="2" t="str">
        <f>'Posted Sales Invoice Lines'!E62</f>
        <v>F530421</v>
      </c>
      <c r="E62" s="2" t="str">
        <f>'Posted Sales Invoice Lines'!F62</f>
        <v>Cs. 4.5" Challah Buns 6-12pk.</v>
      </c>
      <c r="F62" s="3">
        <f>'Posted Sales Invoice Lines'!G62</f>
        <v>46028</v>
      </c>
      <c r="G62" s="9">
        <f>'Posted Sales Invoice Lines'!L62</f>
        <v>52</v>
      </c>
      <c r="H62" s="8">
        <f>'Posted Sales Invoice Lines'!N62</f>
        <v>38.299999999999997</v>
      </c>
      <c r="I62" s="8">
        <f>'Posted Sales Invoice Lines'!O62</f>
        <v>1991.6</v>
      </c>
    </row>
    <row r="63" spans="1:9" x14ac:dyDescent="0.25">
      <c r="A63" s="2" t="str">
        <f>'Posted Sales Invoice Lines'!A63</f>
        <v>PS-INV177204</v>
      </c>
      <c r="B63" s="2" t="str">
        <f>'Posted Sales Invoice Lines'!B63</f>
        <v>10540-03</v>
      </c>
      <c r="C63" s="2" t="str">
        <f>'Posted Sales Invoice Lines'!C63</f>
        <v>PFG Louisville TN</v>
      </c>
      <c r="D63" s="2" t="str">
        <f>'Posted Sales Invoice Lines'!E63</f>
        <v>F51080</v>
      </c>
      <c r="E63" s="2" t="str">
        <f>'Posted Sales Invoice Lines'!F63</f>
        <v>Cs. Wheatberry Hearth 1/2" 8lvs</v>
      </c>
      <c r="F63" s="3">
        <f>'Posted Sales Invoice Lines'!G63</f>
        <v>46028</v>
      </c>
      <c r="G63" s="9">
        <f>'Posted Sales Invoice Lines'!L63</f>
        <v>0</v>
      </c>
      <c r="H63" s="8">
        <f>'Posted Sales Invoice Lines'!N63</f>
        <v>49</v>
      </c>
      <c r="I63" s="8">
        <f>'Posted Sales Invoice Lines'!O63</f>
        <v>0</v>
      </c>
    </row>
    <row r="64" spans="1:9" x14ac:dyDescent="0.25">
      <c r="A64" s="2" t="str">
        <f>'Posted Sales Invoice Lines'!A64</f>
        <v>PS-INV177204</v>
      </c>
      <c r="B64" s="2" t="str">
        <f>'Posted Sales Invoice Lines'!B64</f>
        <v>10540-03</v>
      </c>
      <c r="C64" s="2" t="str">
        <f>'Posted Sales Invoice Lines'!C64</f>
        <v>PFG Louisville TN</v>
      </c>
      <c r="D64" s="2" t="str">
        <f>'Posted Sales Invoice Lines'!E64</f>
        <v>F53094</v>
      </c>
      <c r="E64" s="2" t="str">
        <f>'Posted Sales Invoice Lines'!F64</f>
        <v>Cs. 6" Italian 12-6pks</v>
      </c>
      <c r="F64" s="3">
        <f>'Posted Sales Invoice Lines'!G64</f>
        <v>46028</v>
      </c>
      <c r="G64" s="9">
        <f>'Posted Sales Invoice Lines'!L64</f>
        <v>24</v>
      </c>
      <c r="H64" s="8">
        <f>'Posted Sales Invoice Lines'!N64</f>
        <v>35</v>
      </c>
      <c r="I64" s="8">
        <f>'Posted Sales Invoice Lines'!O64</f>
        <v>840</v>
      </c>
    </row>
    <row r="65" spans="1:9" x14ac:dyDescent="0.25">
      <c r="A65" s="2" t="str">
        <f>'Posted Sales Invoice Lines'!A65</f>
        <v>PS-INV177204</v>
      </c>
      <c r="B65" s="2" t="str">
        <f>'Posted Sales Invoice Lines'!B65</f>
        <v>10540-03</v>
      </c>
      <c r="C65" s="2" t="str">
        <f>'Posted Sales Invoice Lines'!C65</f>
        <v>PFG Louisville TN</v>
      </c>
      <c r="D65" s="2" t="str">
        <f>'Posted Sales Invoice Lines'!E65</f>
        <v>F51030</v>
      </c>
      <c r="E65" s="2" t="str">
        <f>'Posted Sales Invoice Lines'!F65</f>
        <v>Cs. Sour Dough Hearth 8lvs</v>
      </c>
      <c r="F65" s="3">
        <f>'Posted Sales Invoice Lines'!G65</f>
        <v>46028</v>
      </c>
      <c r="G65" s="9">
        <f>'Posted Sales Invoice Lines'!L65</f>
        <v>32</v>
      </c>
      <c r="H65" s="8">
        <f>'Posted Sales Invoice Lines'!N65</f>
        <v>43.82</v>
      </c>
      <c r="I65" s="8">
        <f>'Posted Sales Invoice Lines'!O65</f>
        <v>1402.24</v>
      </c>
    </row>
    <row r="66" spans="1:9" x14ac:dyDescent="0.25">
      <c r="A66" s="2" t="str">
        <f>'Posted Sales Invoice Lines'!A66</f>
        <v>PS-INV177204</v>
      </c>
      <c r="B66" s="2" t="str">
        <f>'Posted Sales Invoice Lines'!B66</f>
        <v>10540-03</v>
      </c>
      <c r="C66" s="2" t="str">
        <f>'Posted Sales Invoice Lines'!C66</f>
        <v>PFG Louisville TN</v>
      </c>
      <c r="D66" s="2" t="str">
        <f>'Posted Sales Invoice Lines'!E66</f>
        <v>F53072</v>
      </c>
      <c r="E66" s="2" t="str">
        <f>'Posted Sales Invoice Lines'!F66</f>
        <v>Cs. 5" Challah Bun 8-8pk</v>
      </c>
      <c r="F66" s="3">
        <f>'Posted Sales Invoice Lines'!G66</f>
        <v>46028</v>
      </c>
      <c r="G66" s="9">
        <f>'Posted Sales Invoice Lines'!L66</f>
        <v>12</v>
      </c>
      <c r="H66" s="8">
        <f>'Posted Sales Invoice Lines'!N66</f>
        <v>38.07</v>
      </c>
      <c r="I66" s="8">
        <f>'Posted Sales Invoice Lines'!O66</f>
        <v>456.84</v>
      </c>
    </row>
    <row r="67" spans="1:9" x14ac:dyDescent="0.25">
      <c r="A67" s="2" t="str">
        <f>'Posted Sales Invoice Lines'!A67</f>
        <v>PS-INV177204</v>
      </c>
      <c r="B67" s="2" t="str">
        <f>'Posted Sales Invoice Lines'!B67</f>
        <v>10540-03</v>
      </c>
      <c r="C67" s="2" t="str">
        <f>'Posted Sales Invoice Lines'!C67</f>
        <v>PFG Louisville TN</v>
      </c>
      <c r="D67" s="2" t="str">
        <f>'Posted Sales Invoice Lines'!E67</f>
        <v>F53100</v>
      </c>
      <c r="E67" s="2" t="str">
        <f>'Posted Sales Invoice Lines'!F67</f>
        <v>Cs. Hot Dog pl/sl 12-8pk</v>
      </c>
      <c r="F67" s="3">
        <f>'Posted Sales Invoice Lines'!G67</f>
        <v>46028</v>
      </c>
      <c r="G67" s="9">
        <f>'Posted Sales Invoice Lines'!L67</f>
        <v>40</v>
      </c>
      <c r="H67" s="8">
        <f>'Posted Sales Invoice Lines'!N67</f>
        <v>36.18</v>
      </c>
      <c r="I67" s="8">
        <f>'Posted Sales Invoice Lines'!O67</f>
        <v>1447.2</v>
      </c>
    </row>
    <row r="68" spans="1:9" x14ac:dyDescent="0.25">
      <c r="A68" s="2" t="str">
        <f>'Posted Sales Invoice Lines'!A68</f>
        <v>PS-INV177204</v>
      </c>
      <c r="B68" s="2" t="str">
        <f>'Posted Sales Invoice Lines'!B68</f>
        <v>10540-03</v>
      </c>
      <c r="C68" s="2" t="str">
        <f>'Posted Sales Invoice Lines'!C68</f>
        <v>PFG Louisville TN</v>
      </c>
      <c r="D68" s="2" t="str">
        <f>'Posted Sales Invoice Lines'!E68</f>
        <v>F51034</v>
      </c>
      <c r="E68" s="2" t="str">
        <f>'Posted Sales Invoice Lines'!F68</f>
        <v>Cs. Sour Dough Hearth 5/8" 8lvs</v>
      </c>
      <c r="F68" s="3">
        <f>'Posted Sales Invoice Lines'!G68</f>
        <v>46028</v>
      </c>
      <c r="G68" s="9">
        <f>'Posted Sales Invoice Lines'!L68</f>
        <v>64</v>
      </c>
      <c r="H68" s="8">
        <f>'Posted Sales Invoice Lines'!N68</f>
        <v>43.82</v>
      </c>
      <c r="I68" s="8">
        <f>'Posted Sales Invoice Lines'!O68</f>
        <v>2804.48</v>
      </c>
    </row>
    <row r="69" spans="1:9" x14ac:dyDescent="0.25">
      <c r="A69" s="2" t="str">
        <f>'Posted Sales Invoice Lines'!A69</f>
        <v>PS-INV177204</v>
      </c>
      <c r="B69" s="2" t="str">
        <f>'Posted Sales Invoice Lines'!B69</f>
        <v>10540-03</v>
      </c>
      <c r="C69" s="2" t="str">
        <f>'Posted Sales Invoice Lines'!C69</f>
        <v>PFG Louisville TN</v>
      </c>
      <c r="D69" s="2" t="str">
        <f>'Posted Sales Invoice Lines'!E69</f>
        <v>F51200</v>
      </c>
      <c r="E69" s="2" t="str">
        <f>'Posted Sales Invoice Lines'!F69</f>
        <v>Cs. Jalapeno Corn Hearth 5/8" 8lvs</v>
      </c>
      <c r="F69" s="3">
        <f>'Posted Sales Invoice Lines'!G69</f>
        <v>46028</v>
      </c>
      <c r="G69" s="9">
        <f>'Posted Sales Invoice Lines'!L69</f>
        <v>8</v>
      </c>
      <c r="H69" s="8">
        <f>'Posted Sales Invoice Lines'!N69</f>
        <v>60.7</v>
      </c>
      <c r="I69" s="8">
        <f>'Posted Sales Invoice Lines'!O69</f>
        <v>485.6</v>
      </c>
    </row>
    <row r="70" spans="1:9" x14ac:dyDescent="0.25">
      <c r="A70" s="2" t="str">
        <f>'Posted Sales Invoice Lines'!A70</f>
        <v>PS-INV177303</v>
      </c>
      <c r="B70" s="2" t="str">
        <f>'Posted Sales Invoice Lines'!B70</f>
        <v>10547</v>
      </c>
      <c r="C70" s="2" t="str">
        <f>'Posted Sales Invoice Lines'!C70</f>
        <v>PFG Hale TN</v>
      </c>
      <c r="D70" s="2" t="str">
        <f>'Posted Sales Invoice Lines'!E70</f>
        <v>F51024</v>
      </c>
      <c r="E70" s="2" t="str">
        <f>'Posted Sales Invoice Lines'!F70</f>
        <v>Cs. Marble Rye 5/8" 8lvs</v>
      </c>
      <c r="F70" s="3">
        <f>'Posted Sales Invoice Lines'!G70</f>
        <v>46030</v>
      </c>
      <c r="G70" s="9">
        <f>'Posted Sales Invoice Lines'!L70</f>
        <v>28</v>
      </c>
      <c r="H70" s="8">
        <f>'Posted Sales Invoice Lines'!N70</f>
        <v>46.25</v>
      </c>
      <c r="I70" s="8">
        <f>'Posted Sales Invoice Lines'!O70</f>
        <v>1295</v>
      </c>
    </row>
    <row r="71" spans="1:9" x14ac:dyDescent="0.25">
      <c r="A71" s="2" t="str">
        <f>'Posted Sales Invoice Lines'!A71</f>
        <v>PS-INV177303</v>
      </c>
      <c r="B71" s="2" t="str">
        <f>'Posted Sales Invoice Lines'!B71</f>
        <v>10547</v>
      </c>
      <c r="C71" s="2" t="str">
        <f>'Posted Sales Invoice Lines'!C71</f>
        <v>PFG Hale TN</v>
      </c>
      <c r="D71" s="2" t="str">
        <f>'Posted Sales Invoice Lines'!E71</f>
        <v>F53001</v>
      </c>
      <c r="E71" s="2" t="str">
        <f>'Posted Sales Invoice Lines'!F71</f>
        <v>Cs. 4" Brioche Bun 8-12pk</v>
      </c>
      <c r="F71" s="3">
        <f>'Posted Sales Invoice Lines'!G71</f>
        <v>46030</v>
      </c>
      <c r="G71" s="9">
        <f>'Posted Sales Invoice Lines'!L71</f>
        <v>24</v>
      </c>
      <c r="H71" s="8">
        <f>'Posted Sales Invoice Lines'!N71</f>
        <v>42</v>
      </c>
      <c r="I71" s="8">
        <f>'Posted Sales Invoice Lines'!O71</f>
        <v>1008</v>
      </c>
    </row>
    <row r="72" spans="1:9" x14ac:dyDescent="0.25">
      <c r="A72" s="2" t="str">
        <f>'Posted Sales Invoice Lines'!A72</f>
        <v>PS-INV177303</v>
      </c>
      <c r="B72" s="2" t="str">
        <f>'Posted Sales Invoice Lines'!B72</f>
        <v>10547</v>
      </c>
      <c r="C72" s="2" t="str">
        <f>'Posted Sales Invoice Lines'!C72</f>
        <v>PFG Hale TN</v>
      </c>
      <c r="D72" s="2" t="str">
        <f>'Posted Sales Invoice Lines'!E72</f>
        <v>F530421</v>
      </c>
      <c r="E72" s="2" t="str">
        <f>'Posted Sales Invoice Lines'!F72</f>
        <v>Cs. 4.5" Challah Buns 6-12pk.</v>
      </c>
      <c r="F72" s="3">
        <f>'Posted Sales Invoice Lines'!G72</f>
        <v>46030</v>
      </c>
      <c r="G72" s="9">
        <f>'Posted Sales Invoice Lines'!L72</f>
        <v>448</v>
      </c>
      <c r="H72" s="8">
        <f>'Posted Sales Invoice Lines'!N72</f>
        <v>38.299999999999997</v>
      </c>
      <c r="I72" s="8">
        <f>'Posted Sales Invoice Lines'!O72</f>
        <v>17158.400000000001</v>
      </c>
    </row>
    <row r="73" spans="1:9" x14ac:dyDescent="0.25">
      <c r="A73" s="2" t="str">
        <f>'Posted Sales Invoice Lines'!A73</f>
        <v>PS-INV177303</v>
      </c>
      <c r="B73" s="2" t="str">
        <f>'Posted Sales Invoice Lines'!B73</f>
        <v>10547</v>
      </c>
      <c r="C73" s="2" t="str">
        <f>'Posted Sales Invoice Lines'!C73</f>
        <v>PFG Hale TN</v>
      </c>
      <c r="D73" s="2" t="str">
        <f>'Posted Sales Invoice Lines'!E73</f>
        <v>F53094</v>
      </c>
      <c r="E73" s="2" t="str">
        <f>'Posted Sales Invoice Lines'!F73</f>
        <v>Cs. 6" Italian 12-6pks</v>
      </c>
      <c r="F73" s="3">
        <f>'Posted Sales Invoice Lines'!G73</f>
        <v>46030</v>
      </c>
      <c r="G73" s="9">
        <f>'Posted Sales Invoice Lines'!L73</f>
        <v>84</v>
      </c>
      <c r="H73" s="8">
        <f>'Posted Sales Invoice Lines'!N73</f>
        <v>36.47</v>
      </c>
      <c r="I73" s="8">
        <f>'Posted Sales Invoice Lines'!O73</f>
        <v>3063.48</v>
      </c>
    </row>
    <row r="74" spans="1:9" x14ac:dyDescent="0.25">
      <c r="A74" s="2" t="str">
        <f>'Posted Sales Invoice Lines'!A74</f>
        <v>PS-INV177303</v>
      </c>
      <c r="B74" s="2" t="str">
        <f>'Posted Sales Invoice Lines'!B74</f>
        <v>10547</v>
      </c>
      <c r="C74" s="2" t="str">
        <f>'Posted Sales Invoice Lines'!C74</f>
        <v>PFG Hale TN</v>
      </c>
      <c r="D74" s="2" t="str">
        <f>'Posted Sales Invoice Lines'!E74</f>
        <v>F53000</v>
      </c>
      <c r="E74" s="2" t="str">
        <f>'Posted Sales Invoice Lines'!F74</f>
        <v>Cs. 4" Hamburger Bun 8-12pk</v>
      </c>
      <c r="F74" s="3">
        <f>'Posted Sales Invoice Lines'!G74</f>
        <v>46030</v>
      </c>
      <c r="G74" s="9">
        <f>'Posted Sales Invoice Lines'!L74</f>
        <v>24</v>
      </c>
      <c r="H74" s="8">
        <f>'Posted Sales Invoice Lines'!N74</f>
        <v>33.25</v>
      </c>
      <c r="I74" s="8">
        <f>'Posted Sales Invoice Lines'!O74</f>
        <v>798</v>
      </c>
    </row>
    <row r="75" spans="1:9" x14ac:dyDescent="0.25">
      <c r="A75" s="2" t="str">
        <f>'Posted Sales Invoice Lines'!A75</f>
        <v>PS-INV177303</v>
      </c>
      <c r="B75" s="2" t="str">
        <f>'Posted Sales Invoice Lines'!B75</f>
        <v>10547</v>
      </c>
      <c r="C75" s="2" t="str">
        <f>'Posted Sales Invoice Lines'!C75</f>
        <v>PFG Hale TN</v>
      </c>
      <c r="D75" s="2" t="str">
        <f>'Posted Sales Invoice Lines'!E75</f>
        <v>F53098</v>
      </c>
      <c r="E75" s="2" t="str">
        <f>'Posted Sales Invoice Lines'!F75</f>
        <v>Cs. Onion Club 12-6pk</v>
      </c>
      <c r="F75" s="3">
        <f>'Posted Sales Invoice Lines'!G75</f>
        <v>46030</v>
      </c>
      <c r="G75" s="9">
        <f>'Posted Sales Invoice Lines'!L75</f>
        <v>60</v>
      </c>
      <c r="H75" s="8">
        <f>'Posted Sales Invoice Lines'!N75</f>
        <v>35.75</v>
      </c>
      <c r="I75" s="8">
        <f>'Posted Sales Invoice Lines'!O75</f>
        <v>2145</v>
      </c>
    </row>
    <row r="76" spans="1:9" x14ac:dyDescent="0.25">
      <c r="A76" s="2" t="str">
        <f>'Posted Sales Invoice Lines'!A76</f>
        <v>PS-INV177321</v>
      </c>
      <c r="B76" s="2" t="str">
        <f>'Posted Sales Invoice Lines'!B76</f>
        <v>20334</v>
      </c>
      <c r="C76" s="2" t="str">
        <f>'Posted Sales Invoice Lines'!C76</f>
        <v>Sysco Atlanta</v>
      </c>
      <c r="D76" s="2" t="str">
        <f>'Posted Sales Invoice Lines'!E76</f>
        <v>F53106</v>
      </c>
      <c r="E76" s="2" t="str">
        <f>'Posted Sales Invoice Lines'!F76</f>
        <v>Cs. Large Hot Dog 12-6pk</v>
      </c>
      <c r="F76" s="3">
        <f>'Posted Sales Invoice Lines'!G76</f>
        <v>46030</v>
      </c>
      <c r="G76" s="9">
        <f>'Posted Sales Invoice Lines'!L76</f>
        <v>8</v>
      </c>
      <c r="H76" s="8">
        <f>'Posted Sales Invoice Lines'!N76</f>
        <v>36.5</v>
      </c>
      <c r="I76" s="8">
        <f>'Posted Sales Invoice Lines'!O76</f>
        <v>292</v>
      </c>
    </row>
    <row r="77" spans="1:9" x14ac:dyDescent="0.25">
      <c r="A77" s="2" t="str">
        <f>'Posted Sales Invoice Lines'!A77</f>
        <v>PS-INV177321</v>
      </c>
      <c r="B77" s="2" t="str">
        <f>'Posted Sales Invoice Lines'!B77</f>
        <v>20334</v>
      </c>
      <c r="C77" s="2" t="str">
        <f>'Posted Sales Invoice Lines'!C77</f>
        <v>Sysco Atlanta</v>
      </c>
      <c r="D77" s="2" t="str">
        <f>'Posted Sales Invoice Lines'!E77</f>
        <v>F53116</v>
      </c>
      <c r="E77" s="2" t="str">
        <f>'Posted Sales Invoice Lines'!F77</f>
        <v>Cs. 7" French Hinged 12</v>
      </c>
      <c r="F77" s="3">
        <f>'Posted Sales Invoice Lines'!G77</f>
        <v>46030</v>
      </c>
      <c r="G77" s="9">
        <f>'Posted Sales Invoice Lines'!L77</f>
        <v>84</v>
      </c>
      <c r="H77" s="8">
        <f>'Posted Sales Invoice Lines'!N77</f>
        <v>31.42</v>
      </c>
      <c r="I77" s="8">
        <f>'Posted Sales Invoice Lines'!O77</f>
        <v>2639.28</v>
      </c>
    </row>
    <row r="78" spans="1:9" x14ac:dyDescent="0.25">
      <c r="A78" s="2" t="str">
        <f>'Posted Sales Invoice Lines'!A78</f>
        <v>PS-INV177321</v>
      </c>
      <c r="B78" s="2" t="str">
        <f>'Posted Sales Invoice Lines'!B78</f>
        <v>20334</v>
      </c>
      <c r="C78" s="2" t="str">
        <f>'Posted Sales Invoice Lines'!C78</f>
        <v>Sysco Atlanta</v>
      </c>
      <c r="D78" s="2" t="str">
        <f>'Posted Sales Invoice Lines'!E78</f>
        <v>F53087</v>
      </c>
      <c r="E78" s="2" t="str">
        <f>'Posted Sales Invoice Lines'!F78</f>
        <v>Cs. 3.5" Challah Bun 8-12 pk</v>
      </c>
      <c r="F78" s="3">
        <f>'Posted Sales Invoice Lines'!G78</f>
        <v>46030</v>
      </c>
      <c r="G78" s="9">
        <f>'Posted Sales Invoice Lines'!L78</f>
        <v>112</v>
      </c>
      <c r="H78" s="8">
        <f>'Posted Sales Invoice Lines'!N78</f>
        <v>34</v>
      </c>
      <c r="I78" s="8">
        <f>'Posted Sales Invoice Lines'!O78</f>
        <v>3808</v>
      </c>
    </row>
    <row r="79" spans="1:9" x14ac:dyDescent="0.25">
      <c r="A79" s="2" t="str">
        <f>'Posted Sales Invoice Lines'!A79</f>
        <v>PS-INV177321</v>
      </c>
      <c r="B79" s="2" t="str">
        <f>'Posted Sales Invoice Lines'!B79</f>
        <v>20334</v>
      </c>
      <c r="C79" s="2" t="str">
        <f>'Posted Sales Invoice Lines'!C79</f>
        <v>Sysco Atlanta</v>
      </c>
      <c r="D79" s="2" t="str">
        <f>'Posted Sales Invoice Lines'!E79</f>
        <v>F51024</v>
      </c>
      <c r="E79" s="2" t="str">
        <f>'Posted Sales Invoice Lines'!F79</f>
        <v>Cs. Marble Rye 5/8" 8lvs</v>
      </c>
      <c r="F79" s="3">
        <f>'Posted Sales Invoice Lines'!G79</f>
        <v>46030</v>
      </c>
      <c r="G79" s="9">
        <f>'Posted Sales Invoice Lines'!L79</f>
        <v>24</v>
      </c>
      <c r="H79" s="8">
        <f>'Posted Sales Invoice Lines'!N79</f>
        <v>43.26</v>
      </c>
      <c r="I79" s="8">
        <f>'Posted Sales Invoice Lines'!O79</f>
        <v>1038.24</v>
      </c>
    </row>
    <row r="80" spans="1:9" x14ac:dyDescent="0.25">
      <c r="A80" s="2" t="str">
        <f>'Posted Sales Invoice Lines'!A80</f>
        <v>PS-INV177321</v>
      </c>
      <c r="B80" s="2" t="str">
        <f>'Posted Sales Invoice Lines'!B80</f>
        <v>20334</v>
      </c>
      <c r="C80" s="2" t="str">
        <f>'Posted Sales Invoice Lines'!C80</f>
        <v>Sysco Atlanta</v>
      </c>
      <c r="D80" s="2" t="str">
        <f>'Posted Sales Invoice Lines'!E80</f>
        <v>F53001</v>
      </c>
      <c r="E80" s="2" t="str">
        <f>'Posted Sales Invoice Lines'!F80</f>
        <v>Cs. 4" Brioche Bun 8-12pk</v>
      </c>
      <c r="F80" s="3">
        <f>'Posted Sales Invoice Lines'!G80</f>
        <v>46030</v>
      </c>
      <c r="G80" s="9">
        <f>'Posted Sales Invoice Lines'!L80</f>
        <v>28</v>
      </c>
      <c r="H80" s="8">
        <f>'Posted Sales Invoice Lines'!N80</f>
        <v>43.36</v>
      </c>
      <c r="I80" s="8">
        <f>'Posted Sales Invoice Lines'!O80</f>
        <v>1214.08</v>
      </c>
    </row>
    <row r="81" spans="1:9" x14ac:dyDescent="0.25">
      <c r="A81" s="2" t="str">
        <f>'Posted Sales Invoice Lines'!A81</f>
        <v>PS-INV177321</v>
      </c>
      <c r="B81" s="2" t="str">
        <f>'Posted Sales Invoice Lines'!B81</f>
        <v>20334</v>
      </c>
      <c r="C81" s="2" t="str">
        <f>'Posted Sales Invoice Lines'!C81</f>
        <v>Sysco Atlanta</v>
      </c>
      <c r="D81" s="2" t="str">
        <f>'Posted Sales Invoice Lines'!E81</f>
        <v>F53033</v>
      </c>
      <c r="E81" s="2" t="str">
        <f>'Posted Sales Invoice Lines'!F81</f>
        <v>Cs. 4" Parker House 8-12pk</v>
      </c>
      <c r="F81" s="3">
        <f>'Posted Sales Invoice Lines'!G81</f>
        <v>46030</v>
      </c>
      <c r="G81" s="9">
        <f>'Posted Sales Invoice Lines'!L81</f>
        <v>28</v>
      </c>
      <c r="H81" s="8">
        <f>'Posted Sales Invoice Lines'!N81</f>
        <v>39.53</v>
      </c>
      <c r="I81" s="8">
        <f>'Posted Sales Invoice Lines'!O81</f>
        <v>1106.8399999999999</v>
      </c>
    </row>
    <row r="82" spans="1:9" x14ac:dyDescent="0.25">
      <c r="A82" s="2" t="str">
        <f>'Posted Sales Invoice Lines'!A82</f>
        <v>PS-INV177321</v>
      </c>
      <c r="B82" s="2" t="str">
        <f>'Posted Sales Invoice Lines'!B82</f>
        <v>20334</v>
      </c>
      <c r="C82" s="2" t="str">
        <f>'Posted Sales Invoice Lines'!C82</f>
        <v>Sysco Atlanta</v>
      </c>
      <c r="D82" s="2" t="str">
        <f>'Posted Sales Invoice Lines'!E82</f>
        <v>F51157</v>
      </c>
      <c r="E82" s="2" t="str">
        <f>'Posted Sales Invoice Lines'!F82</f>
        <v>Cs. Challah Hearth 7/8" 8lvs</v>
      </c>
      <c r="F82" s="3">
        <f>'Posted Sales Invoice Lines'!G82</f>
        <v>46030</v>
      </c>
      <c r="G82" s="9">
        <f>'Posted Sales Invoice Lines'!L82</f>
        <v>18</v>
      </c>
      <c r="H82" s="8">
        <f>'Posted Sales Invoice Lines'!N82</f>
        <v>42.02</v>
      </c>
      <c r="I82" s="8">
        <f>'Posted Sales Invoice Lines'!O82</f>
        <v>756.36</v>
      </c>
    </row>
    <row r="83" spans="1:9" x14ac:dyDescent="0.25">
      <c r="A83" s="2" t="str">
        <f>'Posted Sales Invoice Lines'!A83</f>
        <v>PS-INV177321</v>
      </c>
      <c r="B83" s="2" t="str">
        <f>'Posted Sales Invoice Lines'!B83</f>
        <v>20334</v>
      </c>
      <c r="C83" s="2" t="str">
        <f>'Posted Sales Invoice Lines'!C83</f>
        <v>Sysco Atlanta</v>
      </c>
      <c r="D83" s="2" t="str">
        <f>'Posted Sales Invoice Lines'!E83</f>
        <v>F53140</v>
      </c>
      <c r="E83" s="2" t="str">
        <f>'Posted Sales Invoice Lines'!F83</f>
        <v>Cs. Knuckies 8" White 12-6pk</v>
      </c>
      <c r="F83" s="3">
        <f>'Posted Sales Invoice Lines'!G83</f>
        <v>46030</v>
      </c>
      <c r="G83" s="9">
        <f>'Posted Sales Invoice Lines'!L83</f>
        <v>40</v>
      </c>
      <c r="H83" s="8">
        <f>'Posted Sales Invoice Lines'!N83</f>
        <v>41</v>
      </c>
      <c r="I83" s="8">
        <f>'Posted Sales Invoice Lines'!O83</f>
        <v>1640</v>
      </c>
    </row>
    <row r="84" spans="1:9" x14ac:dyDescent="0.25">
      <c r="A84" s="2" t="str">
        <f>'Posted Sales Invoice Lines'!A84</f>
        <v>PS-INV178030</v>
      </c>
      <c r="B84" s="2" t="str">
        <f>'Posted Sales Invoice Lines'!B84</f>
        <v>12989</v>
      </c>
      <c r="C84" s="2" t="str">
        <f>'Posted Sales Invoice Lines'!C84</f>
        <v>Sysco Little Rock Arkansas</v>
      </c>
      <c r="D84" s="2" t="str">
        <f>'Posted Sales Invoice Lines'!E84</f>
        <v>F53116</v>
      </c>
      <c r="E84" s="2" t="str">
        <f>'Posted Sales Invoice Lines'!F84</f>
        <v>Cs. 7" French Hinged 12</v>
      </c>
      <c r="F84" s="3">
        <f>'Posted Sales Invoice Lines'!G84</f>
        <v>46037</v>
      </c>
      <c r="G84" s="9">
        <f>'Posted Sales Invoice Lines'!L84</f>
        <v>28</v>
      </c>
      <c r="H84" s="8">
        <f>'Posted Sales Invoice Lines'!N84</f>
        <v>35.75</v>
      </c>
      <c r="I84" s="8">
        <f>'Posted Sales Invoice Lines'!O84</f>
        <v>1001</v>
      </c>
    </row>
    <row r="85" spans="1:9" x14ac:dyDescent="0.25">
      <c r="A85" s="2" t="str">
        <f>'Posted Sales Invoice Lines'!A85</f>
        <v>PS-INV178030</v>
      </c>
      <c r="B85" s="2" t="str">
        <f>'Posted Sales Invoice Lines'!B85</f>
        <v>12989</v>
      </c>
      <c r="C85" s="2" t="str">
        <f>'Posted Sales Invoice Lines'!C85</f>
        <v>Sysco Little Rock Arkansas</v>
      </c>
      <c r="D85" s="2" t="str">
        <f>'Posted Sales Invoice Lines'!E85</f>
        <v>F53001</v>
      </c>
      <c r="E85" s="2" t="str">
        <f>'Posted Sales Invoice Lines'!F85</f>
        <v>Cs. 4" Brioche Bun 8-12pk</v>
      </c>
      <c r="F85" s="3">
        <f>'Posted Sales Invoice Lines'!G85</f>
        <v>46037</v>
      </c>
      <c r="G85" s="9">
        <f>'Posted Sales Invoice Lines'!L85</f>
        <v>28</v>
      </c>
      <c r="H85" s="8">
        <f>'Posted Sales Invoice Lines'!N85</f>
        <v>50.6</v>
      </c>
      <c r="I85" s="8">
        <f>'Posted Sales Invoice Lines'!O85</f>
        <v>1416.8</v>
      </c>
    </row>
    <row r="86" spans="1:9" x14ac:dyDescent="0.25">
      <c r="A86" s="2" t="str">
        <f>'Posted Sales Invoice Lines'!A86</f>
        <v>PS-INV178030</v>
      </c>
      <c r="B86" s="2" t="str">
        <f>'Posted Sales Invoice Lines'!B86</f>
        <v>12989</v>
      </c>
      <c r="C86" s="2" t="str">
        <f>'Posted Sales Invoice Lines'!C86</f>
        <v>Sysco Little Rock Arkansas</v>
      </c>
      <c r="D86" s="2" t="str">
        <f>'Posted Sales Invoice Lines'!E86</f>
        <v>F53115</v>
      </c>
      <c r="E86" s="2" t="str">
        <f>'Posted Sales Invoice Lines'!F86</f>
        <v>Cs. 7" French Unsliced 12-6pk</v>
      </c>
      <c r="F86" s="3">
        <f>'Posted Sales Invoice Lines'!G86</f>
        <v>46037</v>
      </c>
      <c r="G86" s="9">
        <f>'Posted Sales Invoice Lines'!L86</f>
        <v>224</v>
      </c>
      <c r="H86" s="8">
        <f>'Posted Sales Invoice Lines'!N86</f>
        <v>35</v>
      </c>
      <c r="I86" s="8">
        <f>'Posted Sales Invoice Lines'!O86</f>
        <v>7840</v>
      </c>
    </row>
    <row r="87" spans="1:9" x14ac:dyDescent="0.25">
      <c r="A87" s="2" t="str">
        <f>'Posted Sales Invoice Lines'!A87</f>
        <v>PS-INV178033</v>
      </c>
      <c r="B87" s="2" t="str">
        <f>'Posted Sales Invoice Lines'!B87</f>
        <v>13092</v>
      </c>
      <c r="C87" s="2" t="str">
        <f>'Posted Sales Invoice Lines'!C87</f>
        <v>Sysco WEST COAST</v>
      </c>
      <c r="D87" s="2" t="str">
        <f>'Posted Sales Invoice Lines'!E87</f>
        <v>F51137</v>
      </c>
      <c r="E87" s="2" t="str">
        <f>'Posted Sales Invoice Lines'!F87</f>
        <v>Cs. Texas Toast 3/4" 12lvs</v>
      </c>
      <c r="F87" s="3">
        <f>'Posted Sales Invoice Lines'!G87</f>
        <v>46035</v>
      </c>
      <c r="G87" s="9">
        <f>'Posted Sales Invoice Lines'!L87</f>
        <v>336</v>
      </c>
      <c r="H87" s="8">
        <f>'Posted Sales Invoice Lines'!N87</f>
        <v>35</v>
      </c>
      <c r="I87" s="8">
        <f>'Posted Sales Invoice Lines'!O87</f>
        <v>11760</v>
      </c>
    </row>
    <row r="88" spans="1:9" x14ac:dyDescent="0.25">
      <c r="A88" s="2" t="str">
        <f>'Posted Sales Invoice Lines'!A88</f>
        <v>PS-INV178033</v>
      </c>
      <c r="B88" s="2" t="str">
        <f>'Posted Sales Invoice Lines'!B88</f>
        <v>13092</v>
      </c>
      <c r="C88" s="2" t="str">
        <f>'Posted Sales Invoice Lines'!C88</f>
        <v>Sysco WEST COAST</v>
      </c>
      <c r="D88" s="2" t="str">
        <f>'Posted Sales Invoice Lines'!E88</f>
        <v>F530491</v>
      </c>
      <c r="E88" s="2" t="str">
        <f>'Posted Sales Invoice Lines'!F88</f>
        <v>Cs. 4.5 Brioche Bun 6-12pk</v>
      </c>
      <c r="F88" s="3">
        <f>'Posted Sales Invoice Lines'!G88</f>
        <v>46035</v>
      </c>
      <c r="G88" s="9">
        <f>'Posted Sales Invoice Lines'!L88</f>
        <v>112</v>
      </c>
      <c r="H88" s="8">
        <f>'Posted Sales Invoice Lines'!N88</f>
        <v>39.65</v>
      </c>
      <c r="I88" s="8">
        <f>'Posted Sales Invoice Lines'!O88</f>
        <v>4440.8</v>
      </c>
    </row>
    <row r="89" spans="1:9" x14ac:dyDescent="0.25">
      <c r="A89" s="2" t="str">
        <f>'Posted Sales Invoice Lines'!A89</f>
        <v>PS-INV178270</v>
      </c>
      <c r="B89" s="2" t="str">
        <f>'Posted Sales Invoice Lines'!B89</f>
        <v>10540-02</v>
      </c>
      <c r="C89" s="2" t="str">
        <f>'Posted Sales Invoice Lines'!C89</f>
        <v>PFG Valdosta GA</v>
      </c>
      <c r="D89" s="2" t="str">
        <f>'Posted Sales Invoice Lines'!E89</f>
        <v>F53001</v>
      </c>
      <c r="E89" s="2" t="str">
        <f>'Posted Sales Invoice Lines'!F89</f>
        <v>Cs. 4" Brioche Bun 8-12pk</v>
      </c>
      <c r="F89" s="3">
        <f>'Posted Sales Invoice Lines'!G89</f>
        <v>46036</v>
      </c>
      <c r="G89" s="9">
        <f>'Posted Sales Invoice Lines'!L89</f>
        <v>40</v>
      </c>
      <c r="H89" s="8">
        <f>'Posted Sales Invoice Lines'!N89</f>
        <v>42.6</v>
      </c>
      <c r="I89" s="8">
        <f>'Posted Sales Invoice Lines'!O89</f>
        <v>1704</v>
      </c>
    </row>
    <row r="90" spans="1:9" x14ac:dyDescent="0.25">
      <c r="A90" s="2" t="str">
        <f>'Posted Sales Invoice Lines'!A90</f>
        <v>PS-INV178270</v>
      </c>
      <c r="B90" s="2" t="str">
        <f>'Posted Sales Invoice Lines'!B90</f>
        <v>10540-02</v>
      </c>
      <c r="C90" s="2" t="str">
        <f>'Posted Sales Invoice Lines'!C90</f>
        <v>PFG Valdosta GA</v>
      </c>
      <c r="D90" s="2" t="str">
        <f>'Posted Sales Invoice Lines'!E90</f>
        <v>F54301</v>
      </c>
      <c r="E90" s="2" t="str">
        <f>'Posted Sales Invoice Lines'!F90</f>
        <v>Cs. Potato Roll Sliced 12-16pk</v>
      </c>
      <c r="F90" s="3">
        <f>'Posted Sales Invoice Lines'!G90</f>
        <v>46036</v>
      </c>
      <c r="G90" s="9">
        <f>'Posted Sales Invoice Lines'!L90</f>
        <v>36</v>
      </c>
      <c r="H90" s="8">
        <f>'Posted Sales Invoice Lines'!N90</f>
        <v>41.15</v>
      </c>
      <c r="I90" s="8">
        <f>'Posted Sales Invoice Lines'!O90</f>
        <v>1481.4</v>
      </c>
    </row>
    <row r="91" spans="1:9" x14ac:dyDescent="0.25">
      <c r="A91" s="2" t="str">
        <f>'Posted Sales Invoice Lines'!A91</f>
        <v>PS-INV178270</v>
      </c>
      <c r="B91" s="2" t="str">
        <f>'Posted Sales Invoice Lines'!B91</f>
        <v>10540-02</v>
      </c>
      <c r="C91" s="2" t="str">
        <f>'Posted Sales Invoice Lines'!C91</f>
        <v>PFG Valdosta GA</v>
      </c>
      <c r="D91" s="2" t="str">
        <f>'Posted Sales Invoice Lines'!E91</f>
        <v>F51000</v>
      </c>
      <c r="E91" s="2" t="str">
        <f>'Posted Sales Invoice Lines'!F91</f>
        <v>Cs. Rye Bread 8lvs</v>
      </c>
      <c r="F91" s="3">
        <f>'Posted Sales Invoice Lines'!G91</f>
        <v>46036</v>
      </c>
      <c r="G91" s="9">
        <f>'Posted Sales Invoice Lines'!L91</f>
        <v>4</v>
      </c>
      <c r="H91" s="8">
        <f>'Posted Sales Invoice Lines'!N91</f>
        <v>41.6</v>
      </c>
      <c r="I91" s="8">
        <f>'Posted Sales Invoice Lines'!O91</f>
        <v>166.4</v>
      </c>
    </row>
    <row r="92" spans="1:9" x14ac:dyDescent="0.25">
      <c r="A92" s="2" t="str">
        <f>'Posted Sales Invoice Lines'!A92</f>
        <v>PS-INV178288</v>
      </c>
      <c r="B92" s="2" t="str">
        <f>'Posted Sales Invoice Lines'!B92</f>
        <v>11394</v>
      </c>
      <c r="C92" s="2" t="str">
        <f>'Posted Sales Invoice Lines'!C92</f>
        <v>La Cosecha Food Service</v>
      </c>
      <c r="D92" s="2" t="str">
        <f>'Posted Sales Invoice Lines'!E92</f>
        <v>F53003</v>
      </c>
      <c r="E92" s="2" t="str">
        <f>'Posted Sales Invoice Lines'!F92</f>
        <v>Cs. 4" Unseeded Challah Bun 8-12pk</v>
      </c>
      <c r="F92" s="3">
        <f>'Posted Sales Invoice Lines'!G92</f>
        <v>46036</v>
      </c>
      <c r="G92" s="9">
        <f>'Posted Sales Invoice Lines'!L92</f>
        <v>30</v>
      </c>
      <c r="H92" s="8">
        <f>'Posted Sales Invoice Lines'!N92</f>
        <v>30.32</v>
      </c>
      <c r="I92" s="8">
        <f>'Posted Sales Invoice Lines'!O92</f>
        <v>909.6</v>
      </c>
    </row>
    <row r="93" spans="1:9" x14ac:dyDescent="0.25">
      <c r="A93" s="2" t="str">
        <f>'Posted Sales Invoice Lines'!A93</f>
        <v>PS-INV178288</v>
      </c>
      <c r="B93" s="2" t="str">
        <f>'Posted Sales Invoice Lines'!B93</f>
        <v>11394</v>
      </c>
      <c r="C93" s="2" t="str">
        <f>'Posted Sales Invoice Lines'!C93</f>
        <v>La Cosecha Food Service</v>
      </c>
      <c r="D93" s="2" t="str">
        <f>'Posted Sales Invoice Lines'!E93</f>
        <v>F530401</v>
      </c>
      <c r="E93" s="2" t="str">
        <f>'Posted Sales Invoice Lines'!F93</f>
        <v>Cs. 4.5" Sesame 6-12pk</v>
      </c>
      <c r="F93" s="3">
        <f>'Posted Sales Invoice Lines'!G93</f>
        <v>46036</v>
      </c>
      <c r="G93" s="9">
        <f>'Posted Sales Invoice Lines'!L93</f>
        <v>30</v>
      </c>
      <c r="H93" s="8">
        <f>'Posted Sales Invoice Lines'!N93</f>
        <v>34.18</v>
      </c>
      <c r="I93" s="8">
        <f>'Posted Sales Invoice Lines'!O93</f>
        <v>1025.4000000000001</v>
      </c>
    </row>
    <row r="94" spans="1:9" x14ac:dyDescent="0.25">
      <c r="A94" s="2" t="str">
        <f>'Posted Sales Invoice Lines'!A94</f>
        <v>PS-INV178335</v>
      </c>
      <c r="B94" s="2" t="str">
        <f>'Posted Sales Invoice Lines'!B94</f>
        <v>10805</v>
      </c>
      <c r="C94" s="2" t="str">
        <f>'Posted Sales Invoice Lines'!C94</f>
        <v>Sysco Jacksonville</v>
      </c>
      <c r="D94" s="2" t="str">
        <f>'Posted Sales Invoice Lines'!E94</f>
        <v>F53100</v>
      </c>
      <c r="E94" s="2" t="str">
        <f>'Posted Sales Invoice Lines'!F94</f>
        <v>Cs. Hot Dog pl/sl 12-8pk</v>
      </c>
      <c r="F94" s="3">
        <f>'Posted Sales Invoice Lines'!G94</f>
        <v>46037</v>
      </c>
      <c r="G94" s="9">
        <f>'Posted Sales Invoice Lines'!L94</f>
        <v>4</v>
      </c>
      <c r="H94" s="8">
        <f>'Posted Sales Invoice Lines'!N94</f>
        <v>36.6</v>
      </c>
      <c r="I94" s="8">
        <f>'Posted Sales Invoice Lines'!O94</f>
        <v>146.4</v>
      </c>
    </row>
    <row r="95" spans="1:9" x14ac:dyDescent="0.25">
      <c r="A95" s="2" t="str">
        <f>'Posted Sales Invoice Lines'!A95</f>
        <v>PS-INV178335</v>
      </c>
      <c r="B95" s="2" t="str">
        <f>'Posted Sales Invoice Lines'!B95</f>
        <v>10805</v>
      </c>
      <c r="C95" s="2" t="str">
        <f>'Posted Sales Invoice Lines'!C95</f>
        <v>Sysco Jacksonville</v>
      </c>
      <c r="D95" s="2" t="str">
        <f>'Posted Sales Invoice Lines'!E95</f>
        <v>F53001</v>
      </c>
      <c r="E95" s="2" t="str">
        <f>'Posted Sales Invoice Lines'!F95</f>
        <v>Cs. 4" Brioche Bun 8-12pk</v>
      </c>
      <c r="F95" s="3">
        <f>'Posted Sales Invoice Lines'!G95</f>
        <v>46037</v>
      </c>
      <c r="G95" s="9">
        <f>'Posted Sales Invoice Lines'!L95</f>
        <v>28</v>
      </c>
      <c r="H95" s="8">
        <f>'Posted Sales Invoice Lines'!N95</f>
        <v>50.6</v>
      </c>
      <c r="I95" s="8">
        <f>'Posted Sales Invoice Lines'!O95</f>
        <v>1416.8</v>
      </c>
    </row>
    <row r="96" spans="1:9" x14ac:dyDescent="0.25">
      <c r="A96" s="2" t="str">
        <f>'Posted Sales Invoice Lines'!A96</f>
        <v>PS-INV178335</v>
      </c>
      <c r="B96" s="2" t="str">
        <f>'Posted Sales Invoice Lines'!B96</f>
        <v>10805</v>
      </c>
      <c r="C96" s="2" t="str">
        <f>'Posted Sales Invoice Lines'!C96</f>
        <v>Sysco Jacksonville</v>
      </c>
      <c r="D96" s="2" t="str">
        <f>'Posted Sales Invoice Lines'!E96</f>
        <v>F53003</v>
      </c>
      <c r="E96" s="2" t="str">
        <f>'Posted Sales Invoice Lines'!F96</f>
        <v>Cs. 4" Unseeded Challah Bun 8-12pk</v>
      </c>
      <c r="F96" s="3">
        <f>'Posted Sales Invoice Lines'!G96</f>
        <v>46037</v>
      </c>
      <c r="G96" s="9">
        <f>'Posted Sales Invoice Lines'!L96</f>
        <v>252</v>
      </c>
      <c r="H96" s="8">
        <f>'Posted Sales Invoice Lines'!N96</f>
        <v>40.799999999999997</v>
      </c>
      <c r="I96" s="8">
        <f>'Posted Sales Invoice Lines'!O96</f>
        <v>10281.6</v>
      </c>
    </row>
    <row r="97" spans="1:9" x14ac:dyDescent="0.25">
      <c r="A97" s="2" t="str">
        <f>'Posted Sales Invoice Lines'!A97</f>
        <v>PS-INV178335</v>
      </c>
      <c r="B97" s="2" t="str">
        <f>'Posted Sales Invoice Lines'!B97</f>
        <v>10805</v>
      </c>
      <c r="C97" s="2" t="str">
        <f>'Posted Sales Invoice Lines'!C97</f>
        <v>Sysco Jacksonville</v>
      </c>
      <c r="D97" s="2" t="str">
        <f>'Posted Sales Invoice Lines'!E97</f>
        <v>F51137</v>
      </c>
      <c r="E97" s="2" t="str">
        <f>'Posted Sales Invoice Lines'!F97</f>
        <v>Cs. Texas Toast 3/4" 12lvs</v>
      </c>
      <c r="F97" s="3">
        <f>'Posted Sales Invoice Lines'!G97</f>
        <v>46037</v>
      </c>
      <c r="G97" s="9">
        <f>'Posted Sales Invoice Lines'!L97</f>
        <v>140</v>
      </c>
      <c r="H97" s="8">
        <f>'Posted Sales Invoice Lines'!N97</f>
        <v>39.9</v>
      </c>
      <c r="I97" s="8">
        <f>'Posted Sales Invoice Lines'!O97</f>
        <v>5586</v>
      </c>
    </row>
    <row r="98" spans="1:9" x14ac:dyDescent="0.25">
      <c r="A98" s="2" t="str">
        <f>'Posted Sales Invoice Lines'!A98</f>
        <v>PS-INV178335</v>
      </c>
      <c r="B98" s="2" t="str">
        <f>'Posted Sales Invoice Lines'!B98</f>
        <v>10805</v>
      </c>
      <c r="C98" s="2" t="str">
        <f>'Posted Sales Invoice Lines'!C98</f>
        <v>Sysco Jacksonville</v>
      </c>
      <c r="D98" s="2" t="str">
        <f>'Posted Sales Invoice Lines'!E98</f>
        <v>F56251</v>
      </c>
      <c r="E98" s="2" t="str">
        <f>'Posted Sales Invoice Lines'!F98</f>
        <v>Cs. Challah Sliders Sliced 18-12pks</v>
      </c>
      <c r="F98" s="3">
        <f>'Posted Sales Invoice Lines'!G98</f>
        <v>46037</v>
      </c>
      <c r="G98" s="9">
        <f>'Posted Sales Invoice Lines'!L98</f>
        <v>28</v>
      </c>
      <c r="H98" s="8">
        <f>'Posted Sales Invoice Lines'!N98</f>
        <v>42.35</v>
      </c>
      <c r="I98" s="8">
        <f>'Posted Sales Invoice Lines'!O98</f>
        <v>1185.8</v>
      </c>
    </row>
    <row r="99" spans="1:9" x14ac:dyDescent="0.25">
      <c r="A99" s="2" t="str">
        <f>'Posted Sales Invoice Lines'!A99</f>
        <v>PS-INV178998</v>
      </c>
      <c r="B99" s="2" t="str">
        <f>'Posted Sales Invoice Lines'!B99</f>
        <v>10899</v>
      </c>
      <c r="C99" s="2" t="str">
        <f>'Posted Sales Invoice Lines'!C99</f>
        <v>Wood Fruitticher Grocery Co.</v>
      </c>
      <c r="D99" s="2" t="str">
        <f>'Posted Sales Invoice Lines'!E99</f>
        <v>F54301</v>
      </c>
      <c r="E99" s="2" t="str">
        <f>'Posted Sales Invoice Lines'!F99</f>
        <v>Cs. Potato Roll Sliced 12-16pk</v>
      </c>
      <c r="F99" s="3">
        <f>'Posted Sales Invoice Lines'!G99</f>
        <v>46027</v>
      </c>
      <c r="G99" s="9">
        <f>'Posted Sales Invoice Lines'!L99</f>
        <v>12</v>
      </c>
      <c r="H99" s="8">
        <f>'Posted Sales Invoice Lines'!N99</f>
        <v>40.1</v>
      </c>
      <c r="I99" s="8">
        <f>'Posted Sales Invoice Lines'!O99</f>
        <v>481.2</v>
      </c>
    </row>
    <row r="100" spans="1:9" x14ac:dyDescent="0.25">
      <c r="A100" s="2" t="str">
        <f>'Posted Sales Invoice Lines'!A100</f>
        <v>PS-INV178998</v>
      </c>
      <c r="B100" s="2" t="str">
        <f>'Posted Sales Invoice Lines'!B100</f>
        <v>10899</v>
      </c>
      <c r="C100" s="2" t="str">
        <f>'Posted Sales Invoice Lines'!C100</f>
        <v>Wood Fruitticher Grocery Co.</v>
      </c>
      <c r="D100" s="2" t="str">
        <f>'Posted Sales Invoice Lines'!E100</f>
        <v>F53115</v>
      </c>
      <c r="E100" s="2" t="str">
        <f>'Posted Sales Invoice Lines'!F100</f>
        <v>Cs. 7" French Unsliced 12-6pk</v>
      </c>
      <c r="F100" s="3">
        <f>'Posted Sales Invoice Lines'!G100</f>
        <v>46027</v>
      </c>
      <c r="G100" s="9">
        <f>'Posted Sales Invoice Lines'!L100</f>
        <v>12</v>
      </c>
      <c r="H100" s="8">
        <f>'Posted Sales Invoice Lines'!N100</f>
        <v>28.88</v>
      </c>
      <c r="I100" s="8">
        <f>'Posted Sales Invoice Lines'!O100</f>
        <v>346.56</v>
      </c>
    </row>
    <row r="101" spans="1:9" x14ac:dyDescent="0.25">
      <c r="A101" s="2" t="str">
        <f>'Posted Sales Invoice Lines'!A101</f>
        <v>PS-INV178998</v>
      </c>
      <c r="B101" s="2" t="str">
        <f>'Posted Sales Invoice Lines'!B101</f>
        <v>10899</v>
      </c>
      <c r="C101" s="2" t="str">
        <f>'Posted Sales Invoice Lines'!C101</f>
        <v>Wood Fruitticher Grocery Co.</v>
      </c>
      <c r="D101" s="2" t="str">
        <f>'Posted Sales Invoice Lines'!E101</f>
        <v>F53070</v>
      </c>
      <c r="E101" s="2" t="str">
        <f>'Posted Sales Invoice Lines'!F101</f>
        <v xml:space="preserve">Cs. 5" Challah Sesame Buns </v>
      </c>
      <c r="F101" s="3">
        <f>'Posted Sales Invoice Lines'!G101</f>
        <v>46027</v>
      </c>
      <c r="G101" s="9">
        <f>'Posted Sales Invoice Lines'!L101</f>
        <v>32</v>
      </c>
      <c r="H101" s="8">
        <f>'Posted Sales Invoice Lines'!N101</f>
        <v>32.89</v>
      </c>
      <c r="I101" s="8">
        <f>'Posted Sales Invoice Lines'!O101</f>
        <v>1052.48</v>
      </c>
    </row>
    <row r="102" spans="1:9" x14ac:dyDescent="0.25">
      <c r="A102" s="2" t="str">
        <f>'Posted Sales Invoice Lines'!A102</f>
        <v>PS-INV178998</v>
      </c>
      <c r="B102" s="2" t="str">
        <f>'Posted Sales Invoice Lines'!B102</f>
        <v>10899</v>
      </c>
      <c r="C102" s="2" t="str">
        <f>'Posted Sales Invoice Lines'!C102</f>
        <v>Wood Fruitticher Grocery Co.</v>
      </c>
      <c r="D102" s="2" t="str">
        <f>'Posted Sales Invoice Lines'!E102</f>
        <v>F51137</v>
      </c>
      <c r="E102" s="2" t="str">
        <f>'Posted Sales Invoice Lines'!F102</f>
        <v>Cs. Texas Toast 3/4" 12lvs</v>
      </c>
      <c r="F102" s="3">
        <f>'Posted Sales Invoice Lines'!G102</f>
        <v>46027</v>
      </c>
      <c r="G102" s="9">
        <f>'Posted Sales Invoice Lines'!L102</f>
        <v>216</v>
      </c>
      <c r="H102" s="8">
        <f>'Posted Sales Invoice Lines'!N102</f>
        <v>28.49</v>
      </c>
      <c r="I102" s="8">
        <f>'Posted Sales Invoice Lines'!O102</f>
        <v>6153.84</v>
      </c>
    </row>
    <row r="103" spans="1:9" x14ac:dyDescent="0.25">
      <c r="A103" s="2" t="str">
        <f>'Posted Sales Invoice Lines'!A103</f>
        <v>PS-INV178998</v>
      </c>
      <c r="B103" s="2" t="str">
        <f>'Posted Sales Invoice Lines'!B103</f>
        <v>10899</v>
      </c>
      <c r="C103" s="2" t="str">
        <f>'Posted Sales Invoice Lines'!C103</f>
        <v>Wood Fruitticher Grocery Co.</v>
      </c>
      <c r="D103" s="2" t="str">
        <f>'Posted Sales Invoice Lines'!E103</f>
        <v>F54014</v>
      </c>
      <c r="E103" s="2" t="str">
        <f>'Posted Sales Invoice Lines'!F103</f>
        <v>Cs. White Mountain Dinner Rolls 12-12pk</v>
      </c>
      <c r="F103" s="3">
        <f>'Posted Sales Invoice Lines'!G103</f>
        <v>46027</v>
      </c>
      <c r="G103" s="9">
        <f>'Posted Sales Invoice Lines'!L103</f>
        <v>32</v>
      </c>
      <c r="H103" s="8">
        <f>'Posted Sales Invoice Lines'!N103</f>
        <v>29.1</v>
      </c>
      <c r="I103" s="8">
        <f>'Posted Sales Invoice Lines'!O103</f>
        <v>931.2</v>
      </c>
    </row>
    <row r="104" spans="1:9" x14ac:dyDescent="0.25">
      <c r="A104" s="2" t="str">
        <f>'Posted Sales Invoice Lines'!A104</f>
        <v>PS-INV178998</v>
      </c>
      <c r="B104" s="2" t="str">
        <f>'Posted Sales Invoice Lines'!B104</f>
        <v>10899</v>
      </c>
      <c r="C104" s="2" t="str">
        <f>'Posted Sales Invoice Lines'!C104</f>
        <v>Wood Fruitticher Grocery Co.</v>
      </c>
      <c r="D104" s="2" t="str">
        <f>'Posted Sales Invoice Lines'!E104</f>
        <v>F51136</v>
      </c>
      <c r="E104" s="2" t="str">
        <f>'Posted Sales Invoice Lines'!F104</f>
        <v>Cs. Texas Toast 1" 12lvs</v>
      </c>
      <c r="F104" s="3">
        <f>'Posted Sales Invoice Lines'!G104</f>
        <v>46027</v>
      </c>
      <c r="G104" s="9">
        <f>'Posted Sales Invoice Lines'!L104</f>
        <v>28</v>
      </c>
      <c r="H104" s="8">
        <f>'Posted Sales Invoice Lines'!N104</f>
        <v>28.49</v>
      </c>
      <c r="I104" s="8">
        <f>'Posted Sales Invoice Lines'!O104</f>
        <v>797.72</v>
      </c>
    </row>
    <row r="105" spans="1:9" x14ac:dyDescent="0.25">
      <c r="A105" s="2" t="str">
        <f>'Posted Sales Invoice Lines'!A105</f>
        <v>PS-INV178998</v>
      </c>
      <c r="B105" s="2" t="str">
        <f>'Posted Sales Invoice Lines'!B105</f>
        <v>10899</v>
      </c>
      <c r="C105" s="2" t="str">
        <f>'Posted Sales Invoice Lines'!C105</f>
        <v>Wood Fruitticher Grocery Co.</v>
      </c>
      <c r="D105" s="2" t="str">
        <f>'Posted Sales Invoice Lines'!E105</f>
        <v>F51130</v>
      </c>
      <c r="E105" s="2" t="str">
        <f>'Posted Sales Invoice Lines'!F105</f>
        <v>Cs. Club White 12lvs</v>
      </c>
      <c r="F105" s="3">
        <f>'Posted Sales Invoice Lines'!G105</f>
        <v>46027</v>
      </c>
      <c r="G105" s="9">
        <f>'Posted Sales Invoice Lines'!L105</f>
        <v>64</v>
      </c>
      <c r="H105" s="8">
        <f>'Posted Sales Invoice Lines'!N105</f>
        <v>28.49</v>
      </c>
      <c r="I105" s="8">
        <f>'Posted Sales Invoice Lines'!O105</f>
        <v>1823.36</v>
      </c>
    </row>
    <row r="106" spans="1:9" x14ac:dyDescent="0.25">
      <c r="A106" s="2" t="str">
        <f>'Posted Sales Invoice Lines'!A106</f>
        <v>PS-INV178998</v>
      </c>
      <c r="B106" s="2" t="str">
        <f>'Posted Sales Invoice Lines'!B106</f>
        <v>10899</v>
      </c>
      <c r="C106" s="2" t="str">
        <f>'Posted Sales Invoice Lines'!C106</f>
        <v>Wood Fruitticher Grocery Co.</v>
      </c>
      <c r="D106" s="2" t="str">
        <f>'Posted Sales Invoice Lines'!E106</f>
        <v>F53094</v>
      </c>
      <c r="E106" s="2" t="str">
        <f>'Posted Sales Invoice Lines'!F106</f>
        <v>Cs. 6" Italian 12-6pks</v>
      </c>
      <c r="F106" s="3">
        <f>'Posted Sales Invoice Lines'!G106</f>
        <v>46027</v>
      </c>
      <c r="G106" s="9">
        <f>'Posted Sales Invoice Lines'!L106</f>
        <v>252</v>
      </c>
      <c r="H106" s="8">
        <f>'Posted Sales Invoice Lines'!N106</f>
        <v>25.25</v>
      </c>
      <c r="I106" s="8">
        <f>'Posted Sales Invoice Lines'!O106</f>
        <v>6363</v>
      </c>
    </row>
    <row r="107" spans="1:9" x14ac:dyDescent="0.25">
      <c r="A107" s="2" t="str">
        <f>'Posted Sales Invoice Lines'!A107</f>
        <v>PS-INV178998</v>
      </c>
      <c r="B107" s="2" t="str">
        <f>'Posted Sales Invoice Lines'!B107</f>
        <v>10899</v>
      </c>
      <c r="C107" s="2" t="str">
        <f>'Posted Sales Invoice Lines'!C107</f>
        <v>Wood Fruitticher Grocery Co.</v>
      </c>
      <c r="D107" s="2" t="str">
        <f>'Posted Sales Invoice Lines'!E107</f>
        <v>F53001</v>
      </c>
      <c r="E107" s="2" t="str">
        <f>'Posted Sales Invoice Lines'!F107</f>
        <v>Cs. 4" Brioche Bun 8-12pk</v>
      </c>
      <c r="F107" s="3">
        <f>'Posted Sales Invoice Lines'!G107</f>
        <v>46027</v>
      </c>
      <c r="G107" s="9">
        <f>'Posted Sales Invoice Lines'!L107</f>
        <v>196</v>
      </c>
      <c r="H107" s="8">
        <f>'Posted Sales Invoice Lines'!N107</f>
        <v>40.43</v>
      </c>
      <c r="I107" s="8">
        <f>'Posted Sales Invoice Lines'!O107</f>
        <v>7924.28</v>
      </c>
    </row>
    <row r="108" spans="1:9" x14ac:dyDescent="0.25">
      <c r="A108" s="2" t="str">
        <f>'Posted Sales Invoice Lines'!A108</f>
        <v>PS-INV179006</v>
      </c>
      <c r="B108" s="2" t="str">
        <f>'Posted Sales Invoice Lines'!B108</f>
        <v>10138-5</v>
      </c>
      <c r="C108" s="2" t="str">
        <f>'Posted Sales Invoice Lines'!C108</f>
        <v>Costco PriceSmart Export</v>
      </c>
      <c r="D108" s="2" t="str">
        <f>'Posted Sales Invoice Lines'!E108</f>
        <v>F53106</v>
      </c>
      <c r="E108" s="2" t="str">
        <f>'Posted Sales Invoice Lines'!F108</f>
        <v>Cs. Large Hot Dog 12-6pk</v>
      </c>
      <c r="F108" s="3">
        <f>'Posted Sales Invoice Lines'!G108</f>
        <v>46043</v>
      </c>
      <c r="G108" s="9">
        <f>'Posted Sales Invoice Lines'!L108</f>
        <v>960</v>
      </c>
      <c r="H108" s="8">
        <f>'Posted Sales Invoice Lines'!N108</f>
        <v>26.25</v>
      </c>
      <c r="I108" s="8">
        <f>'Posted Sales Invoice Lines'!O108</f>
        <v>25200</v>
      </c>
    </row>
    <row r="109" spans="1:9" x14ac:dyDescent="0.25">
      <c r="A109" s="2" t="str">
        <f>'Posted Sales Invoice Lines'!A109</f>
        <v>PS-INV179010</v>
      </c>
      <c r="B109" s="2" t="str">
        <f>'Posted Sales Invoice Lines'!B109</f>
        <v>20334</v>
      </c>
      <c r="C109" s="2" t="str">
        <f>'Posted Sales Invoice Lines'!C109</f>
        <v>Sysco Atlanta</v>
      </c>
      <c r="D109" s="2" t="str">
        <f>'Posted Sales Invoice Lines'!E109</f>
        <v>F53116</v>
      </c>
      <c r="E109" s="2" t="str">
        <f>'Posted Sales Invoice Lines'!F109</f>
        <v>Cs. 7" French Hinged 12</v>
      </c>
      <c r="F109" s="3">
        <f>'Posted Sales Invoice Lines'!G109</f>
        <v>46037</v>
      </c>
      <c r="G109" s="9">
        <f>'Posted Sales Invoice Lines'!L109</f>
        <v>56</v>
      </c>
      <c r="H109" s="8">
        <f>'Posted Sales Invoice Lines'!N109</f>
        <v>31.42</v>
      </c>
      <c r="I109" s="8">
        <f>'Posted Sales Invoice Lines'!O109</f>
        <v>1759.52</v>
      </c>
    </row>
    <row r="110" spans="1:9" x14ac:dyDescent="0.25">
      <c r="A110" s="2" t="str">
        <f>'Posted Sales Invoice Lines'!A110</f>
        <v>PS-INV179010</v>
      </c>
      <c r="B110" s="2" t="str">
        <f>'Posted Sales Invoice Lines'!B110</f>
        <v>20334</v>
      </c>
      <c r="C110" s="2" t="str">
        <f>'Posted Sales Invoice Lines'!C110</f>
        <v>Sysco Atlanta</v>
      </c>
      <c r="D110" s="2" t="str">
        <f>'Posted Sales Invoice Lines'!E110</f>
        <v>F53087</v>
      </c>
      <c r="E110" s="2" t="str">
        <f>'Posted Sales Invoice Lines'!F110</f>
        <v>Cs. 3.5" Challah Bun 8-12 pk</v>
      </c>
      <c r="F110" s="3">
        <f>'Posted Sales Invoice Lines'!G110</f>
        <v>46037</v>
      </c>
      <c r="G110" s="9">
        <f>'Posted Sales Invoice Lines'!L110</f>
        <v>140</v>
      </c>
      <c r="H110" s="8">
        <f>'Posted Sales Invoice Lines'!N110</f>
        <v>34</v>
      </c>
      <c r="I110" s="8">
        <f>'Posted Sales Invoice Lines'!O110</f>
        <v>4760</v>
      </c>
    </row>
    <row r="111" spans="1:9" x14ac:dyDescent="0.25">
      <c r="A111" s="2" t="str">
        <f>'Posted Sales Invoice Lines'!A111</f>
        <v>PS-INV179010</v>
      </c>
      <c r="B111" s="2" t="str">
        <f>'Posted Sales Invoice Lines'!B111</f>
        <v>20334</v>
      </c>
      <c r="C111" s="2" t="str">
        <f>'Posted Sales Invoice Lines'!C111</f>
        <v>Sysco Atlanta</v>
      </c>
      <c r="D111" s="2" t="str">
        <f>'Posted Sales Invoice Lines'!E111</f>
        <v>F51024</v>
      </c>
      <c r="E111" s="2" t="str">
        <f>'Posted Sales Invoice Lines'!F111</f>
        <v>Cs. Marble Rye 5/8" 8lvs</v>
      </c>
      <c r="F111" s="3">
        <f>'Posted Sales Invoice Lines'!G111</f>
        <v>46037</v>
      </c>
      <c r="G111" s="9">
        <f>'Posted Sales Invoice Lines'!L111</f>
        <v>24</v>
      </c>
      <c r="H111" s="8">
        <f>'Posted Sales Invoice Lines'!N111</f>
        <v>43.26</v>
      </c>
      <c r="I111" s="8">
        <f>'Posted Sales Invoice Lines'!O111</f>
        <v>1038.24</v>
      </c>
    </row>
    <row r="112" spans="1:9" x14ac:dyDescent="0.25">
      <c r="A112" s="2" t="str">
        <f>'Posted Sales Invoice Lines'!A112</f>
        <v>PS-INV179010</v>
      </c>
      <c r="B112" s="2" t="str">
        <f>'Posted Sales Invoice Lines'!B112</f>
        <v>20334</v>
      </c>
      <c r="C112" s="2" t="str">
        <f>'Posted Sales Invoice Lines'!C112</f>
        <v>Sysco Atlanta</v>
      </c>
      <c r="D112" s="2" t="str">
        <f>'Posted Sales Invoice Lines'!E112</f>
        <v>F51127</v>
      </c>
      <c r="E112" s="2" t="str">
        <f>'Posted Sales Invoice Lines'!F112</f>
        <v>Cs. Challah 3-Braid 8</v>
      </c>
      <c r="F112" s="3">
        <f>'Posted Sales Invoice Lines'!G112</f>
        <v>46037</v>
      </c>
      <c r="G112" s="9">
        <f>'Posted Sales Invoice Lines'!L112</f>
        <v>20</v>
      </c>
      <c r="H112" s="8">
        <f>'Posted Sales Invoice Lines'!N112</f>
        <v>43.26</v>
      </c>
      <c r="I112" s="8">
        <f>'Posted Sales Invoice Lines'!O112</f>
        <v>865.2</v>
      </c>
    </row>
    <row r="113" spans="1:9" x14ac:dyDescent="0.25">
      <c r="A113" s="2" t="str">
        <f>'Posted Sales Invoice Lines'!A113</f>
        <v>PS-INV179010</v>
      </c>
      <c r="B113" s="2" t="str">
        <f>'Posted Sales Invoice Lines'!B113</f>
        <v>20334</v>
      </c>
      <c r="C113" s="2" t="str">
        <f>'Posted Sales Invoice Lines'!C113</f>
        <v>Sysco Atlanta</v>
      </c>
      <c r="D113" s="2" t="str">
        <f>'Posted Sales Invoice Lines'!E113</f>
        <v>F53001</v>
      </c>
      <c r="E113" s="2" t="str">
        <f>'Posted Sales Invoice Lines'!F113</f>
        <v>Cs. 4" Brioche Bun 8-12pk</v>
      </c>
      <c r="F113" s="3">
        <f>'Posted Sales Invoice Lines'!G113</f>
        <v>46037</v>
      </c>
      <c r="G113" s="9">
        <f>'Posted Sales Invoice Lines'!L113</f>
        <v>112</v>
      </c>
      <c r="H113" s="8">
        <f>'Posted Sales Invoice Lines'!N113</f>
        <v>43.36</v>
      </c>
      <c r="I113" s="8">
        <f>'Posted Sales Invoice Lines'!O113</f>
        <v>4856.32</v>
      </c>
    </row>
    <row r="114" spans="1:9" x14ac:dyDescent="0.25">
      <c r="A114" s="2" t="str">
        <f>'Posted Sales Invoice Lines'!A114</f>
        <v>PS-INV179010</v>
      </c>
      <c r="B114" s="2" t="str">
        <f>'Posted Sales Invoice Lines'!B114</f>
        <v>20334</v>
      </c>
      <c r="C114" s="2" t="str">
        <f>'Posted Sales Invoice Lines'!C114</f>
        <v>Sysco Atlanta</v>
      </c>
      <c r="D114" s="2" t="str">
        <f>'Posted Sales Invoice Lines'!E114</f>
        <v>F51034</v>
      </c>
      <c r="E114" s="2" t="str">
        <f>'Posted Sales Invoice Lines'!F114</f>
        <v>Cs. Sour Dough Hearth 5/8" 8lvs</v>
      </c>
      <c r="F114" s="3">
        <f>'Posted Sales Invoice Lines'!G114</f>
        <v>46037</v>
      </c>
      <c r="G114" s="9">
        <f>'Posted Sales Invoice Lines'!L114</f>
        <v>20</v>
      </c>
      <c r="H114" s="8">
        <f>'Posted Sales Invoice Lines'!N114</f>
        <v>41.2</v>
      </c>
      <c r="I114" s="8">
        <f>'Posted Sales Invoice Lines'!O114</f>
        <v>824</v>
      </c>
    </row>
    <row r="115" spans="1:9" x14ac:dyDescent="0.25">
      <c r="A115" s="2" t="str">
        <f>'Posted Sales Invoice Lines'!A115</f>
        <v>PS-INV179010</v>
      </c>
      <c r="B115" s="2" t="str">
        <f>'Posted Sales Invoice Lines'!B115</f>
        <v>20334</v>
      </c>
      <c r="C115" s="2" t="str">
        <f>'Posted Sales Invoice Lines'!C115</f>
        <v>Sysco Atlanta</v>
      </c>
      <c r="D115" s="2" t="str">
        <f>'Posted Sales Invoice Lines'!E115</f>
        <v>F51157</v>
      </c>
      <c r="E115" s="2" t="str">
        <f>'Posted Sales Invoice Lines'!F115</f>
        <v>Cs. Challah Hearth 7/8" 8lvs</v>
      </c>
      <c r="F115" s="3">
        <f>'Posted Sales Invoice Lines'!G115</f>
        <v>46037</v>
      </c>
      <c r="G115" s="9">
        <f>'Posted Sales Invoice Lines'!L115</f>
        <v>1</v>
      </c>
      <c r="H115" s="8">
        <f>'Posted Sales Invoice Lines'!N115</f>
        <v>42.02</v>
      </c>
      <c r="I115" s="8">
        <f>'Posted Sales Invoice Lines'!O115</f>
        <v>42.02</v>
      </c>
    </row>
    <row r="116" spans="1:9" x14ac:dyDescent="0.25">
      <c r="A116" s="2" t="str">
        <f>'Posted Sales Invoice Lines'!A116</f>
        <v>PS-INV179010</v>
      </c>
      <c r="B116" s="2" t="str">
        <f>'Posted Sales Invoice Lines'!B116</f>
        <v>20334</v>
      </c>
      <c r="C116" s="2" t="str">
        <f>'Posted Sales Invoice Lines'!C116</f>
        <v>Sysco Atlanta</v>
      </c>
      <c r="D116" s="2" t="str">
        <f>'Posted Sales Invoice Lines'!E116</f>
        <v>F53140</v>
      </c>
      <c r="E116" s="2" t="str">
        <f>'Posted Sales Invoice Lines'!F116</f>
        <v>Cs. Knuckies 8" White 12-6pk</v>
      </c>
      <c r="F116" s="3">
        <f>'Posted Sales Invoice Lines'!G116</f>
        <v>46037</v>
      </c>
      <c r="G116" s="9">
        <f>'Posted Sales Invoice Lines'!L116</f>
        <v>20</v>
      </c>
      <c r="H116" s="8">
        <f>'Posted Sales Invoice Lines'!N116</f>
        <v>41</v>
      </c>
      <c r="I116" s="8">
        <f>'Posted Sales Invoice Lines'!O116</f>
        <v>820</v>
      </c>
    </row>
    <row r="117" spans="1:9" x14ac:dyDescent="0.25">
      <c r="A117" s="2" t="str">
        <f>'Posted Sales Invoice Lines'!A117</f>
        <v>PS-INV179035</v>
      </c>
      <c r="B117" s="2" t="str">
        <f>'Posted Sales Invoice Lines'!B117</f>
        <v>13128</v>
      </c>
      <c r="C117" s="2" t="str">
        <f>'Posted Sales Invoice Lines'!C117</f>
        <v>Gordon Food Service - Shepherdsville</v>
      </c>
      <c r="D117" s="2" t="str">
        <f>'Posted Sales Invoice Lines'!E117</f>
        <v>F51084</v>
      </c>
      <c r="E117" s="2" t="str">
        <f>'Posted Sales Invoice Lines'!F117</f>
        <v>Cs. Wheatberry Hearth</v>
      </c>
      <c r="F117" s="3">
        <f>'Posted Sales Invoice Lines'!G117</f>
        <v>46037</v>
      </c>
      <c r="G117" s="9">
        <f>'Posted Sales Invoice Lines'!L117</f>
        <v>48</v>
      </c>
      <c r="H117" s="8">
        <f>'Posted Sales Invoice Lines'!N117</f>
        <v>33.299999999999997</v>
      </c>
      <c r="I117" s="8">
        <f>'Posted Sales Invoice Lines'!O117</f>
        <v>1598.4</v>
      </c>
    </row>
    <row r="118" spans="1:9" x14ac:dyDescent="0.25">
      <c r="A118" s="2" t="str">
        <f>'Posted Sales Invoice Lines'!A118</f>
        <v>PS-INV179035</v>
      </c>
      <c r="B118" s="2" t="str">
        <f>'Posted Sales Invoice Lines'!B118</f>
        <v>13128</v>
      </c>
      <c r="C118" s="2" t="str">
        <f>'Posted Sales Invoice Lines'!C118</f>
        <v>Gordon Food Service - Shepherdsville</v>
      </c>
      <c r="D118" s="2" t="str">
        <f>'Posted Sales Invoice Lines'!E118</f>
        <v>F53001</v>
      </c>
      <c r="E118" s="2" t="str">
        <f>'Posted Sales Invoice Lines'!F118</f>
        <v>Cs. 4" Brioche Bun 8-12pk</v>
      </c>
      <c r="F118" s="3">
        <f>'Posted Sales Invoice Lines'!G118</f>
        <v>46037</v>
      </c>
      <c r="G118" s="9">
        <f>'Posted Sales Invoice Lines'!L118</f>
        <v>256</v>
      </c>
      <c r="H118" s="8">
        <f>'Posted Sales Invoice Lines'!N118</f>
        <v>36.82</v>
      </c>
      <c r="I118" s="8">
        <f>'Posted Sales Invoice Lines'!O118</f>
        <v>9425.92</v>
      </c>
    </row>
    <row r="119" spans="1:9" x14ac:dyDescent="0.25">
      <c r="A119" s="2" t="str">
        <f>'Posted Sales Invoice Lines'!A119</f>
        <v>PS-INV179035</v>
      </c>
      <c r="B119" s="2" t="str">
        <f>'Posted Sales Invoice Lines'!B119</f>
        <v>13128</v>
      </c>
      <c r="C119" s="2" t="str">
        <f>'Posted Sales Invoice Lines'!C119</f>
        <v>Gordon Food Service - Shepherdsville</v>
      </c>
      <c r="D119" s="2" t="str">
        <f>'Posted Sales Invoice Lines'!E119</f>
        <v>F51114</v>
      </c>
      <c r="E119" s="2" t="str">
        <f>'Posted Sales Invoice Lines'!F119</f>
        <v>Cs. Old Fashioned Hearth 5/8" 8lvs</v>
      </c>
      <c r="F119" s="3">
        <f>'Posted Sales Invoice Lines'!G119</f>
        <v>46037</v>
      </c>
      <c r="G119" s="9">
        <f>'Posted Sales Invoice Lines'!L119</f>
        <v>112</v>
      </c>
      <c r="H119" s="8">
        <f>'Posted Sales Invoice Lines'!N119</f>
        <v>39.700000000000003</v>
      </c>
      <c r="I119" s="8">
        <f>'Posted Sales Invoice Lines'!O119</f>
        <v>4446.3999999999996</v>
      </c>
    </row>
    <row r="120" spans="1:9" x14ac:dyDescent="0.25">
      <c r="A120" s="2" t="str">
        <f>'Posted Sales Invoice Lines'!A120</f>
        <v>PS-INV179035</v>
      </c>
      <c r="B120" s="2" t="str">
        <f>'Posted Sales Invoice Lines'!B120</f>
        <v>13128</v>
      </c>
      <c r="C120" s="2" t="str">
        <f>'Posted Sales Invoice Lines'!C120</f>
        <v>Gordon Food Service - Shepherdsville</v>
      </c>
      <c r="D120" s="2" t="str">
        <f>'Posted Sales Invoice Lines'!E120</f>
        <v>F56251</v>
      </c>
      <c r="E120" s="2" t="str">
        <f>'Posted Sales Invoice Lines'!F120</f>
        <v>Cs. Challah Sliders Sliced 18-12pks</v>
      </c>
      <c r="F120" s="3">
        <f>'Posted Sales Invoice Lines'!G120</f>
        <v>46037</v>
      </c>
      <c r="G120" s="9">
        <f>'Posted Sales Invoice Lines'!L120</f>
        <v>400</v>
      </c>
      <c r="H120" s="8">
        <f>'Posted Sales Invoice Lines'!N120</f>
        <v>39.700000000000003</v>
      </c>
      <c r="I120" s="8">
        <f>'Posted Sales Invoice Lines'!O120</f>
        <v>15880</v>
      </c>
    </row>
    <row r="121" spans="1:9" x14ac:dyDescent="0.25">
      <c r="A121" s="2" t="str">
        <f>'Posted Sales Invoice Lines'!A121</f>
        <v>PS-INV179062</v>
      </c>
      <c r="B121" s="2" t="str">
        <f>'Posted Sales Invoice Lines'!B121</f>
        <v>10719-2</v>
      </c>
      <c r="C121" s="2" t="str">
        <f>'Posted Sales Invoice Lines'!C121</f>
        <v>US Foods - Fairburn</v>
      </c>
      <c r="D121" s="2" t="str">
        <f>'Posted Sales Invoice Lines'!E121</f>
        <v>F53005</v>
      </c>
      <c r="E121" s="2" t="str">
        <f>'Posted Sales Invoice Lines'!F121</f>
        <v>Cs. 4" Gourmet PDS Bun 8-12pk</v>
      </c>
      <c r="F121" s="3">
        <f>'Posted Sales Invoice Lines'!G121</f>
        <v>46041</v>
      </c>
      <c r="G121" s="9">
        <f>'Posted Sales Invoice Lines'!L121</f>
        <v>52</v>
      </c>
      <c r="H121" s="8">
        <f>'Posted Sales Invoice Lines'!N121</f>
        <v>40.11</v>
      </c>
      <c r="I121" s="8">
        <f>'Posted Sales Invoice Lines'!O121</f>
        <v>2085.7199999999998</v>
      </c>
    </row>
    <row r="122" spans="1:9" x14ac:dyDescent="0.25">
      <c r="A122" s="2" t="str">
        <f>'Posted Sales Invoice Lines'!A122</f>
        <v>PS-INV179062</v>
      </c>
      <c r="B122" s="2" t="str">
        <f>'Posted Sales Invoice Lines'!B122</f>
        <v>10719-2</v>
      </c>
      <c r="C122" s="2" t="str">
        <f>'Posted Sales Invoice Lines'!C122</f>
        <v>US Foods - Fairburn</v>
      </c>
      <c r="D122" s="2" t="str">
        <f>'Posted Sales Invoice Lines'!E122</f>
        <v>F56560</v>
      </c>
      <c r="E122" s="2" t="str">
        <f>'Posted Sales Invoice Lines'!F122</f>
        <v>Gluten Free 3.5" Hamburger 36ct</v>
      </c>
      <c r="F122" s="3">
        <f>'Posted Sales Invoice Lines'!G122</f>
        <v>46041</v>
      </c>
      <c r="G122" s="9">
        <f>'Posted Sales Invoice Lines'!L122</f>
        <v>12</v>
      </c>
      <c r="H122" s="8">
        <f>'Posted Sales Invoice Lines'!N122</f>
        <v>48.57</v>
      </c>
      <c r="I122" s="8">
        <f>'Posted Sales Invoice Lines'!O122</f>
        <v>582.84</v>
      </c>
    </row>
    <row r="123" spans="1:9" x14ac:dyDescent="0.25">
      <c r="A123" s="2" t="str">
        <f>'Posted Sales Invoice Lines'!A123</f>
        <v>PS-INV179062</v>
      </c>
      <c r="B123" s="2" t="str">
        <f>'Posted Sales Invoice Lines'!B123</f>
        <v>10719-2</v>
      </c>
      <c r="C123" s="2" t="str">
        <f>'Posted Sales Invoice Lines'!C123</f>
        <v>US Foods - Fairburn</v>
      </c>
      <c r="D123" s="2" t="str">
        <f>'Posted Sales Invoice Lines'!E123</f>
        <v>F53010</v>
      </c>
      <c r="E123" s="2" t="str">
        <f>'Posted Sales Invoice Lines'!F123</f>
        <v>Cs. Onion Roll 8-12pk</v>
      </c>
      <c r="F123" s="3">
        <f>'Posted Sales Invoice Lines'!G123</f>
        <v>46041</v>
      </c>
      <c r="G123" s="9">
        <f>'Posted Sales Invoice Lines'!L123</f>
        <v>32</v>
      </c>
      <c r="H123" s="8">
        <f>'Posted Sales Invoice Lines'!N123</f>
        <v>40.85</v>
      </c>
      <c r="I123" s="8">
        <f>'Posted Sales Invoice Lines'!O123</f>
        <v>1307.2</v>
      </c>
    </row>
    <row r="124" spans="1:9" x14ac:dyDescent="0.25">
      <c r="A124" s="2" t="str">
        <f>'Posted Sales Invoice Lines'!A124</f>
        <v>PS-INV179062</v>
      </c>
      <c r="B124" s="2" t="str">
        <f>'Posted Sales Invoice Lines'!B124</f>
        <v>10719-2</v>
      </c>
      <c r="C124" s="2" t="str">
        <f>'Posted Sales Invoice Lines'!C124</f>
        <v>US Foods - Fairburn</v>
      </c>
      <c r="D124" s="2" t="str">
        <f>'Posted Sales Invoice Lines'!E124</f>
        <v>F53122</v>
      </c>
      <c r="E124" s="2" t="str">
        <f>'Posted Sales Invoice Lines'!F124</f>
        <v>Cs. 8" Italian Hinged 12-6pk</v>
      </c>
      <c r="F124" s="3">
        <f>'Posted Sales Invoice Lines'!G124</f>
        <v>46041</v>
      </c>
      <c r="G124" s="9">
        <f>'Posted Sales Invoice Lines'!L124</f>
        <v>116</v>
      </c>
      <c r="H124" s="8">
        <f>'Posted Sales Invoice Lines'!N124</f>
        <v>40.9</v>
      </c>
      <c r="I124" s="8">
        <f>'Posted Sales Invoice Lines'!O124</f>
        <v>4744.3999999999996</v>
      </c>
    </row>
    <row r="125" spans="1:9" x14ac:dyDescent="0.25">
      <c r="A125" s="2" t="str">
        <f>'Posted Sales Invoice Lines'!A125</f>
        <v>PS-INV179062</v>
      </c>
      <c r="B125" s="2" t="str">
        <f>'Posted Sales Invoice Lines'!B125</f>
        <v>10719-2</v>
      </c>
      <c r="C125" s="2" t="str">
        <f>'Posted Sales Invoice Lines'!C125</f>
        <v>US Foods - Fairburn</v>
      </c>
      <c r="D125" s="2" t="str">
        <f>'Posted Sales Invoice Lines'!E125</f>
        <v>F53003</v>
      </c>
      <c r="E125" s="2" t="str">
        <f>'Posted Sales Invoice Lines'!F125</f>
        <v>Cs. 4" Unseeded Challah Bun 8-12pk</v>
      </c>
      <c r="F125" s="3">
        <f>'Posted Sales Invoice Lines'!G125</f>
        <v>46041</v>
      </c>
      <c r="G125" s="9">
        <f>'Posted Sales Invoice Lines'!L125</f>
        <v>72</v>
      </c>
      <c r="H125" s="8">
        <f>'Posted Sales Invoice Lines'!N125</f>
        <v>38.08</v>
      </c>
      <c r="I125" s="8">
        <f>'Posted Sales Invoice Lines'!O125</f>
        <v>2741.76</v>
      </c>
    </row>
    <row r="126" spans="1:9" x14ac:dyDescent="0.25">
      <c r="A126" s="2" t="str">
        <f>'Posted Sales Invoice Lines'!A126</f>
        <v>PS-INV179062</v>
      </c>
      <c r="B126" s="2" t="str">
        <f>'Posted Sales Invoice Lines'!B126</f>
        <v>10719-2</v>
      </c>
      <c r="C126" s="2" t="str">
        <f>'Posted Sales Invoice Lines'!C126</f>
        <v>US Foods - Fairburn</v>
      </c>
      <c r="D126" s="2" t="str">
        <f>'Posted Sales Invoice Lines'!E126</f>
        <v>F53024</v>
      </c>
      <c r="E126" s="2" t="str">
        <f>'Posted Sales Invoice Lines'!F126</f>
        <v>Cs. 4" Challah Kaiser 8-12pk</v>
      </c>
      <c r="F126" s="3">
        <f>'Posted Sales Invoice Lines'!G126</f>
        <v>46041</v>
      </c>
      <c r="G126" s="9">
        <f>'Posted Sales Invoice Lines'!L126</f>
        <v>60</v>
      </c>
      <c r="H126" s="8">
        <f>'Posted Sales Invoice Lines'!N126</f>
        <v>40.22</v>
      </c>
      <c r="I126" s="8">
        <f>'Posted Sales Invoice Lines'!O126</f>
        <v>2413.1999999999998</v>
      </c>
    </row>
    <row r="127" spans="1:9" x14ac:dyDescent="0.25">
      <c r="A127" s="2" t="str">
        <f>'Posted Sales Invoice Lines'!A127</f>
        <v>PS-INV179701</v>
      </c>
      <c r="B127" s="2" t="str">
        <f>'Posted Sales Invoice Lines'!B127</f>
        <v>10540-03</v>
      </c>
      <c r="C127" s="2" t="str">
        <f>'Posted Sales Invoice Lines'!C127</f>
        <v>PFG Louisville TN</v>
      </c>
      <c r="D127" s="2" t="str">
        <f>'Posted Sales Invoice Lines'!E127</f>
        <v>F530501</v>
      </c>
      <c r="E127" s="2" t="str">
        <f>'Posted Sales Invoice Lines'!F127</f>
        <v>Cs. 4.5" Challah Kaiser 6-12pk</v>
      </c>
      <c r="F127" s="3">
        <f>'Posted Sales Invoice Lines'!G127</f>
        <v>46037</v>
      </c>
      <c r="G127" s="9">
        <f>'Posted Sales Invoice Lines'!L127</f>
        <v>28</v>
      </c>
      <c r="H127" s="8">
        <f>'Posted Sales Invoice Lines'!N127</f>
        <v>38.299999999999997</v>
      </c>
      <c r="I127" s="8">
        <f>'Posted Sales Invoice Lines'!O127</f>
        <v>1072.4000000000001</v>
      </c>
    </row>
    <row r="128" spans="1:9" x14ac:dyDescent="0.25">
      <c r="A128" s="2" t="str">
        <f>'Posted Sales Invoice Lines'!A128</f>
        <v>PS-INV179701</v>
      </c>
      <c r="B128" s="2" t="str">
        <f>'Posted Sales Invoice Lines'!B128</f>
        <v>10540-03</v>
      </c>
      <c r="C128" s="2" t="str">
        <f>'Posted Sales Invoice Lines'!C128</f>
        <v>PFG Louisville TN</v>
      </c>
      <c r="D128" s="2" t="str">
        <f>'Posted Sales Invoice Lines'!E128</f>
        <v>F51137</v>
      </c>
      <c r="E128" s="2" t="str">
        <f>'Posted Sales Invoice Lines'!F128</f>
        <v>Cs. Texas Toast 3/4" 12lvs</v>
      </c>
      <c r="F128" s="3">
        <f>'Posted Sales Invoice Lines'!G128</f>
        <v>46037</v>
      </c>
      <c r="G128" s="9">
        <f>'Posted Sales Invoice Lines'!L128</f>
        <v>0</v>
      </c>
      <c r="H128" s="8">
        <f>'Posted Sales Invoice Lines'!N128</f>
        <v>40.619999999999997</v>
      </c>
      <c r="I128" s="8">
        <f>'Posted Sales Invoice Lines'!O128</f>
        <v>0</v>
      </c>
    </row>
    <row r="129" spans="1:9" x14ac:dyDescent="0.25">
      <c r="A129" s="2" t="str">
        <f>'Posted Sales Invoice Lines'!A129</f>
        <v>PS-INV179701</v>
      </c>
      <c r="B129" s="2" t="str">
        <f>'Posted Sales Invoice Lines'!B129</f>
        <v>10540-03</v>
      </c>
      <c r="C129" s="2" t="str">
        <f>'Posted Sales Invoice Lines'!C129</f>
        <v>PFG Louisville TN</v>
      </c>
      <c r="D129" s="2" t="str">
        <f>'Posted Sales Invoice Lines'!E129</f>
        <v>F53091</v>
      </c>
      <c r="E129" s="2" t="str">
        <f>'Posted Sales Invoice Lines'!F129</f>
        <v>Cs. 6" Hoagie Slab Cut</v>
      </c>
      <c r="F129" s="3">
        <f>'Posted Sales Invoice Lines'!G129</f>
        <v>46037</v>
      </c>
      <c r="G129" s="9">
        <f>'Posted Sales Invoice Lines'!L129</f>
        <v>28</v>
      </c>
      <c r="H129" s="8">
        <f>'Posted Sales Invoice Lines'!N129</f>
        <v>35</v>
      </c>
      <c r="I129" s="8">
        <f>'Posted Sales Invoice Lines'!O129</f>
        <v>980</v>
      </c>
    </row>
    <row r="130" spans="1:9" x14ac:dyDescent="0.25">
      <c r="A130" s="2" t="str">
        <f>'Posted Sales Invoice Lines'!A130</f>
        <v>PS-INV179701</v>
      </c>
      <c r="B130" s="2" t="str">
        <f>'Posted Sales Invoice Lines'!B130</f>
        <v>10540-03</v>
      </c>
      <c r="C130" s="2" t="str">
        <f>'Posted Sales Invoice Lines'!C130</f>
        <v>PFG Louisville TN</v>
      </c>
      <c r="D130" s="2" t="str">
        <f>'Posted Sales Invoice Lines'!E130</f>
        <v>F530421</v>
      </c>
      <c r="E130" s="2" t="str">
        <f>'Posted Sales Invoice Lines'!F130</f>
        <v>Cs. 4.5" Challah Buns 6-12pk.</v>
      </c>
      <c r="F130" s="3">
        <f>'Posted Sales Invoice Lines'!G130</f>
        <v>46037</v>
      </c>
      <c r="G130" s="9">
        <f>'Posted Sales Invoice Lines'!L130</f>
        <v>84</v>
      </c>
      <c r="H130" s="8">
        <f>'Posted Sales Invoice Lines'!N130</f>
        <v>38.299999999999997</v>
      </c>
      <c r="I130" s="8">
        <f>'Posted Sales Invoice Lines'!O130</f>
        <v>3217.2</v>
      </c>
    </row>
    <row r="131" spans="1:9" x14ac:dyDescent="0.25">
      <c r="A131" s="2" t="str">
        <f>'Posted Sales Invoice Lines'!A131</f>
        <v>PS-INV179701</v>
      </c>
      <c r="B131" s="2" t="str">
        <f>'Posted Sales Invoice Lines'!B131</f>
        <v>10540-03</v>
      </c>
      <c r="C131" s="2" t="str">
        <f>'Posted Sales Invoice Lines'!C131</f>
        <v>PFG Louisville TN</v>
      </c>
      <c r="D131" s="2" t="str">
        <f>'Posted Sales Invoice Lines'!E131</f>
        <v>F51080</v>
      </c>
      <c r="E131" s="2" t="str">
        <f>'Posted Sales Invoice Lines'!F131</f>
        <v>Cs. Wheatberry Hearth 1/2" 8lvs</v>
      </c>
      <c r="F131" s="3">
        <f>'Posted Sales Invoice Lines'!G131</f>
        <v>46037</v>
      </c>
      <c r="G131" s="9">
        <f>'Posted Sales Invoice Lines'!L131</f>
        <v>28</v>
      </c>
      <c r="H131" s="8">
        <f>'Posted Sales Invoice Lines'!N131</f>
        <v>49</v>
      </c>
      <c r="I131" s="8">
        <f>'Posted Sales Invoice Lines'!O131</f>
        <v>1372</v>
      </c>
    </row>
    <row r="132" spans="1:9" x14ac:dyDescent="0.25">
      <c r="A132" s="2" t="str">
        <f>'Posted Sales Invoice Lines'!A132</f>
        <v>PS-INV179701</v>
      </c>
      <c r="B132" s="2" t="str">
        <f>'Posted Sales Invoice Lines'!B132</f>
        <v>10540-03</v>
      </c>
      <c r="C132" s="2" t="str">
        <f>'Posted Sales Invoice Lines'!C132</f>
        <v>PFG Louisville TN</v>
      </c>
      <c r="D132" s="2" t="str">
        <f>'Posted Sales Invoice Lines'!E132</f>
        <v>F51030</v>
      </c>
      <c r="E132" s="2" t="str">
        <f>'Posted Sales Invoice Lines'!F132</f>
        <v>Cs. Sour Dough Hearth 8lvs</v>
      </c>
      <c r="F132" s="3">
        <f>'Posted Sales Invoice Lines'!G132</f>
        <v>46037</v>
      </c>
      <c r="G132" s="9">
        <f>'Posted Sales Invoice Lines'!L132</f>
        <v>0</v>
      </c>
      <c r="H132" s="8">
        <f>'Posted Sales Invoice Lines'!N132</f>
        <v>43.82</v>
      </c>
      <c r="I132" s="8">
        <f>'Posted Sales Invoice Lines'!O132</f>
        <v>0</v>
      </c>
    </row>
    <row r="133" spans="1:9" x14ac:dyDescent="0.25">
      <c r="A133" s="2" t="str">
        <f>'Posted Sales Invoice Lines'!A133</f>
        <v>PS-INV179701</v>
      </c>
      <c r="B133" s="2" t="str">
        <f>'Posted Sales Invoice Lines'!B133</f>
        <v>10540-03</v>
      </c>
      <c r="C133" s="2" t="str">
        <f>'Posted Sales Invoice Lines'!C133</f>
        <v>PFG Louisville TN</v>
      </c>
      <c r="D133" s="2" t="str">
        <f>'Posted Sales Invoice Lines'!E133</f>
        <v>F53072</v>
      </c>
      <c r="E133" s="2" t="str">
        <f>'Posted Sales Invoice Lines'!F133</f>
        <v>Cs. 5" Challah Bun 8-8pk</v>
      </c>
      <c r="F133" s="3">
        <f>'Posted Sales Invoice Lines'!G133</f>
        <v>46037</v>
      </c>
      <c r="G133" s="9">
        <f>'Posted Sales Invoice Lines'!L133</f>
        <v>8</v>
      </c>
      <c r="H133" s="8">
        <f>'Posted Sales Invoice Lines'!N133</f>
        <v>38.07</v>
      </c>
      <c r="I133" s="8">
        <f>'Posted Sales Invoice Lines'!O133</f>
        <v>304.56</v>
      </c>
    </row>
    <row r="134" spans="1:9" x14ac:dyDescent="0.25">
      <c r="A134" s="2" t="str">
        <f>'Posted Sales Invoice Lines'!A134</f>
        <v>PS-INV179701</v>
      </c>
      <c r="B134" s="2" t="str">
        <f>'Posted Sales Invoice Lines'!B134</f>
        <v>10540-03</v>
      </c>
      <c r="C134" s="2" t="str">
        <f>'Posted Sales Invoice Lines'!C134</f>
        <v>PFG Louisville TN</v>
      </c>
      <c r="D134" s="2" t="str">
        <f>'Posted Sales Invoice Lines'!E134</f>
        <v>F53100</v>
      </c>
      <c r="E134" s="2" t="str">
        <f>'Posted Sales Invoice Lines'!F134</f>
        <v>Cs. Hot Dog pl/sl 12-8pk</v>
      </c>
      <c r="F134" s="3">
        <f>'Posted Sales Invoice Lines'!G134</f>
        <v>46037</v>
      </c>
      <c r="G134" s="9">
        <f>'Posted Sales Invoice Lines'!L134</f>
        <v>40</v>
      </c>
      <c r="H134" s="8">
        <f>'Posted Sales Invoice Lines'!N134</f>
        <v>36.18</v>
      </c>
      <c r="I134" s="8">
        <f>'Posted Sales Invoice Lines'!O134</f>
        <v>1447.2</v>
      </c>
    </row>
    <row r="135" spans="1:9" x14ac:dyDescent="0.25">
      <c r="A135" s="2" t="str">
        <f>'Posted Sales Invoice Lines'!A135</f>
        <v>PS-INV179701</v>
      </c>
      <c r="B135" s="2" t="str">
        <f>'Posted Sales Invoice Lines'!B135</f>
        <v>10540-03</v>
      </c>
      <c r="C135" s="2" t="str">
        <f>'Posted Sales Invoice Lines'!C135</f>
        <v>PFG Louisville TN</v>
      </c>
      <c r="D135" s="2" t="str">
        <f>'Posted Sales Invoice Lines'!E135</f>
        <v>F53106</v>
      </c>
      <c r="E135" s="2" t="str">
        <f>'Posted Sales Invoice Lines'!F135</f>
        <v>Cs. Large Hot Dog 12-6pk</v>
      </c>
      <c r="F135" s="3">
        <f>'Posted Sales Invoice Lines'!G135</f>
        <v>46037</v>
      </c>
      <c r="G135" s="9">
        <f>'Posted Sales Invoice Lines'!L135</f>
        <v>12</v>
      </c>
      <c r="H135" s="8">
        <f>'Posted Sales Invoice Lines'!N135</f>
        <v>36.07</v>
      </c>
      <c r="I135" s="8">
        <f>'Posted Sales Invoice Lines'!O135</f>
        <v>432.84</v>
      </c>
    </row>
    <row r="136" spans="1:9" x14ac:dyDescent="0.25">
      <c r="A136" s="2" t="str">
        <f>'Posted Sales Invoice Lines'!A136</f>
        <v>PS-INV179701</v>
      </c>
      <c r="B136" s="2" t="str">
        <f>'Posted Sales Invoice Lines'!B136</f>
        <v>10540-03</v>
      </c>
      <c r="C136" s="2" t="str">
        <f>'Posted Sales Invoice Lines'!C136</f>
        <v>PFG Louisville TN</v>
      </c>
      <c r="D136" s="2" t="str">
        <f>'Posted Sales Invoice Lines'!E136</f>
        <v>F51034</v>
      </c>
      <c r="E136" s="2" t="str">
        <f>'Posted Sales Invoice Lines'!F136</f>
        <v>Cs. Sour Dough Hearth 5/8" 8lvs</v>
      </c>
      <c r="F136" s="3">
        <f>'Posted Sales Invoice Lines'!G136</f>
        <v>46037</v>
      </c>
      <c r="G136" s="9">
        <f>'Posted Sales Invoice Lines'!L136</f>
        <v>56</v>
      </c>
      <c r="H136" s="8">
        <f>'Posted Sales Invoice Lines'!N136</f>
        <v>43.82</v>
      </c>
      <c r="I136" s="8">
        <f>'Posted Sales Invoice Lines'!O136</f>
        <v>2453.92</v>
      </c>
    </row>
    <row r="137" spans="1:9" x14ac:dyDescent="0.25">
      <c r="A137" s="2" t="str">
        <f>'Posted Sales Invoice Lines'!A137</f>
        <v>PS-INV179701</v>
      </c>
      <c r="B137" s="2" t="str">
        <f>'Posted Sales Invoice Lines'!B137</f>
        <v>10540-03</v>
      </c>
      <c r="C137" s="2" t="str">
        <f>'Posted Sales Invoice Lines'!C137</f>
        <v>PFG Louisville TN</v>
      </c>
      <c r="D137" s="2" t="str">
        <f>'Posted Sales Invoice Lines'!E137</f>
        <v>F53094</v>
      </c>
      <c r="E137" s="2" t="str">
        <f>'Posted Sales Invoice Lines'!F137</f>
        <v>Cs. 6" Italian 12-6pks</v>
      </c>
      <c r="F137" s="3">
        <f>'Posted Sales Invoice Lines'!G137</f>
        <v>46037</v>
      </c>
      <c r="G137" s="9">
        <f>'Posted Sales Invoice Lines'!L137</f>
        <v>28</v>
      </c>
      <c r="H137" s="8">
        <f>'Posted Sales Invoice Lines'!N137</f>
        <v>35</v>
      </c>
      <c r="I137" s="8">
        <f>'Posted Sales Invoice Lines'!O137</f>
        <v>980</v>
      </c>
    </row>
    <row r="138" spans="1:9" x14ac:dyDescent="0.25">
      <c r="A138" s="2" t="str">
        <f>'Posted Sales Invoice Lines'!A138</f>
        <v>PS-INV179701</v>
      </c>
      <c r="B138" s="2" t="str">
        <f>'Posted Sales Invoice Lines'!B138</f>
        <v>10540-03</v>
      </c>
      <c r="C138" s="2" t="str">
        <f>'Posted Sales Invoice Lines'!C138</f>
        <v>PFG Louisville TN</v>
      </c>
      <c r="D138" s="2" t="str">
        <f>'Posted Sales Invoice Lines'!E138</f>
        <v>F51414</v>
      </c>
      <c r="E138" s="2" t="str">
        <f>'Posted Sales Invoice Lines'!F138</f>
        <v>Cs. Cranberry 9 Grain Hearth 5/8" 8lvs</v>
      </c>
      <c r="F138" s="3">
        <f>'Posted Sales Invoice Lines'!G138</f>
        <v>46037</v>
      </c>
      <c r="G138" s="9">
        <f>'Posted Sales Invoice Lines'!L138</f>
        <v>16</v>
      </c>
      <c r="H138" s="8">
        <f>'Posted Sales Invoice Lines'!N138</f>
        <v>64</v>
      </c>
      <c r="I138" s="8">
        <f>'Posted Sales Invoice Lines'!O138</f>
        <v>1024</v>
      </c>
    </row>
    <row r="139" spans="1:9" x14ac:dyDescent="0.25">
      <c r="A139" s="2" t="str">
        <f>'Posted Sales Invoice Lines'!A139</f>
        <v>PS-INV179701</v>
      </c>
      <c r="B139" s="2" t="str">
        <f>'Posted Sales Invoice Lines'!B139</f>
        <v>10540-03</v>
      </c>
      <c r="C139" s="2" t="str">
        <f>'Posted Sales Invoice Lines'!C139</f>
        <v>PFG Louisville TN</v>
      </c>
      <c r="D139" s="2" t="str">
        <f>'Posted Sales Invoice Lines'!E139</f>
        <v>F51200</v>
      </c>
      <c r="E139" s="2" t="str">
        <f>'Posted Sales Invoice Lines'!F139</f>
        <v>Cs. Jalapeno Corn Hearth 5/8" 8lvs</v>
      </c>
      <c r="F139" s="3">
        <f>'Posted Sales Invoice Lines'!G139</f>
        <v>46037</v>
      </c>
      <c r="G139" s="9">
        <f>'Posted Sales Invoice Lines'!L139</f>
        <v>0</v>
      </c>
      <c r="H139" s="8">
        <f>'Posted Sales Invoice Lines'!N139</f>
        <v>60.7</v>
      </c>
      <c r="I139" s="8">
        <f>'Posted Sales Invoice Lines'!O139</f>
        <v>0</v>
      </c>
    </row>
    <row r="140" spans="1:9" x14ac:dyDescent="0.25">
      <c r="A140" s="2" t="str">
        <f>'Posted Sales Invoice Lines'!A140</f>
        <v>PS-INV179795</v>
      </c>
      <c r="B140" s="2" t="str">
        <f>'Posted Sales Invoice Lines'!B140</f>
        <v>10899</v>
      </c>
      <c r="C140" s="2" t="str">
        <f>'Posted Sales Invoice Lines'!C140</f>
        <v>Wood Fruitticher Grocery Co.</v>
      </c>
      <c r="D140" s="2" t="str">
        <f>'Posted Sales Invoice Lines'!E140</f>
        <v>F53003</v>
      </c>
      <c r="E140" s="2" t="str">
        <f>'Posted Sales Invoice Lines'!F140</f>
        <v>Cs. 4" Unseeded Challah Bun 8-12pk</v>
      </c>
      <c r="F140" s="3">
        <f>'Posted Sales Invoice Lines'!G140</f>
        <v>46036</v>
      </c>
      <c r="G140" s="9">
        <f>'Posted Sales Invoice Lines'!L140</f>
        <v>96</v>
      </c>
      <c r="H140" s="8">
        <f>'Posted Sales Invoice Lines'!N140</f>
        <v>35.479999999999997</v>
      </c>
      <c r="I140" s="8">
        <f>'Posted Sales Invoice Lines'!O140</f>
        <v>3406.08</v>
      </c>
    </row>
    <row r="141" spans="1:9" x14ac:dyDescent="0.25">
      <c r="A141" s="2" t="str">
        <f>'Posted Sales Invoice Lines'!A141</f>
        <v>PS-INV179795</v>
      </c>
      <c r="B141" s="2" t="str">
        <f>'Posted Sales Invoice Lines'!B141</f>
        <v>10899</v>
      </c>
      <c r="C141" s="2" t="str">
        <f>'Posted Sales Invoice Lines'!C141</f>
        <v>Wood Fruitticher Grocery Co.</v>
      </c>
      <c r="D141" s="2" t="str">
        <f>'Posted Sales Invoice Lines'!E141</f>
        <v>F53115</v>
      </c>
      <c r="E141" s="2" t="str">
        <f>'Posted Sales Invoice Lines'!F141</f>
        <v>Cs. 7" French Unsliced 12-6pk</v>
      </c>
      <c r="F141" s="3">
        <f>'Posted Sales Invoice Lines'!G141</f>
        <v>46036</v>
      </c>
      <c r="G141" s="9">
        <f>'Posted Sales Invoice Lines'!L141</f>
        <v>12</v>
      </c>
      <c r="H141" s="8">
        <f>'Posted Sales Invoice Lines'!N141</f>
        <v>28.88</v>
      </c>
      <c r="I141" s="8">
        <f>'Posted Sales Invoice Lines'!O141</f>
        <v>346.56</v>
      </c>
    </row>
    <row r="142" spans="1:9" x14ac:dyDescent="0.25">
      <c r="A142" s="2" t="str">
        <f>'Posted Sales Invoice Lines'!A142</f>
        <v>PS-INV179795</v>
      </c>
      <c r="B142" s="2" t="str">
        <f>'Posted Sales Invoice Lines'!B142</f>
        <v>10899</v>
      </c>
      <c r="C142" s="2" t="str">
        <f>'Posted Sales Invoice Lines'!C142</f>
        <v>Wood Fruitticher Grocery Co.</v>
      </c>
      <c r="D142" s="2" t="str">
        <f>'Posted Sales Invoice Lines'!E142</f>
        <v>F53070</v>
      </c>
      <c r="E142" s="2" t="str">
        <f>'Posted Sales Invoice Lines'!F142</f>
        <v xml:space="preserve">Cs. 5" Challah Sesame Buns </v>
      </c>
      <c r="F142" s="3">
        <f>'Posted Sales Invoice Lines'!G142</f>
        <v>46036</v>
      </c>
      <c r="G142" s="9">
        <f>'Posted Sales Invoice Lines'!L142</f>
        <v>96</v>
      </c>
      <c r="H142" s="8">
        <f>'Posted Sales Invoice Lines'!N142</f>
        <v>32.89</v>
      </c>
      <c r="I142" s="8">
        <f>'Posted Sales Invoice Lines'!O142</f>
        <v>3157.44</v>
      </c>
    </row>
    <row r="143" spans="1:9" x14ac:dyDescent="0.25">
      <c r="A143" s="2" t="str">
        <f>'Posted Sales Invoice Lines'!A143</f>
        <v>PS-INV179795</v>
      </c>
      <c r="B143" s="2" t="str">
        <f>'Posted Sales Invoice Lines'!B143</f>
        <v>10899</v>
      </c>
      <c r="C143" s="2" t="str">
        <f>'Posted Sales Invoice Lines'!C143</f>
        <v>Wood Fruitticher Grocery Co.</v>
      </c>
      <c r="D143" s="2" t="str">
        <f>'Posted Sales Invoice Lines'!E143</f>
        <v>F53000</v>
      </c>
      <c r="E143" s="2" t="str">
        <f>'Posted Sales Invoice Lines'!F143</f>
        <v>Cs. 4" Hamburger Bun 8-12pk</v>
      </c>
      <c r="F143" s="3">
        <f>'Posted Sales Invoice Lines'!G143</f>
        <v>46036</v>
      </c>
      <c r="G143" s="9">
        <f>'Posted Sales Invoice Lines'!L143</f>
        <v>224</v>
      </c>
      <c r="H143" s="8">
        <f>'Posted Sales Invoice Lines'!N143</f>
        <v>28.33</v>
      </c>
      <c r="I143" s="8">
        <f>'Posted Sales Invoice Lines'!O143</f>
        <v>6345.92</v>
      </c>
    </row>
    <row r="144" spans="1:9" x14ac:dyDescent="0.25">
      <c r="A144" s="2" t="str">
        <f>'Posted Sales Invoice Lines'!A144</f>
        <v>PS-INV179795</v>
      </c>
      <c r="B144" s="2" t="str">
        <f>'Posted Sales Invoice Lines'!B144</f>
        <v>10899</v>
      </c>
      <c r="C144" s="2" t="str">
        <f>'Posted Sales Invoice Lines'!C144</f>
        <v>Wood Fruitticher Grocery Co.</v>
      </c>
      <c r="D144" s="2" t="str">
        <f>'Posted Sales Invoice Lines'!E144</f>
        <v>F51137</v>
      </c>
      <c r="E144" s="2" t="str">
        <f>'Posted Sales Invoice Lines'!F144</f>
        <v>Cs. Texas Toast 3/4" 12lvs</v>
      </c>
      <c r="F144" s="3">
        <f>'Posted Sales Invoice Lines'!G144</f>
        <v>46036</v>
      </c>
      <c r="G144" s="9">
        <f>'Posted Sales Invoice Lines'!L144</f>
        <v>192</v>
      </c>
      <c r="H144" s="8">
        <f>'Posted Sales Invoice Lines'!N144</f>
        <v>28.49</v>
      </c>
      <c r="I144" s="8">
        <f>'Posted Sales Invoice Lines'!O144</f>
        <v>5470.08</v>
      </c>
    </row>
    <row r="145" spans="1:9" x14ac:dyDescent="0.25">
      <c r="A145" s="2" t="str">
        <f>'Posted Sales Invoice Lines'!A145</f>
        <v>PS-INV179795</v>
      </c>
      <c r="B145" s="2" t="str">
        <f>'Posted Sales Invoice Lines'!B145</f>
        <v>10899</v>
      </c>
      <c r="C145" s="2" t="str">
        <f>'Posted Sales Invoice Lines'!C145</f>
        <v>Wood Fruitticher Grocery Co.</v>
      </c>
      <c r="D145" s="2" t="str">
        <f>'Posted Sales Invoice Lines'!E145</f>
        <v>F54014</v>
      </c>
      <c r="E145" s="2" t="str">
        <f>'Posted Sales Invoice Lines'!F145</f>
        <v>Cs. White Mountain Dinner Rolls 12-12pk</v>
      </c>
      <c r="F145" s="3">
        <f>'Posted Sales Invoice Lines'!G145</f>
        <v>46036</v>
      </c>
      <c r="G145" s="9">
        <f>'Posted Sales Invoice Lines'!L145</f>
        <v>32</v>
      </c>
      <c r="H145" s="8">
        <f>'Posted Sales Invoice Lines'!N145</f>
        <v>29.1</v>
      </c>
      <c r="I145" s="8">
        <f>'Posted Sales Invoice Lines'!O145</f>
        <v>931.2</v>
      </c>
    </row>
    <row r="146" spans="1:9" x14ac:dyDescent="0.25">
      <c r="A146" s="2" t="str">
        <f>'Posted Sales Invoice Lines'!A146</f>
        <v>PS-INV179795</v>
      </c>
      <c r="B146" s="2" t="str">
        <f>'Posted Sales Invoice Lines'!B146</f>
        <v>10899</v>
      </c>
      <c r="C146" s="2" t="str">
        <f>'Posted Sales Invoice Lines'!C146</f>
        <v>Wood Fruitticher Grocery Co.</v>
      </c>
      <c r="D146" s="2" t="str">
        <f>'Posted Sales Invoice Lines'!E146</f>
        <v>F51134</v>
      </c>
      <c r="E146" s="2" t="str">
        <f>'Posted Sales Invoice Lines'!F146</f>
        <v>Cs. Club Wheat 12lvs</v>
      </c>
      <c r="F146" s="3">
        <f>'Posted Sales Invoice Lines'!G146</f>
        <v>46036</v>
      </c>
      <c r="G146" s="9">
        <f>'Posted Sales Invoice Lines'!L146</f>
        <v>32</v>
      </c>
      <c r="H146" s="8">
        <f>'Posted Sales Invoice Lines'!N146</f>
        <v>28.49</v>
      </c>
      <c r="I146" s="8">
        <f>'Posted Sales Invoice Lines'!O146</f>
        <v>911.68</v>
      </c>
    </row>
    <row r="147" spans="1:9" x14ac:dyDescent="0.25">
      <c r="A147" s="2" t="str">
        <f>'Posted Sales Invoice Lines'!A147</f>
        <v>PS-INV179795</v>
      </c>
      <c r="B147" s="2" t="str">
        <f>'Posted Sales Invoice Lines'!B147</f>
        <v>10899</v>
      </c>
      <c r="C147" s="2" t="str">
        <f>'Posted Sales Invoice Lines'!C147</f>
        <v>Wood Fruitticher Grocery Co.</v>
      </c>
      <c r="D147" s="2" t="str">
        <f>'Posted Sales Invoice Lines'!E147</f>
        <v>F51130</v>
      </c>
      <c r="E147" s="2" t="str">
        <f>'Posted Sales Invoice Lines'!F147</f>
        <v>Cs. Club White 12lvs</v>
      </c>
      <c r="F147" s="3">
        <f>'Posted Sales Invoice Lines'!G147</f>
        <v>46036</v>
      </c>
      <c r="G147" s="9">
        <f>'Posted Sales Invoice Lines'!L147</f>
        <v>32</v>
      </c>
      <c r="H147" s="8">
        <f>'Posted Sales Invoice Lines'!N147</f>
        <v>28.49</v>
      </c>
      <c r="I147" s="8">
        <f>'Posted Sales Invoice Lines'!O147</f>
        <v>911.68</v>
      </c>
    </row>
    <row r="148" spans="1:9" x14ac:dyDescent="0.25">
      <c r="A148" s="2" t="str">
        <f>'Posted Sales Invoice Lines'!A148</f>
        <v>PS-INV179795</v>
      </c>
      <c r="B148" s="2" t="str">
        <f>'Posted Sales Invoice Lines'!B148</f>
        <v>10899</v>
      </c>
      <c r="C148" s="2" t="str">
        <f>'Posted Sales Invoice Lines'!C148</f>
        <v>Wood Fruitticher Grocery Co.</v>
      </c>
      <c r="D148" s="2" t="str">
        <f>'Posted Sales Invoice Lines'!E148</f>
        <v>F53116</v>
      </c>
      <c r="E148" s="2" t="str">
        <f>'Posted Sales Invoice Lines'!F148</f>
        <v>Cs. 7" French Hinged 12</v>
      </c>
      <c r="F148" s="3">
        <f>'Posted Sales Invoice Lines'!G148</f>
        <v>46036</v>
      </c>
      <c r="G148" s="9">
        <f>'Posted Sales Invoice Lines'!L148</f>
        <v>48</v>
      </c>
      <c r="H148" s="8">
        <f>'Posted Sales Invoice Lines'!N148</f>
        <v>28.88</v>
      </c>
      <c r="I148" s="8">
        <f>'Posted Sales Invoice Lines'!O148</f>
        <v>1386.24</v>
      </c>
    </row>
    <row r="149" spans="1:9" x14ac:dyDescent="0.25">
      <c r="A149" s="2" t="str">
        <f>'Posted Sales Invoice Lines'!A149</f>
        <v>PS-INV179795</v>
      </c>
      <c r="B149" s="2" t="str">
        <f>'Posted Sales Invoice Lines'!B149</f>
        <v>10899</v>
      </c>
      <c r="C149" s="2" t="str">
        <f>'Posted Sales Invoice Lines'!C149</f>
        <v>Wood Fruitticher Grocery Co.</v>
      </c>
      <c r="D149" s="2" t="str">
        <f>'Posted Sales Invoice Lines'!E149</f>
        <v>F530441</v>
      </c>
      <c r="E149" s="2" t="str">
        <f>'Posted Sales Invoice Lines'!F149</f>
        <v>Cs. 4.5"Onion Roll</v>
      </c>
      <c r="F149" s="3">
        <f>'Posted Sales Invoice Lines'!G149</f>
        <v>46036</v>
      </c>
      <c r="G149" s="9">
        <f>'Posted Sales Invoice Lines'!L149</f>
        <v>16</v>
      </c>
      <c r="H149" s="8">
        <f>'Posted Sales Invoice Lines'!N149</f>
        <v>43.34</v>
      </c>
      <c r="I149" s="8">
        <f>'Posted Sales Invoice Lines'!O149</f>
        <v>693.44</v>
      </c>
    </row>
    <row r="150" spans="1:9" x14ac:dyDescent="0.25">
      <c r="A150" s="2" t="str">
        <f>'Posted Sales Invoice Lines'!A150</f>
        <v>PS-INV179795</v>
      </c>
      <c r="B150" s="2" t="str">
        <f>'Posted Sales Invoice Lines'!B150</f>
        <v>10899</v>
      </c>
      <c r="C150" s="2" t="str">
        <f>'Posted Sales Invoice Lines'!C150</f>
        <v>Wood Fruitticher Grocery Co.</v>
      </c>
      <c r="D150" s="2" t="str">
        <f>'Posted Sales Invoice Lines'!E150</f>
        <v>F53001</v>
      </c>
      <c r="E150" s="2" t="str">
        <f>'Posted Sales Invoice Lines'!F150</f>
        <v>Cs. 4" Brioche Bun 8-12pk</v>
      </c>
      <c r="F150" s="3">
        <f>'Posted Sales Invoice Lines'!G150</f>
        <v>46036</v>
      </c>
      <c r="G150" s="9">
        <f>'Posted Sales Invoice Lines'!L150</f>
        <v>56</v>
      </c>
      <c r="H150" s="8">
        <f>'Posted Sales Invoice Lines'!N150</f>
        <v>40.43</v>
      </c>
      <c r="I150" s="8">
        <f>'Posted Sales Invoice Lines'!O150</f>
        <v>2264.08</v>
      </c>
    </row>
    <row r="151" spans="1:9" x14ac:dyDescent="0.25">
      <c r="A151" s="2" t="str">
        <f>'Posted Sales Invoice Lines'!A151</f>
        <v>PS-INV180211</v>
      </c>
      <c r="B151" s="2" t="str">
        <f>'Posted Sales Invoice Lines'!B151</f>
        <v>10500-37</v>
      </c>
      <c r="C151" s="2" t="str">
        <f>'Posted Sales Invoice Lines'!C151</f>
        <v>Life University #30994 - Barclay Circle</v>
      </c>
      <c r="D151" s="2" t="str">
        <f>'Posted Sales Invoice Lines'!E151</f>
        <v>F56560</v>
      </c>
      <c r="E151" s="2" t="str">
        <f>'Posted Sales Invoice Lines'!F151</f>
        <v>Gluten Free 3.5" Hamburger 36ct</v>
      </c>
      <c r="F151" s="3">
        <f>'Posted Sales Invoice Lines'!G151</f>
        <v>46029</v>
      </c>
      <c r="G151" s="9">
        <f>'Posted Sales Invoice Lines'!L151</f>
        <v>0</v>
      </c>
      <c r="H151" s="8">
        <f>'Posted Sales Invoice Lines'!N151</f>
        <v>0</v>
      </c>
      <c r="I151" s="8">
        <f>'Posted Sales Invoice Lines'!O151</f>
        <v>0</v>
      </c>
    </row>
    <row r="152" spans="1:9" x14ac:dyDescent="0.25">
      <c r="A152" s="2" t="str">
        <f>'Posted Sales Invoice Lines'!A152</f>
        <v>PS-INV180403</v>
      </c>
      <c r="B152" s="2" t="str">
        <f>'Posted Sales Invoice Lines'!B152</f>
        <v>20069</v>
      </c>
      <c r="C152" s="2" t="str">
        <f>'Posted Sales Invoice Lines'!C152</f>
        <v>Cherry St.</v>
      </c>
      <c r="D152" s="2" t="str">
        <f>'Posted Sales Invoice Lines'!E152</f>
        <v>F56560</v>
      </c>
      <c r="E152" s="2" t="str">
        <f>'Posted Sales Invoice Lines'!F152</f>
        <v>Gluten Free 3.5" Hamburger 36ct</v>
      </c>
      <c r="F152" s="3">
        <f>'Posted Sales Invoice Lines'!G152</f>
        <v>46030</v>
      </c>
      <c r="G152" s="9">
        <f>'Posted Sales Invoice Lines'!L152</f>
        <v>0</v>
      </c>
      <c r="H152" s="8">
        <f>'Posted Sales Invoice Lines'!N152</f>
        <v>0</v>
      </c>
      <c r="I152" s="8">
        <f>'Posted Sales Invoice Lines'!O152</f>
        <v>0</v>
      </c>
    </row>
    <row r="153" spans="1:9" x14ac:dyDescent="0.25">
      <c r="A153" s="2" t="str">
        <f>'Posted Sales Invoice Lines'!A153</f>
        <v>PS-INV180595</v>
      </c>
      <c r="B153" s="2" t="str">
        <f>'Posted Sales Invoice Lines'!B153</f>
        <v>10719-6</v>
      </c>
      <c r="C153" s="2" t="str">
        <f>'Posted Sales Invoice Lines'!C153</f>
        <v>US Foods - Alcoa TN.</v>
      </c>
      <c r="D153" s="2" t="str">
        <f>'Posted Sales Invoice Lines'!E153</f>
        <v>F530142</v>
      </c>
      <c r="E153" s="2" t="str">
        <f>'Posted Sales Invoice Lines'!F153</f>
        <v>Cs. Knot Roll 8-12pk</v>
      </c>
      <c r="F153" s="3">
        <f>'Posted Sales Invoice Lines'!G153</f>
        <v>46049</v>
      </c>
      <c r="G153" s="9">
        <f>'Posted Sales Invoice Lines'!L153</f>
        <v>0</v>
      </c>
      <c r="H153" s="8">
        <f>'Posted Sales Invoice Lines'!N153</f>
        <v>36.5</v>
      </c>
      <c r="I153" s="8">
        <f>'Posted Sales Invoice Lines'!O153</f>
        <v>0</v>
      </c>
    </row>
    <row r="154" spans="1:9" x14ac:dyDescent="0.25">
      <c r="A154" s="2" t="str">
        <f>'Posted Sales Invoice Lines'!A154</f>
        <v>PS-INV180595</v>
      </c>
      <c r="B154" s="2" t="str">
        <f>'Posted Sales Invoice Lines'!B154</f>
        <v>10719-6</v>
      </c>
      <c r="C154" s="2" t="str">
        <f>'Posted Sales Invoice Lines'!C154</f>
        <v>US Foods - Alcoa TN.</v>
      </c>
      <c r="D154" s="2" t="str">
        <f>'Posted Sales Invoice Lines'!E154</f>
        <v>F51136</v>
      </c>
      <c r="E154" s="2" t="str">
        <f>'Posted Sales Invoice Lines'!F154</f>
        <v>Cs. Texas Toast 1" 12lvs</v>
      </c>
      <c r="F154" s="3">
        <f>'Posted Sales Invoice Lines'!G154</f>
        <v>46049</v>
      </c>
      <c r="G154" s="9">
        <f>'Posted Sales Invoice Lines'!L154</f>
        <v>56</v>
      </c>
      <c r="H154" s="8">
        <f>'Posted Sales Invoice Lines'!N154</f>
        <v>40.119999999999997</v>
      </c>
      <c r="I154" s="8">
        <f>'Posted Sales Invoice Lines'!O154</f>
        <v>2246.7199999999998</v>
      </c>
    </row>
    <row r="155" spans="1:9" x14ac:dyDescent="0.25">
      <c r="A155" s="2" t="str">
        <f>'Posted Sales Invoice Lines'!A155</f>
        <v>PS-INV180595</v>
      </c>
      <c r="B155" s="2" t="str">
        <f>'Posted Sales Invoice Lines'!B155</f>
        <v>10719-6</v>
      </c>
      <c r="C155" s="2" t="str">
        <f>'Posted Sales Invoice Lines'!C155</f>
        <v>US Foods - Alcoa TN.</v>
      </c>
      <c r="D155" s="2" t="str">
        <f>'Posted Sales Invoice Lines'!E155</f>
        <v>F51004</v>
      </c>
      <c r="E155" s="2" t="str">
        <f>'Posted Sales Invoice Lines'!F155</f>
        <v>Cs. Rye 5/8" 8lvs</v>
      </c>
      <c r="F155" s="3">
        <f>'Posted Sales Invoice Lines'!G155</f>
        <v>46049</v>
      </c>
      <c r="G155" s="9">
        <f>'Posted Sales Invoice Lines'!L155</f>
        <v>4</v>
      </c>
      <c r="H155" s="8">
        <f>'Posted Sales Invoice Lines'!N155</f>
        <v>42.03</v>
      </c>
      <c r="I155" s="8">
        <f>'Posted Sales Invoice Lines'!O155</f>
        <v>168.12</v>
      </c>
    </row>
    <row r="156" spans="1:9" x14ac:dyDescent="0.25">
      <c r="A156" s="2" t="str">
        <f>'Posted Sales Invoice Lines'!A156</f>
        <v>PS-INV180595</v>
      </c>
      <c r="B156" s="2" t="str">
        <f>'Posted Sales Invoice Lines'!B156</f>
        <v>10719-6</v>
      </c>
      <c r="C156" s="2" t="str">
        <f>'Posted Sales Invoice Lines'!C156</f>
        <v>US Foods - Alcoa TN.</v>
      </c>
      <c r="D156" s="2" t="str">
        <f>'Posted Sales Invoice Lines'!E156</f>
        <v>F53025</v>
      </c>
      <c r="E156" s="2" t="str">
        <f>'Posted Sales Invoice Lines'!F156</f>
        <v>Cs. Sesame Challah Kaiser 8-12pk</v>
      </c>
      <c r="F156" s="3">
        <f>'Posted Sales Invoice Lines'!G156</f>
        <v>46049</v>
      </c>
      <c r="G156" s="9">
        <f>'Posted Sales Invoice Lines'!L156</f>
        <v>56</v>
      </c>
      <c r="H156" s="8">
        <f>'Posted Sales Invoice Lines'!N156</f>
        <v>39</v>
      </c>
      <c r="I156" s="8">
        <f>'Posted Sales Invoice Lines'!O156</f>
        <v>2184</v>
      </c>
    </row>
    <row r="157" spans="1:9" x14ac:dyDescent="0.25">
      <c r="A157" s="2" t="str">
        <f>'Posted Sales Invoice Lines'!A157</f>
        <v>PS-INV180595</v>
      </c>
      <c r="B157" s="2" t="str">
        <f>'Posted Sales Invoice Lines'!B157</f>
        <v>10719-6</v>
      </c>
      <c r="C157" s="2" t="str">
        <f>'Posted Sales Invoice Lines'!C157</f>
        <v>US Foods - Alcoa TN.</v>
      </c>
      <c r="D157" s="2" t="str">
        <f>'Posted Sales Invoice Lines'!E157</f>
        <v>F53087</v>
      </c>
      <c r="E157" s="2" t="str">
        <f>'Posted Sales Invoice Lines'!F157</f>
        <v>Cs. 3.5" Challah Bun 8-12 pk</v>
      </c>
      <c r="F157" s="3">
        <f>'Posted Sales Invoice Lines'!G157</f>
        <v>46049</v>
      </c>
      <c r="G157" s="9">
        <f>'Posted Sales Invoice Lines'!L157</f>
        <v>72</v>
      </c>
      <c r="H157" s="8">
        <f>'Posted Sales Invoice Lines'!N157</f>
        <v>36.24</v>
      </c>
      <c r="I157" s="8">
        <f>'Posted Sales Invoice Lines'!O157</f>
        <v>2609.2800000000002</v>
      </c>
    </row>
    <row r="158" spans="1:9" x14ac:dyDescent="0.25">
      <c r="A158" s="2" t="str">
        <f>'Posted Sales Invoice Lines'!A158</f>
        <v>PS-INV180595</v>
      </c>
      <c r="B158" s="2" t="str">
        <f>'Posted Sales Invoice Lines'!B158</f>
        <v>10719-6</v>
      </c>
      <c r="C158" s="2" t="str">
        <f>'Posted Sales Invoice Lines'!C158</f>
        <v>US Foods - Alcoa TN.</v>
      </c>
      <c r="D158" s="2" t="str">
        <f>'Posted Sales Invoice Lines'!E158</f>
        <v>F51066</v>
      </c>
      <c r="E158" s="2" t="str">
        <f>'Posted Sales Invoice Lines'!F158</f>
        <v>Cs. Honey Wheat 3/4" 8lvs</v>
      </c>
      <c r="F158" s="3">
        <f>'Posted Sales Invoice Lines'!G158</f>
        <v>46049</v>
      </c>
      <c r="G158" s="9">
        <f>'Posted Sales Invoice Lines'!L158</f>
        <v>8</v>
      </c>
      <c r="H158" s="8">
        <f>'Posted Sales Invoice Lines'!N158</f>
        <v>35.21</v>
      </c>
      <c r="I158" s="8">
        <f>'Posted Sales Invoice Lines'!O158</f>
        <v>281.68</v>
      </c>
    </row>
    <row r="159" spans="1:9" x14ac:dyDescent="0.25">
      <c r="A159" s="2" t="str">
        <f>'Posted Sales Invoice Lines'!A159</f>
        <v>PS-INV180595</v>
      </c>
      <c r="B159" s="2" t="str">
        <f>'Posted Sales Invoice Lines'!B159</f>
        <v>10719-6</v>
      </c>
      <c r="C159" s="2" t="str">
        <f>'Posted Sales Invoice Lines'!C159</f>
        <v>US Foods - Alcoa TN.</v>
      </c>
      <c r="D159" s="2" t="str">
        <f>'Posted Sales Invoice Lines'!E159</f>
        <v>F53001</v>
      </c>
      <c r="E159" s="2" t="str">
        <f>'Posted Sales Invoice Lines'!F159</f>
        <v>Cs. 4" Brioche Bun 8-12pk</v>
      </c>
      <c r="F159" s="3">
        <f>'Posted Sales Invoice Lines'!G159</f>
        <v>46049</v>
      </c>
      <c r="G159" s="9">
        <f>'Posted Sales Invoice Lines'!L159</f>
        <v>252</v>
      </c>
      <c r="H159" s="8">
        <f>'Posted Sales Invoice Lines'!N159</f>
        <v>45.49</v>
      </c>
      <c r="I159" s="8">
        <f>'Posted Sales Invoice Lines'!O159</f>
        <v>11463.48</v>
      </c>
    </row>
    <row r="160" spans="1:9" x14ac:dyDescent="0.25">
      <c r="A160" s="2" t="str">
        <f>'Posted Sales Invoice Lines'!A160</f>
        <v>PS-INV180595</v>
      </c>
      <c r="B160" s="2" t="str">
        <f>'Posted Sales Invoice Lines'!B160</f>
        <v>10719-6</v>
      </c>
      <c r="C160" s="2" t="str">
        <f>'Posted Sales Invoice Lines'!C160</f>
        <v>US Foods - Alcoa TN.</v>
      </c>
      <c r="D160" s="2" t="str">
        <f>'Posted Sales Invoice Lines'!E160</f>
        <v>F51084</v>
      </c>
      <c r="E160" s="2" t="str">
        <f>'Posted Sales Invoice Lines'!F160</f>
        <v>Cs. Wheatberry Hearth</v>
      </c>
      <c r="F160" s="3">
        <f>'Posted Sales Invoice Lines'!G160</f>
        <v>46049</v>
      </c>
      <c r="G160" s="9">
        <f>'Posted Sales Invoice Lines'!L160</f>
        <v>8</v>
      </c>
      <c r="H160" s="8">
        <f>'Posted Sales Invoice Lines'!N160</f>
        <v>52.47</v>
      </c>
      <c r="I160" s="8">
        <f>'Posted Sales Invoice Lines'!O160</f>
        <v>419.76</v>
      </c>
    </row>
    <row r="161" spans="1:9" x14ac:dyDescent="0.25">
      <c r="A161" s="2" t="str">
        <f>'Posted Sales Invoice Lines'!A161</f>
        <v>PS-INV180595</v>
      </c>
      <c r="B161" s="2" t="str">
        <f>'Posted Sales Invoice Lines'!B161</f>
        <v>10719-6</v>
      </c>
      <c r="C161" s="2" t="str">
        <f>'Posted Sales Invoice Lines'!C161</f>
        <v>US Foods - Alcoa TN.</v>
      </c>
      <c r="D161" s="2" t="str">
        <f>'Posted Sales Invoice Lines'!E161</f>
        <v>F51024</v>
      </c>
      <c r="E161" s="2" t="str">
        <f>'Posted Sales Invoice Lines'!F161</f>
        <v>Cs. Marble Rye 5/8" 8lvs</v>
      </c>
      <c r="F161" s="3">
        <f>'Posted Sales Invoice Lines'!G161</f>
        <v>46049</v>
      </c>
      <c r="G161" s="9">
        <f>'Posted Sales Invoice Lines'!L161</f>
        <v>28</v>
      </c>
      <c r="H161" s="8">
        <f>'Posted Sales Invoice Lines'!N161</f>
        <v>54</v>
      </c>
      <c r="I161" s="8">
        <f>'Posted Sales Invoice Lines'!O161</f>
        <v>1512</v>
      </c>
    </row>
    <row r="162" spans="1:9" x14ac:dyDescent="0.25">
      <c r="A162" s="2" t="str">
        <f>'Posted Sales Invoice Lines'!A162</f>
        <v>PS-INV180595</v>
      </c>
      <c r="B162" s="2" t="str">
        <f>'Posted Sales Invoice Lines'!B162</f>
        <v>10719-6</v>
      </c>
      <c r="C162" s="2" t="str">
        <f>'Posted Sales Invoice Lines'!C162</f>
        <v>US Foods - Alcoa TN.</v>
      </c>
      <c r="D162" s="2" t="str">
        <f>'Posted Sales Invoice Lines'!E162</f>
        <v>F51034</v>
      </c>
      <c r="E162" s="2" t="str">
        <f>'Posted Sales Invoice Lines'!F162</f>
        <v>Cs. Sour Dough Hearth 5/8" 8lvs</v>
      </c>
      <c r="F162" s="3">
        <f>'Posted Sales Invoice Lines'!G162</f>
        <v>46049</v>
      </c>
      <c r="G162" s="9">
        <f>'Posted Sales Invoice Lines'!L162</f>
        <v>28</v>
      </c>
      <c r="H162" s="8">
        <f>'Posted Sales Invoice Lines'!N162</f>
        <v>43.2</v>
      </c>
      <c r="I162" s="8">
        <f>'Posted Sales Invoice Lines'!O162</f>
        <v>1209.5999999999999</v>
      </c>
    </row>
    <row r="163" spans="1:9" x14ac:dyDescent="0.25">
      <c r="A163" s="2" t="str">
        <f>'Posted Sales Invoice Lines'!A163</f>
        <v>PS-INV180595</v>
      </c>
      <c r="B163" s="2" t="str">
        <f>'Posted Sales Invoice Lines'!B163</f>
        <v>10719-6</v>
      </c>
      <c r="C163" s="2" t="str">
        <f>'Posted Sales Invoice Lines'!C163</f>
        <v>US Foods - Alcoa TN.</v>
      </c>
      <c r="D163" s="2" t="str">
        <f>'Posted Sales Invoice Lines'!E163</f>
        <v>F51157</v>
      </c>
      <c r="E163" s="2" t="str">
        <f>'Posted Sales Invoice Lines'!F163</f>
        <v>Cs. Challah Hearth 7/8" 8lvs</v>
      </c>
      <c r="F163" s="3">
        <f>'Posted Sales Invoice Lines'!G163</f>
        <v>46049</v>
      </c>
      <c r="G163" s="9">
        <f>'Posted Sales Invoice Lines'!L163</f>
        <v>56</v>
      </c>
      <c r="H163" s="8">
        <f>'Posted Sales Invoice Lines'!N163</f>
        <v>44.15</v>
      </c>
      <c r="I163" s="8">
        <f>'Posted Sales Invoice Lines'!O163</f>
        <v>2472.4</v>
      </c>
    </row>
    <row r="164" spans="1:9" x14ac:dyDescent="0.25">
      <c r="A164" s="2" t="str">
        <f>'Posted Sales Invoice Lines'!A164</f>
        <v>PS-INV180595</v>
      </c>
      <c r="B164" s="2" t="str">
        <f>'Posted Sales Invoice Lines'!B164</f>
        <v>10719-6</v>
      </c>
      <c r="C164" s="2" t="str">
        <f>'Posted Sales Invoice Lines'!C164</f>
        <v>US Foods - Alcoa TN.</v>
      </c>
      <c r="D164" s="2" t="str">
        <f>'Posted Sales Invoice Lines'!E164</f>
        <v>F53028</v>
      </c>
      <c r="E164" s="2" t="str">
        <f>'Posted Sales Invoice Lines'!F164</f>
        <v>Cs. 4" Sour Dough Bun 8-12pk</v>
      </c>
      <c r="F164" s="3">
        <f>'Posted Sales Invoice Lines'!G164</f>
        <v>46049</v>
      </c>
      <c r="G164" s="9">
        <f>'Posted Sales Invoice Lines'!L164</f>
        <v>8</v>
      </c>
      <c r="H164" s="8">
        <f>'Posted Sales Invoice Lines'!N164</f>
        <v>47.4</v>
      </c>
      <c r="I164" s="8">
        <f>'Posted Sales Invoice Lines'!O164</f>
        <v>379.2</v>
      </c>
    </row>
    <row r="165" spans="1:9" x14ac:dyDescent="0.25">
      <c r="A165" s="2" t="str">
        <f>'Posted Sales Invoice Lines'!A165</f>
        <v>PS-INV180595</v>
      </c>
      <c r="B165" s="2" t="str">
        <f>'Posted Sales Invoice Lines'!B165</f>
        <v>10719-6</v>
      </c>
      <c r="C165" s="2" t="str">
        <f>'Posted Sales Invoice Lines'!C165</f>
        <v>US Foods - Alcoa TN.</v>
      </c>
      <c r="D165" s="2" t="str">
        <f>'Posted Sales Invoice Lines'!E165</f>
        <v>F53006</v>
      </c>
      <c r="E165" s="2" t="str">
        <f>'Posted Sales Invoice Lines'!F165</f>
        <v>Cs. 4" Wheat Bun 8-12pk</v>
      </c>
      <c r="F165" s="3">
        <f>'Posted Sales Invoice Lines'!G165</f>
        <v>46049</v>
      </c>
      <c r="G165" s="9">
        <f>'Posted Sales Invoice Lines'!L165</f>
        <v>4</v>
      </c>
      <c r="H165" s="8">
        <f>'Posted Sales Invoice Lines'!N165</f>
        <v>40.22</v>
      </c>
      <c r="I165" s="8">
        <f>'Posted Sales Invoice Lines'!O165</f>
        <v>160.88</v>
      </c>
    </row>
    <row r="166" spans="1:9" x14ac:dyDescent="0.25">
      <c r="A166" s="2" t="str">
        <f>'Posted Sales Invoice Lines'!A166</f>
        <v>PS-INV180595</v>
      </c>
      <c r="B166" s="2" t="str">
        <f>'Posted Sales Invoice Lines'!B166</f>
        <v>10719-6</v>
      </c>
      <c r="C166" s="2" t="str">
        <f>'Posted Sales Invoice Lines'!C166</f>
        <v>US Foods - Alcoa TN.</v>
      </c>
      <c r="D166" s="2" t="str">
        <f>'Posted Sales Invoice Lines'!E166</f>
        <v>F53127</v>
      </c>
      <c r="E166" s="2" t="str">
        <f>'Posted Sales Invoice Lines'!F166</f>
        <v>Cs. 8" Philly 10-6pks</v>
      </c>
      <c r="F166" s="3">
        <f>'Posted Sales Invoice Lines'!G166</f>
        <v>46049</v>
      </c>
      <c r="G166" s="9">
        <f>'Posted Sales Invoice Lines'!L166</f>
        <v>96</v>
      </c>
      <c r="H166" s="8">
        <f>'Posted Sales Invoice Lines'!N166</f>
        <v>42.37</v>
      </c>
      <c r="I166" s="8">
        <f>'Posted Sales Invoice Lines'!O166</f>
        <v>4067.52</v>
      </c>
    </row>
    <row r="167" spans="1:9" x14ac:dyDescent="0.25">
      <c r="A167" s="2" t="str">
        <f>'Posted Sales Invoice Lines'!A167</f>
        <v>PS-INV180595</v>
      </c>
      <c r="B167" s="2" t="str">
        <f>'Posted Sales Invoice Lines'!B167</f>
        <v>10719-6</v>
      </c>
      <c r="C167" s="2" t="str">
        <f>'Posted Sales Invoice Lines'!C167</f>
        <v>US Foods - Alcoa TN.</v>
      </c>
      <c r="D167" s="2" t="str">
        <f>'Posted Sales Invoice Lines'!E167</f>
        <v>F51343</v>
      </c>
      <c r="E167" s="2" t="str">
        <f>'Posted Sales Invoice Lines'!F167</f>
        <v>Cs. White Bread Pullman 3/4" 10lvs</v>
      </c>
      <c r="F167" s="3">
        <f>'Posted Sales Invoice Lines'!G167</f>
        <v>46049</v>
      </c>
      <c r="G167" s="9">
        <f>'Posted Sales Invoice Lines'!L167</f>
        <v>28</v>
      </c>
      <c r="H167" s="8">
        <f>'Posted Sales Invoice Lines'!N167</f>
        <v>42.22</v>
      </c>
      <c r="I167" s="8">
        <f>'Posted Sales Invoice Lines'!O167</f>
        <v>1182.1600000000001</v>
      </c>
    </row>
    <row r="168" spans="1:9" x14ac:dyDescent="0.25">
      <c r="A168" s="2" t="str">
        <f>'Posted Sales Invoice Lines'!A168</f>
        <v>PS-INV180595</v>
      </c>
      <c r="B168" s="2" t="str">
        <f>'Posted Sales Invoice Lines'!B168</f>
        <v>10719-6</v>
      </c>
      <c r="C168" s="2" t="str">
        <f>'Posted Sales Invoice Lines'!C168</f>
        <v>US Foods - Alcoa TN.</v>
      </c>
      <c r="D168" s="2" t="str">
        <f>'Posted Sales Invoice Lines'!E168</f>
        <v>F52035</v>
      </c>
      <c r="E168" s="2" t="str">
        <f>'Posted Sales Invoice Lines'!F168</f>
        <v>Cs. French Boule 12-2pk</v>
      </c>
      <c r="F168" s="3">
        <f>'Posted Sales Invoice Lines'!G168</f>
        <v>46049</v>
      </c>
      <c r="G168" s="9">
        <f>'Posted Sales Invoice Lines'!L168</f>
        <v>56</v>
      </c>
      <c r="H168" s="8">
        <f>'Posted Sales Invoice Lines'!N168</f>
        <v>32.549999999999997</v>
      </c>
      <c r="I168" s="8">
        <f>'Posted Sales Invoice Lines'!O168</f>
        <v>1822.8</v>
      </c>
    </row>
    <row r="169" spans="1:9" x14ac:dyDescent="0.25">
      <c r="A169" s="2" t="str">
        <f>'Posted Sales Invoice Lines'!A169</f>
        <v>PS-INV180595</v>
      </c>
      <c r="B169" s="2" t="str">
        <f>'Posted Sales Invoice Lines'!B169</f>
        <v>10719-6</v>
      </c>
      <c r="C169" s="2" t="str">
        <f>'Posted Sales Invoice Lines'!C169</f>
        <v>US Foods - Alcoa TN.</v>
      </c>
      <c r="D169" s="2" t="str">
        <f>'Posted Sales Invoice Lines'!E169</f>
        <v>F53024</v>
      </c>
      <c r="E169" s="2" t="str">
        <f>'Posted Sales Invoice Lines'!F169</f>
        <v>Cs. 4" Challah Kaiser 8-12pk</v>
      </c>
      <c r="F169" s="3">
        <f>'Posted Sales Invoice Lines'!G169</f>
        <v>46049</v>
      </c>
      <c r="G169" s="9">
        <f>'Posted Sales Invoice Lines'!L169</f>
        <v>28</v>
      </c>
      <c r="H169" s="8">
        <f>'Posted Sales Invoice Lines'!N169</f>
        <v>40.22</v>
      </c>
      <c r="I169" s="8">
        <f>'Posted Sales Invoice Lines'!O169</f>
        <v>1126.1600000000001</v>
      </c>
    </row>
    <row r="170" spans="1:9" x14ac:dyDescent="0.25">
      <c r="A170" s="2" t="str">
        <f>'Posted Sales Invoice Lines'!A170</f>
        <v>PS-INV180616</v>
      </c>
      <c r="B170" s="2" t="str">
        <f>'Posted Sales Invoice Lines'!B170</f>
        <v>10719-12</v>
      </c>
      <c r="C170" s="2" t="str">
        <f>'Posted Sales Invoice Lines'!C170</f>
        <v>US Foods - Port Orange</v>
      </c>
      <c r="D170" s="2" t="str">
        <f>'Posted Sales Invoice Lines'!E170</f>
        <v>F53002</v>
      </c>
      <c r="E170" s="2" t="str">
        <f>'Posted Sales Invoice Lines'!F170</f>
        <v>Cs. Sesame Bun 8-12pk</v>
      </c>
      <c r="F170" s="3">
        <f>'Posted Sales Invoice Lines'!G170</f>
        <v>46050</v>
      </c>
      <c r="G170" s="9">
        <f>'Posted Sales Invoice Lines'!L170</f>
        <v>600</v>
      </c>
      <c r="H170" s="8">
        <f>'Posted Sales Invoice Lines'!N170</f>
        <v>41.66</v>
      </c>
      <c r="I170" s="8">
        <f>'Posted Sales Invoice Lines'!O170</f>
        <v>24996</v>
      </c>
    </row>
    <row r="171" spans="1:9" x14ac:dyDescent="0.25">
      <c r="A171" s="2" t="str">
        <f>'Posted Sales Invoice Lines'!A171</f>
        <v>PS-INV180616</v>
      </c>
      <c r="B171" s="2" t="str">
        <f>'Posted Sales Invoice Lines'!B171</f>
        <v>10719-12</v>
      </c>
      <c r="C171" s="2" t="str">
        <f>'Posted Sales Invoice Lines'!C171</f>
        <v>US Foods - Port Orange</v>
      </c>
      <c r="D171" s="2" t="str">
        <f>'Posted Sales Invoice Lines'!E171</f>
        <v>F52902</v>
      </c>
      <c r="E171" s="2" t="str">
        <f>'Posted Sales Invoice Lines'!F171</f>
        <v>Cs. 22" Rye Baguette 10-2pk</v>
      </c>
      <c r="F171" s="3">
        <f>'Posted Sales Invoice Lines'!G171</f>
        <v>46050</v>
      </c>
      <c r="G171" s="9">
        <f>'Posted Sales Invoice Lines'!L171</f>
        <v>48</v>
      </c>
      <c r="H171" s="8">
        <f>'Posted Sales Invoice Lines'!N171</f>
        <v>42.53</v>
      </c>
      <c r="I171" s="8">
        <f>'Posted Sales Invoice Lines'!O171</f>
        <v>2041.44</v>
      </c>
    </row>
    <row r="172" spans="1:9" x14ac:dyDescent="0.25">
      <c r="A172" s="2" t="str">
        <f>'Posted Sales Invoice Lines'!A172</f>
        <v>PS-INV180616</v>
      </c>
      <c r="B172" s="2" t="str">
        <f>'Posted Sales Invoice Lines'!B172</f>
        <v>10719-12</v>
      </c>
      <c r="C172" s="2" t="str">
        <f>'Posted Sales Invoice Lines'!C172</f>
        <v>US Foods - Port Orange</v>
      </c>
      <c r="D172" s="2" t="str">
        <f>'Posted Sales Invoice Lines'!E172</f>
        <v>F52007</v>
      </c>
      <c r="E172" s="2" t="str">
        <f>'Posted Sales Invoice Lines'!F172</f>
        <v>Cs. 22" 17oz French 10</v>
      </c>
      <c r="F172" s="3">
        <f>'Posted Sales Invoice Lines'!G172</f>
        <v>46050</v>
      </c>
      <c r="G172" s="9">
        <f>'Posted Sales Invoice Lines'!L172</f>
        <v>48</v>
      </c>
      <c r="H172" s="8">
        <f>'Posted Sales Invoice Lines'!N172</f>
        <v>39.96</v>
      </c>
      <c r="I172" s="8">
        <f>'Posted Sales Invoice Lines'!O172</f>
        <v>1918.08</v>
      </c>
    </row>
    <row r="173" spans="1:9" x14ac:dyDescent="0.25">
      <c r="A173" s="2" t="str">
        <f>'Posted Sales Invoice Lines'!A173</f>
        <v>PS-INV180616</v>
      </c>
      <c r="B173" s="2" t="str">
        <f>'Posted Sales Invoice Lines'!B173</f>
        <v>10719-12</v>
      </c>
      <c r="C173" s="2" t="str">
        <f>'Posted Sales Invoice Lines'!C173</f>
        <v>US Foods - Port Orange</v>
      </c>
      <c r="D173" s="2" t="str">
        <f>'Posted Sales Invoice Lines'!E173</f>
        <v>F53000</v>
      </c>
      <c r="E173" s="2" t="str">
        <f>'Posted Sales Invoice Lines'!F173</f>
        <v>Cs. 4" Hamburger Bun 8-12pk</v>
      </c>
      <c r="F173" s="3">
        <f>'Posted Sales Invoice Lines'!G173</f>
        <v>46050</v>
      </c>
      <c r="G173" s="9">
        <f>'Posted Sales Invoice Lines'!L173</f>
        <v>64</v>
      </c>
      <c r="H173" s="8">
        <f>'Posted Sales Invoice Lines'!N173</f>
        <v>33.5</v>
      </c>
      <c r="I173" s="8">
        <f>'Posted Sales Invoice Lines'!O173</f>
        <v>2144</v>
      </c>
    </row>
    <row r="174" spans="1:9" x14ac:dyDescent="0.25">
      <c r="A174" s="2" t="str">
        <f>'Posted Sales Invoice Lines'!A174</f>
        <v>PS-INV180617</v>
      </c>
      <c r="B174" s="2" t="str">
        <f>'Posted Sales Invoice Lines'!B174</f>
        <v>11005</v>
      </c>
      <c r="C174" s="2" t="str">
        <f>'Posted Sales Invoice Lines'!C174</f>
        <v>Dot Foods Inc.</v>
      </c>
      <c r="D174" s="2" t="str">
        <f>'Posted Sales Invoice Lines'!E174</f>
        <v>F530142</v>
      </c>
      <c r="E174" s="2" t="str">
        <f>'Posted Sales Invoice Lines'!F174</f>
        <v>Cs. Knot Roll 8-12pk</v>
      </c>
      <c r="F174" s="3">
        <f>'Posted Sales Invoice Lines'!G174</f>
        <v>46038</v>
      </c>
      <c r="G174" s="9">
        <f>'Posted Sales Invoice Lines'!L174</f>
        <v>704</v>
      </c>
      <c r="H174" s="8">
        <f>'Posted Sales Invoice Lines'!N174</f>
        <v>33.42</v>
      </c>
      <c r="I174" s="8">
        <f>'Posted Sales Invoice Lines'!O174</f>
        <v>23527.68</v>
      </c>
    </row>
    <row r="175" spans="1:9" x14ac:dyDescent="0.25">
      <c r="A175" s="2" t="str">
        <f>'Posted Sales Invoice Lines'!A175</f>
        <v>PS-INV180618</v>
      </c>
      <c r="B175" s="2" t="str">
        <f>'Posted Sales Invoice Lines'!B175</f>
        <v>1-4</v>
      </c>
      <c r="C175" s="2" t="str">
        <f>'Posted Sales Invoice Lines'!C175</f>
        <v>Heath West</v>
      </c>
      <c r="D175" s="2" t="str">
        <f>'Posted Sales Invoice Lines'!E175</f>
        <v>F53124</v>
      </c>
      <c r="E175" s="2" t="str">
        <f>'Posted Sales Invoice Lines'!F175</f>
        <v>Cs. 8" Sesame Italian 12-6pk</v>
      </c>
      <c r="F175" s="3">
        <f>'Posted Sales Invoice Lines'!G175</f>
        <v>46030</v>
      </c>
      <c r="G175" s="9">
        <f>'Posted Sales Invoice Lines'!L175</f>
        <v>1</v>
      </c>
      <c r="H175" s="8">
        <f>'Posted Sales Invoice Lines'!N175</f>
        <v>0</v>
      </c>
      <c r="I175" s="8">
        <f>'Posted Sales Invoice Lines'!O175</f>
        <v>0</v>
      </c>
    </row>
    <row r="176" spans="1:9" x14ac:dyDescent="0.25">
      <c r="A176" s="2" t="str">
        <f>'Posted Sales Invoice Lines'!A176</f>
        <v>PS-INV180652</v>
      </c>
      <c r="B176" s="2" t="str">
        <f>'Posted Sales Invoice Lines'!B176</f>
        <v>20334</v>
      </c>
      <c r="C176" s="2" t="str">
        <f>'Posted Sales Invoice Lines'!C176</f>
        <v>Sysco Atlanta</v>
      </c>
      <c r="D176" s="2" t="str">
        <f>'Posted Sales Invoice Lines'!E176</f>
        <v>F53116</v>
      </c>
      <c r="E176" s="2" t="str">
        <f>'Posted Sales Invoice Lines'!F176</f>
        <v>Cs. 7" French Hinged 12</v>
      </c>
      <c r="F176" s="3">
        <f>'Posted Sales Invoice Lines'!G176</f>
        <v>46044</v>
      </c>
      <c r="G176" s="9">
        <f>'Posted Sales Invoice Lines'!L176</f>
        <v>56</v>
      </c>
      <c r="H176" s="8">
        <f>'Posted Sales Invoice Lines'!N176</f>
        <v>31.42</v>
      </c>
      <c r="I176" s="8">
        <f>'Posted Sales Invoice Lines'!O176</f>
        <v>1759.52</v>
      </c>
    </row>
    <row r="177" spans="1:9" x14ac:dyDescent="0.25">
      <c r="A177" s="2" t="str">
        <f>'Posted Sales Invoice Lines'!A177</f>
        <v>PS-INV180652</v>
      </c>
      <c r="B177" s="2" t="str">
        <f>'Posted Sales Invoice Lines'!B177</f>
        <v>20334</v>
      </c>
      <c r="C177" s="2" t="str">
        <f>'Posted Sales Invoice Lines'!C177</f>
        <v>Sysco Atlanta</v>
      </c>
      <c r="D177" s="2" t="str">
        <f>'Posted Sales Invoice Lines'!E177</f>
        <v>F53087</v>
      </c>
      <c r="E177" s="2" t="str">
        <f>'Posted Sales Invoice Lines'!F177</f>
        <v>Cs. 3.5" Challah Bun 8-12 pk</v>
      </c>
      <c r="F177" s="3">
        <f>'Posted Sales Invoice Lines'!G177</f>
        <v>46044</v>
      </c>
      <c r="G177" s="9">
        <f>'Posted Sales Invoice Lines'!L177</f>
        <v>112</v>
      </c>
      <c r="H177" s="8">
        <f>'Posted Sales Invoice Lines'!N177</f>
        <v>34</v>
      </c>
      <c r="I177" s="8">
        <f>'Posted Sales Invoice Lines'!O177</f>
        <v>3808</v>
      </c>
    </row>
    <row r="178" spans="1:9" x14ac:dyDescent="0.25">
      <c r="A178" s="2" t="str">
        <f>'Posted Sales Invoice Lines'!A178</f>
        <v>PS-INV180652</v>
      </c>
      <c r="B178" s="2" t="str">
        <f>'Posted Sales Invoice Lines'!B178</f>
        <v>20334</v>
      </c>
      <c r="C178" s="2" t="str">
        <f>'Posted Sales Invoice Lines'!C178</f>
        <v>Sysco Atlanta</v>
      </c>
      <c r="D178" s="2" t="str">
        <f>'Posted Sales Invoice Lines'!E178</f>
        <v>F51024</v>
      </c>
      <c r="E178" s="2" t="str">
        <f>'Posted Sales Invoice Lines'!F178</f>
        <v>Cs. Marble Rye 5/8" 8lvs</v>
      </c>
      <c r="F178" s="3">
        <f>'Posted Sales Invoice Lines'!G178</f>
        <v>46044</v>
      </c>
      <c r="G178" s="9">
        <f>'Posted Sales Invoice Lines'!L178</f>
        <v>12</v>
      </c>
      <c r="H178" s="8">
        <f>'Posted Sales Invoice Lines'!N178</f>
        <v>43.26</v>
      </c>
      <c r="I178" s="8">
        <f>'Posted Sales Invoice Lines'!O178</f>
        <v>519.12</v>
      </c>
    </row>
    <row r="179" spans="1:9" x14ac:dyDescent="0.25">
      <c r="A179" s="2" t="str">
        <f>'Posted Sales Invoice Lines'!A179</f>
        <v>PS-INV180652</v>
      </c>
      <c r="B179" s="2" t="str">
        <f>'Posted Sales Invoice Lines'!B179</f>
        <v>20334</v>
      </c>
      <c r="C179" s="2" t="str">
        <f>'Posted Sales Invoice Lines'!C179</f>
        <v>Sysco Atlanta</v>
      </c>
      <c r="D179" s="2" t="str">
        <f>'Posted Sales Invoice Lines'!E179</f>
        <v>F51127</v>
      </c>
      <c r="E179" s="2" t="str">
        <f>'Posted Sales Invoice Lines'!F179</f>
        <v>Cs. Challah 3-Braid 8</v>
      </c>
      <c r="F179" s="3">
        <f>'Posted Sales Invoice Lines'!G179</f>
        <v>46044</v>
      </c>
      <c r="G179" s="9">
        <f>'Posted Sales Invoice Lines'!L179</f>
        <v>20</v>
      </c>
      <c r="H179" s="8">
        <f>'Posted Sales Invoice Lines'!N179</f>
        <v>43.26</v>
      </c>
      <c r="I179" s="8">
        <f>'Posted Sales Invoice Lines'!O179</f>
        <v>865.2</v>
      </c>
    </row>
    <row r="180" spans="1:9" x14ac:dyDescent="0.25">
      <c r="A180" s="2" t="str">
        <f>'Posted Sales Invoice Lines'!A180</f>
        <v>PS-INV180652</v>
      </c>
      <c r="B180" s="2" t="str">
        <f>'Posted Sales Invoice Lines'!B180</f>
        <v>20334</v>
      </c>
      <c r="C180" s="2" t="str">
        <f>'Posted Sales Invoice Lines'!C180</f>
        <v>Sysco Atlanta</v>
      </c>
      <c r="D180" s="2" t="str">
        <f>'Posted Sales Invoice Lines'!E180</f>
        <v>F53001</v>
      </c>
      <c r="E180" s="2" t="str">
        <f>'Posted Sales Invoice Lines'!F180</f>
        <v>Cs. 4" Brioche Bun 8-12pk</v>
      </c>
      <c r="F180" s="3">
        <f>'Posted Sales Invoice Lines'!G180</f>
        <v>46044</v>
      </c>
      <c r="G180" s="9">
        <f>'Posted Sales Invoice Lines'!L180</f>
        <v>112</v>
      </c>
      <c r="H180" s="8">
        <f>'Posted Sales Invoice Lines'!N180</f>
        <v>43.36</v>
      </c>
      <c r="I180" s="8">
        <f>'Posted Sales Invoice Lines'!O180</f>
        <v>4856.32</v>
      </c>
    </row>
    <row r="181" spans="1:9" x14ac:dyDescent="0.25">
      <c r="A181" s="2" t="str">
        <f>'Posted Sales Invoice Lines'!A181</f>
        <v>PS-INV180652</v>
      </c>
      <c r="B181" s="2" t="str">
        <f>'Posted Sales Invoice Lines'!B181</f>
        <v>20334</v>
      </c>
      <c r="C181" s="2" t="str">
        <f>'Posted Sales Invoice Lines'!C181</f>
        <v>Sysco Atlanta</v>
      </c>
      <c r="D181" s="2" t="str">
        <f>'Posted Sales Invoice Lines'!E181</f>
        <v>F51034</v>
      </c>
      <c r="E181" s="2" t="str">
        <f>'Posted Sales Invoice Lines'!F181</f>
        <v>Cs. Sour Dough Hearth 5/8" 8lvs</v>
      </c>
      <c r="F181" s="3">
        <f>'Posted Sales Invoice Lines'!G181</f>
        <v>46044</v>
      </c>
      <c r="G181" s="9">
        <f>'Posted Sales Invoice Lines'!L181</f>
        <v>20</v>
      </c>
      <c r="H181" s="8">
        <f>'Posted Sales Invoice Lines'!N181</f>
        <v>41.2</v>
      </c>
      <c r="I181" s="8">
        <f>'Posted Sales Invoice Lines'!O181</f>
        <v>824</v>
      </c>
    </row>
    <row r="182" spans="1:9" x14ac:dyDescent="0.25">
      <c r="A182" s="2" t="str">
        <f>'Posted Sales Invoice Lines'!A182</f>
        <v>PS-INV180652</v>
      </c>
      <c r="B182" s="2" t="str">
        <f>'Posted Sales Invoice Lines'!B182</f>
        <v>20334</v>
      </c>
      <c r="C182" s="2" t="str">
        <f>'Posted Sales Invoice Lines'!C182</f>
        <v>Sysco Atlanta</v>
      </c>
      <c r="D182" s="2" t="str">
        <f>'Posted Sales Invoice Lines'!E182</f>
        <v>F53003</v>
      </c>
      <c r="E182" s="2" t="str">
        <f>'Posted Sales Invoice Lines'!F182</f>
        <v>Cs. 4" Unseeded Challah Bun 8-12pk</v>
      </c>
      <c r="F182" s="3">
        <f>'Posted Sales Invoice Lines'!G182</f>
        <v>46044</v>
      </c>
      <c r="G182" s="9">
        <f>'Posted Sales Invoice Lines'!L182</f>
        <v>28</v>
      </c>
      <c r="H182" s="8">
        <f>'Posted Sales Invoice Lines'!N182</f>
        <v>38.19</v>
      </c>
      <c r="I182" s="8">
        <f>'Posted Sales Invoice Lines'!O182</f>
        <v>1069.32</v>
      </c>
    </row>
    <row r="183" spans="1:9" x14ac:dyDescent="0.25">
      <c r="A183" s="2" t="str">
        <f>'Posted Sales Invoice Lines'!A183</f>
        <v>PS-INV180652</v>
      </c>
      <c r="B183" s="2" t="str">
        <f>'Posted Sales Invoice Lines'!B183</f>
        <v>20334</v>
      </c>
      <c r="C183" s="2" t="str">
        <f>'Posted Sales Invoice Lines'!C183</f>
        <v>Sysco Atlanta</v>
      </c>
      <c r="D183" s="2" t="str">
        <f>'Posted Sales Invoice Lines'!E183</f>
        <v>F53013</v>
      </c>
      <c r="E183" s="2" t="str">
        <f>'Posted Sales Invoice Lines'!F183</f>
        <v>Cs. 4" Vidalia 8-12pk</v>
      </c>
      <c r="F183" s="3">
        <f>'Posted Sales Invoice Lines'!G183</f>
        <v>46044</v>
      </c>
      <c r="G183" s="9">
        <f>'Posted Sales Invoice Lines'!L183</f>
        <v>8</v>
      </c>
      <c r="H183" s="8">
        <f>'Posted Sales Invoice Lines'!N183</f>
        <v>45.84</v>
      </c>
      <c r="I183" s="8">
        <f>'Posted Sales Invoice Lines'!O183</f>
        <v>366.72</v>
      </c>
    </row>
    <row r="184" spans="1:9" x14ac:dyDescent="0.25">
      <c r="A184" s="2" t="str">
        <f>'Posted Sales Invoice Lines'!A184</f>
        <v>PS-INV180652</v>
      </c>
      <c r="B184" s="2" t="str">
        <f>'Posted Sales Invoice Lines'!B184</f>
        <v>20334</v>
      </c>
      <c r="C184" s="2" t="str">
        <f>'Posted Sales Invoice Lines'!C184</f>
        <v>Sysco Atlanta</v>
      </c>
      <c r="D184" s="2" t="str">
        <f>'Posted Sales Invoice Lines'!E184</f>
        <v>F53140</v>
      </c>
      <c r="E184" s="2" t="str">
        <f>'Posted Sales Invoice Lines'!F184</f>
        <v>Cs. Knuckies 8" White 12-6pk</v>
      </c>
      <c r="F184" s="3">
        <f>'Posted Sales Invoice Lines'!G184</f>
        <v>46044</v>
      </c>
      <c r="G184" s="9">
        <f>'Posted Sales Invoice Lines'!L184</f>
        <v>40</v>
      </c>
      <c r="H184" s="8">
        <f>'Posted Sales Invoice Lines'!N184</f>
        <v>41</v>
      </c>
      <c r="I184" s="8">
        <f>'Posted Sales Invoice Lines'!O184</f>
        <v>1640</v>
      </c>
    </row>
    <row r="185" spans="1:9" x14ac:dyDescent="0.25">
      <c r="A185" s="2" t="str">
        <f>'Posted Sales Invoice Lines'!A185</f>
        <v>PS-INV180652</v>
      </c>
      <c r="B185" s="2" t="str">
        <f>'Posted Sales Invoice Lines'!B185</f>
        <v>20334</v>
      </c>
      <c r="C185" s="2" t="str">
        <f>'Posted Sales Invoice Lines'!C185</f>
        <v>Sysco Atlanta</v>
      </c>
      <c r="D185" s="2" t="str">
        <f>'Posted Sales Invoice Lines'!E185</f>
        <v>F53033</v>
      </c>
      <c r="E185" s="2" t="str">
        <f>'Posted Sales Invoice Lines'!F185</f>
        <v>Cs. 4" Parker House 8-12pk</v>
      </c>
      <c r="F185" s="3">
        <f>'Posted Sales Invoice Lines'!G185</f>
        <v>46044</v>
      </c>
      <c r="G185" s="9">
        <f>'Posted Sales Invoice Lines'!L185</f>
        <v>56</v>
      </c>
      <c r="H185" s="8">
        <f>'Posted Sales Invoice Lines'!N185</f>
        <v>39.53</v>
      </c>
      <c r="I185" s="8">
        <f>'Posted Sales Invoice Lines'!O185</f>
        <v>2213.6799999999998</v>
      </c>
    </row>
    <row r="186" spans="1:9" x14ac:dyDescent="0.25">
      <c r="A186" s="2" t="str">
        <f>'Posted Sales Invoice Lines'!A186</f>
        <v>PS-INV180718</v>
      </c>
      <c r="B186" s="2" t="str">
        <f>'Posted Sales Invoice Lines'!B186</f>
        <v>13128</v>
      </c>
      <c r="C186" s="2" t="str">
        <f>'Posted Sales Invoice Lines'!C186</f>
        <v>Gordon Food Service - Shepherdsville</v>
      </c>
      <c r="D186" s="2" t="str">
        <f>'Posted Sales Invoice Lines'!E186</f>
        <v>F51084</v>
      </c>
      <c r="E186" s="2" t="str">
        <f>'Posted Sales Invoice Lines'!F186</f>
        <v>Cs. Wheatberry Hearth</v>
      </c>
      <c r="F186" s="3">
        <f>'Posted Sales Invoice Lines'!G186</f>
        <v>46043</v>
      </c>
      <c r="G186" s="9">
        <f>'Posted Sales Invoice Lines'!L186</f>
        <v>80</v>
      </c>
      <c r="H186" s="8">
        <f>'Posted Sales Invoice Lines'!N186</f>
        <v>33.299999999999997</v>
      </c>
      <c r="I186" s="8">
        <f>'Posted Sales Invoice Lines'!O186</f>
        <v>2664</v>
      </c>
    </row>
    <row r="187" spans="1:9" x14ac:dyDescent="0.25">
      <c r="A187" s="2" t="str">
        <f>'Posted Sales Invoice Lines'!A187</f>
        <v>PS-INV180718</v>
      </c>
      <c r="B187" s="2" t="str">
        <f>'Posted Sales Invoice Lines'!B187</f>
        <v>13128</v>
      </c>
      <c r="C187" s="2" t="str">
        <f>'Posted Sales Invoice Lines'!C187</f>
        <v>Gordon Food Service - Shepherdsville</v>
      </c>
      <c r="D187" s="2" t="str">
        <f>'Posted Sales Invoice Lines'!E187</f>
        <v>F53001</v>
      </c>
      <c r="E187" s="2" t="str">
        <f>'Posted Sales Invoice Lines'!F187</f>
        <v>Cs. 4" Brioche Bun 8-12pk</v>
      </c>
      <c r="F187" s="3">
        <f>'Posted Sales Invoice Lines'!G187</f>
        <v>46043</v>
      </c>
      <c r="G187" s="9">
        <f>'Posted Sales Invoice Lines'!L187</f>
        <v>336</v>
      </c>
      <c r="H187" s="8">
        <f>'Posted Sales Invoice Lines'!N187</f>
        <v>36.82</v>
      </c>
      <c r="I187" s="8">
        <f>'Posted Sales Invoice Lines'!O187</f>
        <v>12371.52</v>
      </c>
    </row>
    <row r="188" spans="1:9" x14ac:dyDescent="0.25">
      <c r="A188" s="2" t="str">
        <f>'Posted Sales Invoice Lines'!A188</f>
        <v>PS-INV180718</v>
      </c>
      <c r="B188" s="2" t="str">
        <f>'Posted Sales Invoice Lines'!B188</f>
        <v>13128</v>
      </c>
      <c r="C188" s="2" t="str">
        <f>'Posted Sales Invoice Lines'!C188</f>
        <v>Gordon Food Service - Shepherdsville</v>
      </c>
      <c r="D188" s="2" t="str">
        <f>'Posted Sales Invoice Lines'!E188</f>
        <v>F51114</v>
      </c>
      <c r="E188" s="2" t="str">
        <f>'Posted Sales Invoice Lines'!F188</f>
        <v>Cs. Old Fashioned Hearth 5/8" 8lvs</v>
      </c>
      <c r="F188" s="3">
        <f>'Posted Sales Invoice Lines'!G188</f>
        <v>46043</v>
      </c>
      <c r="G188" s="9">
        <f>'Posted Sales Invoice Lines'!L188</f>
        <v>112</v>
      </c>
      <c r="H188" s="8">
        <f>'Posted Sales Invoice Lines'!N188</f>
        <v>39.700000000000003</v>
      </c>
      <c r="I188" s="8">
        <f>'Posted Sales Invoice Lines'!O188</f>
        <v>4446.3999999999996</v>
      </c>
    </row>
    <row r="189" spans="1:9" x14ac:dyDescent="0.25">
      <c r="A189" s="2" t="str">
        <f>'Posted Sales Invoice Lines'!A189</f>
        <v>PS-INV180718</v>
      </c>
      <c r="B189" s="2" t="str">
        <f>'Posted Sales Invoice Lines'!B189</f>
        <v>13128</v>
      </c>
      <c r="C189" s="2" t="str">
        <f>'Posted Sales Invoice Lines'!C189</f>
        <v>Gordon Food Service - Shepherdsville</v>
      </c>
      <c r="D189" s="2" t="str">
        <f>'Posted Sales Invoice Lines'!E189</f>
        <v>F56251</v>
      </c>
      <c r="E189" s="2" t="str">
        <f>'Posted Sales Invoice Lines'!F189</f>
        <v>Cs. Challah Sliders Sliced 18-12pks</v>
      </c>
      <c r="F189" s="3">
        <f>'Posted Sales Invoice Lines'!G189</f>
        <v>46043</v>
      </c>
      <c r="G189" s="9">
        <f>'Posted Sales Invoice Lines'!L189</f>
        <v>320</v>
      </c>
      <c r="H189" s="8">
        <f>'Posted Sales Invoice Lines'!N189</f>
        <v>39.700000000000003</v>
      </c>
      <c r="I189" s="8">
        <f>'Posted Sales Invoice Lines'!O189</f>
        <v>12704</v>
      </c>
    </row>
    <row r="190" spans="1:9" x14ac:dyDescent="0.25">
      <c r="A190" s="2" t="str">
        <f>'Posted Sales Invoice Lines'!A190</f>
        <v>PS-INV180754</v>
      </c>
      <c r="B190" s="2" t="str">
        <f>'Posted Sales Invoice Lines'!B190</f>
        <v>10719-13</v>
      </c>
      <c r="C190" s="2" t="str">
        <f>'Posted Sales Invoice Lines'!C190</f>
        <v>US Foods - Montgomery</v>
      </c>
      <c r="D190" s="2" t="str">
        <f>'Posted Sales Invoice Lines'!E190</f>
        <v>F53005</v>
      </c>
      <c r="E190" s="2" t="str">
        <f>'Posted Sales Invoice Lines'!F190</f>
        <v>Cs. 4" Gourmet PDS Bun 8-12pk</v>
      </c>
      <c r="F190" s="3">
        <f>'Posted Sales Invoice Lines'!G190</f>
        <v>46050</v>
      </c>
      <c r="G190" s="9">
        <f>'Posted Sales Invoice Lines'!L190</f>
        <v>224</v>
      </c>
      <c r="H190" s="8">
        <f>'Posted Sales Invoice Lines'!N190</f>
        <v>37</v>
      </c>
      <c r="I190" s="8">
        <f>'Posted Sales Invoice Lines'!O190</f>
        <v>8288</v>
      </c>
    </row>
    <row r="191" spans="1:9" x14ac:dyDescent="0.25">
      <c r="A191" s="2" t="str">
        <f>'Posted Sales Invoice Lines'!A191</f>
        <v>PS-INV180754</v>
      </c>
      <c r="B191" s="2" t="str">
        <f>'Posted Sales Invoice Lines'!B191</f>
        <v>10719-13</v>
      </c>
      <c r="C191" s="2" t="str">
        <f>'Posted Sales Invoice Lines'!C191</f>
        <v>US Foods - Montgomery</v>
      </c>
      <c r="D191" s="2" t="str">
        <f>'Posted Sales Invoice Lines'!E191</f>
        <v>F53010</v>
      </c>
      <c r="E191" s="2" t="str">
        <f>'Posted Sales Invoice Lines'!F191</f>
        <v>Cs. Onion Roll 8-12pk</v>
      </c>
      <c r="F191" s="3">
        <f>'Posted Sales Invoice Lines'!G191</f>
        <v>46050</v>
      </c>
      <c r="G191" s="9">
        <f>'Posted Sales Invoice Lines'!L191</f>
        <v>28</v>
      </c>
      <c r="H191" s="8">
        <f>'Posted Sales Invoice Lines'!N191</f>
        <v>42</v>
      </c>
      <c r="I191" s="8">
        <f>'Posted Sales Invoice Lines'!O191</f>
        <v>1176</v>
      </c>
    </row>
    <row r="192" spans="1:9" x14ac:dyDescent="0.25">
      <c r="A192" s="2" t="str">
        <f>'Posted Sales Invoice Lines'!A192</f>
        <v>PS-INV180754</v>
      </c>
      <c r="B192" s="2" t="str">
        <f>'Posted Sales Invoice Lines'!B192</f>
        <v>10719-13</v>
      </c>
      <c r="C192" s="2" t="str">
        <f>'Posted Sales Invoice Lines'!C192</f>
        <v>US Foods - Montgomery</v>
      </c>
      <c r="D192" s="2" t="str">
        <f>'Posted Sales Invoice Lines'!E192</f>
        <v>F53001</v>
      </c>
      <c r="E192" s="2" t="str">
        <f>'Posted Sales Invoice Lines'!F192</f>
        <v>Cs. 4" Brioche Bun 8-12pk</v>
      </c>
      <c r="F192" s="3">
        <f>'Posted Sales Invoice Lines'!G192</f>
        <v>46050</v>
      </c>
      <c r="G192" s="9">
        <f>'Posted Sales Invoice Lines'!L192</f>
        <v>112</v>
      </c>
      <c r="H192" s="8">
        <f>'Posted Sales Invoice Lines'!N192</f>
        <v>42</v>
      </c>
      <c r="I192" s="8">
        <f>'Posted Sales Invoice Lines'!O192</f>
        <v>4704</v>
      </c>
    </row>
    <row r="193" spans="1:9" x14ac:dyDescent="0.25">
      <c r="A193" s="2" t="str">
        <f>'Posted Sales Invoice Lines'!A193</f>
        <v>PS-INV180754</v>
      </c>
      <c r="B193" s="2" t="str">
        <f>'Posted Sales Invoice Lines'!B193</f>
        <v>10719-13</v>
      </c>
      <c r="C193" s="2" t="str">
        <f>'Posted Sales Invoice Lines'!C193</f>
        <v>US Foods - Montgomery</v>
      </c>
      <c r="D193" s="2" t="str">
        <f>'Posted Sales Invoice Lines'!E193</f>
        <v>F53003</v>
      </c>
      <c r="E193" s="2" t="str">
        <f>'Posted Sales Invoice Lines'!F193</f>
        <v>Cs. 4" Unseeded Challah Bun 8-12pk</v>
      </c>
      <c r="F193" s="3">
        <f>'Posted Sales Invoice Lines'!G193</f>
        <v>46050</v>
      </c>
      <c r="G193" s="9">
        <f>'Posted Sales Invoice Lines'!L193</f>
        <v>196</v>
      </c>
      <c r="H193" s="8">
        <f>'Posted Sales Invoice Lines'!N193</f>
        <v>38.08</v>
      </c>
      <c r="I193" s="8">
        <f>'Posted Sales Invoice Lines'!O193</f>
        <v>7463.68</v>
      </c>
    </row>
    <row r="194" spans="1:9" x14ac:dyDescent="0.25">
      <c r="A194" s="2" t="str">
        <f>'Posted Sales Invoice Lines'!A194</f>
        <v>PS-INV180999</v>
      </c>
      <c r="B194" s="2" t="str">
        <f>'Posted Sales Invoice Lines'!B194</f>
        <v>10155-45</v>
      </c>
      <c r="C194" s="2" t="str">
        <f>'Posted Sales Invoice Lines'!C194</f>
        <v>Hammer and Spoon MTWTHF</v>
      </c>
      <c r="D194" s="2" t="str">
        <f>'Posted Sales Invoice Lines'!E194</f>
        <v>F56251</v>
      </c>
      <c r="E194" s="2" t="str">
        <f>'Posted Sales Invoice Lines'!F194</f>
        <v>Cs. Challah Sliders Sliced 18-12pks</v>
      </c>
      <c r="F194" s="3">
        <f>'Posted Sales Invoice Lines'!G194</f>
        <v>46031</v>
      </c>
      <c r="G194" s="9">
        <f>'Posted Sales Invoice Lines'!L194</f>
        <v>0</v>
      </c>
      <c r="H194" s="8">
        <f>'Posted Sales Invoice Lines'!N194</f>
        <v>0</v>
      </c>
      <c r="I194" s="8">
        <f>'Posted Sales Invoice Lines'!O194</f>
        <v>0</v>
      </c>
    </row>
    <row r="195" spans="1:9" x14ac:dyDescent="0.25">
      <c r="A195" s="2" t="str">
        <f>'Posted Sales Invoice Lines'!A195</f>
        <v>PS-INV180999</v>
      </c>
      <c r="B195" s="2" t="str">
        <f>'Posted Sales Invoice Lines'!B195</f>
        <v>10155-45</v>
      </c>
      <c r="C195" s="2" t="str">
        <f>'Posted Sales Invoice Lines'!C195</f>
        <v>Hammer and Spoon MTWTHF</v>
      </c>
      <c r="D195" s="2" t="str">
        <f>'Posted Sales Invoice Lines'!E195</f>
        <v>F56560</v>
      </c>
      <c r="E195" s="2" t="str">
        <f>'Posted Sales Invoice Lines'!F195</f>
        <v>Gluten Free 3.5" Hamburger 36ct</v>
      </c>
      <c r="F195" s="3">
        <f>'Posted Sales Invoice Lines'!G195</f>
        <v>46031</v>
      </c>
      <c r="G195" s="9">
        <f>'Posted Sales Invoice Lines'!L195</f>
        <v>0</v>
      </c>
      <c r="H195" s="8">
        <f>'Posted Sales Invoice Lines'!N195</f>
        <v>0</v>
      </c>
      <c r="I195" s="8">
        <f>'Posted Sales Invoice Lines'!O195</f>
        <v>0</v>
      </c>
    </row>
    <row r="196" spans="1:9" x14ac:dyDescent="0.25">
      <c r="A196" s="2" t="str">
        <f>'Posted Sales Invoice Lines'!A196</f>
        <v>PS-INV180999</v>
      </c>
      <c r="B196" s="2" t="str">
        <f>'Posted Sales Invoice Lines'!B196</f>
        <v>10155-45</v>
      </c>
      <c r="C196" s="2" t="str">
        <f>'Posted Sales Invoice Lines'!C196</f>
        <v>Hammer and Spoon MTWTHF</v>
      </c>
      <c r="D196" s="2" t="str">
        <f>'Posted Sales Invoice Lines'!E196</f>
        <v>F56255</v>
      </c>
      <c r="E196" s="2" t="str">
        <f>'Posted Sales Invoice Lines'!F196</f>
        <v>Cs. English Muffin 30-6pk</v>
      </c>
      <c r="F196" s="3">
        <f>'Posted Sales Invoice Lines'!G196</f>
        <v>46031</v>
      </c>
      <c r="G196" s="9">
        <f>'Posted Sales Invoice Lines'!L196</f>
        <v>0</v>
      </c>
      <c r="H196" s="8">
        <f>'Posted Sales Invoice Lines'!N196</f>
        <v>0</v>
      </c>
      <c r="I196" s="8">
        <f>'Posted Sales Invoice Lines'!O196</f>
        <v>0</v>
      </c>
    </row>
    <row r="197" spans="1:9" x14ac:dyDescent="0.25">
      <c r="A197" s="2" t="str">
        <f>'Posted Sales Invoice Lines'!A197</f>
        <v>PS-INV181456</v>
      </c>
      <c r="B197" s="2" t="str">
        <f>'Posted Sales Invoice Lines'!B197</f>
        <v>11005</v>
      </c>
      <c r="C197" s="2" t="str">
        <f>'Posted Sales Invoice Lines'!C197</f>
        <v>Dot Foods Inc.</v>
      </c>
      <c r="D197" s="2" t="str">
        <f>'Posted Sales Invoice Lines'!E197</f>
        <v>F530142</v>
      </c>
      <c r="E197" s="2" t="str">
        <f>'Posted Sales Invoice Lines'!F197</f>
        <v>Cs. Knot Roll 8-12pk</v>
      </c>
      <c r="F197" s="3">
        <f>'Posted Sales Invoice Lines'!G197</f>
        <v>46052</v>
      </c>
      <c r="G197" s="9">
        <f>'Posted Sales Invoice Lines'!L197</f>
        <v>320</v>
      </c>
      <c r="H197" s="8">
        <f>'Posted Sales Invoice Lines'!N197</f>
        <v>33.42</v>
      </c>
      <c r="I197" s="8">
        <f>'Posted Sales Invoice Lines'!O197</f>
        <v>10694.4</v>
      </c>
    </row>
    <row r="198" spans="1:9" x14ac:dyDescent="0.25">
      <c r="A198" s="2" t="str">
        <f>'Posted Sales Invoice Lines'!A198</f>
        <v>PS-INV181457</v>
      </c>
      <c r="B198" s="2" t="str">
        <f>'Posted Sales Invoice Lines'!B198</f>
        <v>10511</v>
      </c>
      <c r="C198" s="2" t="str">
        <f>'Posted Sales Invoice Lines'!C198</f>
        <v>Sysco Nashville, LLC</v>
      </c>
      <c r="D198" s="2" t="str">
        <f>'Posted Sales Invoice Lines'!E198</f>
        <v>F53072</v>
      </c>
      <c r="E198" s="2" t="str">
        <f>'Posted Sales Invoice Lines'!F198</f>
        <v>Cs. 5" Challah Bun 8-8pk</v>
      </c>
      <c r="F198" s="3">
        <f>'Posted Sales Invoice Lines'!G198</f>
        <v>46050</v>
      </c>
      <c r="G198" s="9">
        <f>'Posted Sales Invoice Lines'!L198</f>
        <v>16</v>
      </c>
      <c r="H198" s="8">
        <f>'Posted Sales Invoice Lines'!N198</f>
        <v>37.049999999999997</v>
      </c>
      <c r="I198" s="8">
        <f>'Posted Sales Invoice Lines'!O198</f>
        <v>592.79999999999995</v>
      </c>
    </row>
    <row r="199" spans="1:9" x14ac:dyDescent="0.25">
      <c r="A199" s="2" t="str">
        <f>'Posted Sales Invoice Lines'!A199</f>
        <v>PS-INV181457</v>
      </c>
      <c r="B199" s="2" t="str">
        <f>'Posted Sales Invoice Lines'!B199</f>
        <v>10511</v>
      </c>
      <c r="C199" s="2" t="str">
        <f>'Posted Sales Invoice Lines'!C199</f>
        <v>Sysco Nashville, LLC</v>
      </c>
      <c r="D199" s="2" t="str">
        <f>'Posted Sales Invoice Lines'!E199</f>
        <v>F51200</v>
      </c>
      <c r="E199" s="2" t="str">
        <f>'Posted Sales Invoice Lines'!F199</f>
        <v>Cs. Jalapeno Corn Hearth 5/8" 8lvs</v>
      </c>
      <c r="F199" s="3">
        <f>'Posted Sales Invoice Lines'!G199</f>
        <v>46050</v>
      </c>
      <c r="G199" s="9">
        <f>'Posted Sales Invoice Lines'!L199</f>
        <v>16</v>
      </c>
      <c r="H199" s="8">
        <f>'Posted Sales Invoice Lines'!N199</f>
        <v>60.07</v>
      </c>
      <c r="I199" s="8">
        <f>'Posted Sales Invoice Lines'!O199</f>
        <v>961.12</v>
      </c>
    </row>
    <row r="200" spans="1:9" x14ac:dyDescent="0.25">
      <c r="A200" s="2" t="str">
        <f>'Posted Sales Invoice Lines'!A200</f>
        <v>PS-INV181457</v>
      </c>
      <c r="B200" s="2" t="str">
        <f>'Posted Sales Invoice Lines'!B200</f>
        <v>10511</v>
      </c>
      <c r="C200" s="2" t="str">
        <f>'Posted Sales Invoice Lines'!C200</f>
        <v>Sysco Nashville, LLC</v>
      </c>
      <c r="D200" s="2" t="str">
        <f>'Posted Sales Invoice Lines'!E200</f>
        <v>F53001</v>
      </c>
      <c r="E200" s="2" t="str">
        <f>'Posted Sales Invoice Lines'!F200</f>
        <v>Cs. 4" Brioche Bun 8-12pk</v>
      </c>
      <c r="F200" s="3">
        <f>'Posted Sales Invoice Lines'!G200</f>
        <v>46050</v>
      </c>
      <c r="G200" s="9">
        <f>'Posted Sales Invoice Lines'!L200</f>
        <v>252</v>
      </c>
      <c r="H200" s="8">
        <f>'Posted Sales Invoice Lines'!N200</f>
        <v>46.1</v>
      </c>
      <c r="I200" s="8">
        <f>'Posted Sales Invoice Lines'!O200</f>
        <v>11617.2</v>
      </c>
    </row>
    <row r="201" spans="1:9" x14ac:dyDescent="0.25">
      <c r="A201" s="2" t="str">
        <f>'Posted Sales Invoice Lines'!A201</f>
        <v>PS-INV181457</v>
      </c>
      <c r="B201" s="2" t="str">
        <f>'Posted Sales Invoice Lines'!B201</f>
        <v>10511</v>
      </c>
      <c r="C201" s="2" t="str">
        <f>'Posted Sales Invoice Lines'!C201</f>
        <v>Sysco Nashville, LLC</v>
      </c>
      <c r="D201" s="2" t="str">
        <f>'Posted Sales Invoice Lines'!E201</f>
        <v>F53116</v>
      </c>
      <c r="E201" s="2" t="str">
        <f>'Posted Sales Invoice Lines'!F201</f>
        <v>Cs. 7" French Hinged 12</v>
      </c>
      <c r="F201" s="3">
        <f>'Posted Sales Invoice Lines'!G201</f>
        <v>46050</v>
      </c>
      <c r="G201" s="9">
        <f>'Posted Sales Invoice Lines'!L201</f>
        <v>48</v>
      </c>
      <c r="H201" s="8">
        <f>'Posted Sales Invoice Lines'!N201</f>
        <v>38</v>
      </c>
      <c r="I201" s="8">
        <f>'Posted Sales Invoice Lines'!O201</f>
        <v>1824</v>
      </c>
    </row>
    <row r="202" spans="1:9" x14ac:dyDescent="0.25">
      <c r="A202" s="2" t="str">
        <f>'Posted Sales Invoice Lines'!A202</f>
        <v>PS-INV181457</v>
      </c>
      <c r="B202" s="2" t="str">
        <f>'Posted Sales Invoice Lines'!B202</f>
        <v>10511</v>
      </c>
      <c r="C202" s="2" t="str">
        <f>'Posted Sales Invoice Lines'!C202</f>
        <v>Sysco Nashville, LLC</v>
      </c>
      <c r="D202" s="2" t="str">
        <f>'Posted Sales Invoice Lines'!E202</f>
        <v>F53128</v>
      </c>
      <c r="E202" s="2" t="str">
        <f>'Posted Sales Invoice Lines'!F202</f>
        <v>Cs. 8" Philly Unsliced 10-6pk</v>
      </c>
      <c r="F202" s="3">
        <f>'Posted Sales Invoice Lines'!G202</f>
        <v>46050</v>
      </c>
      <c r="G202" s="9">
        <f>'Posted Sales Invoice Lines'!L202</f>
        <v>112</v>
      </c>
      <c r="H202" s="8">
        <f>'Posted Sales Invoice Lines'!N202</f>
        <v>45</v>
      </c>
      <c r="I202" s="8">
        <f>'Posted Sales Invoice Lines'!O202</f>
        <v>5040</v>
      </c>
    </row>
    <row r="203" spans="1:9" x14ac:dyDescent="0.25">
      <c r="A203" s="2" t="str">
        <f>'Posted Sales Invoice Lines'!A203</f>
        <v>PS-INV181756</v>
      </c>
      <c r="B203" s="2" t="str">
        <f>'Posted Sales Invoice Lines'!B203</f>
        <v>Z10700</v>
      </c>
      <c r="C203" s="2" t="str">
        <f>'Posted Sales Invoice Lines'!C203</f>
        <v>Sysco-Charlotte</v>
      </c>
      <c r="D203" s="2" t="str">
        <f>'Posted Sales Invoice Lines'!E203</f>
        <v>F52564</v>
      </c>
      <c r="E203" s="2" t="str">
        <f>'Posted Sales Invoice Lines'!F203</f>
        <v>Cs. Rye Batard 5/8" 8lvs</v>
      </c>
      <c r="F203" s="3">
        <f>'Posted Sales Invoice Lines'!G203</f>
        <v>46035</v>
      </c>
      <c r="G203" s="9">
        <f>'Posted Sales Invoice Lines'!L203</f>
        <v>32</v>
      </c>
      <c r="H203" s="8">
        <f>'Posted Sales Invoice Lines'!N203</f>
        <v>46.38</v>
      </c>
      <c r="I203" s="8">
        <f>'Posted Sales Invoice Lines'!O203</f>
        <v>1484.16</v>
      </c>
    </row>
    <row r="204" spans="1:9" x14ac:dyDescent="0.25">
      <c r="A204" s="2" t="str">
        <f>'Posted Sales Invoice Lines'!A204</f>
        <v>PS-INV181880</v>
      </c>
      <c r="B204" s="2" t="str">
        <f>'Posted Sales Invoice Lines'!B204</f>
        <v>10155-45</v>
      </c>
      <c r="C204" s="2" t="str">
        <f>'Posted Sales Invoice Lines'!C204</f>
        <v>Hammer and Spoon MTWTHF</v>
      </c>
      <c r="D204" s="2" t="str">
        <f>'Posted Sales Invoice Lines'!E204</f>
        <v>F56251</v>
      </c>
      <c r="E204" s="2" t="str">
        <f>'Posted Sales Invoice Lines'!F204</f>
        <v>Cs. Challah Sliders Sliced 18-12pks</v>
      </c>
      <c r="F204" s="3">
        <f>'Posted Sales Invoice Lines'!G204</f>
        <v>46035</v>
      </c>
      <c r="G204" s="9">
        <f>'Posted Sales Invoice Lines'!L204</f>
        <v>0</v>
      </c>
      <c r="H204" s="8">
        <f>'Posted Sales Invoice Lines'!N204</f>
        <v>0</v>
      </c>
      <c r="I204" s="8">
        <f>'Posted Sales Invoice Lines'!O204</f>
        <v>0</v>
      </c>
    </row>
    <row r="205" spans="1:9" x14ac:dyDescent="0.25">
      <c r="A205" s="2" t="str">
        <f>'Posted Sales Invoice Lines'!A205</f>
        <v>PS-INV181880</v>
      </c>
      <c r="B205" s="2" t="str">
        <f>'Posted Sales Invoice Lines'!B205</f>
        <v>10155-45</v>
      </c>
      <c r="C205" s="2" t="str">
        <f>'Posted Sales Invoice Lines'!C205</f>
        <v>Hammer and Spoon MTWTHF</v>
      </c>
      <c r="D205" s="2" t="str">
        <f>'Posted Sales Invoice Lines'!E205</f>
        <v>F56560</v>
      </c>
      <c r="E205" s="2" t="str">
        <f>'Posted Sales Invoice Lines'!F205</f>
        <v>Gluten Free 3.5" Hamburger 36ct</v>
      </c>
      <c r="F205" s="3">
        <f>'Posted Sales Invoice Lines'!G205</f>
        <v>46035</v>
      </c>
      <c r="G205" s="9">
        <f>'Posted Sales Invoice Lines'!L205</f>
        <v>0</v>
      </c>
      <c r="H205" s="8">
        <f>'Posted Sales Invoice Lines'!N205</f>
        <v>0</v>
      </c>
      <c r="I205" s="8">
        <f>'Posted Sales Invoice Lines'!O205</f>
        <v>0</v>
      </c>
    </row>
    <row r="206" spans="1:9" x14ac:dyDescent="0.25">
      <c r="A206" s="2" t="str">
        <f>'Posted Sales Invoice Lines'!A206</f>
        <v>PS-INV181880</v>
      </c>
      <c r="B206" s="2" t="str">
        <f>'Posted Sales Invoice Lines'!B206</f>
        <v>10155-45</v>
      </c>
      <c r="C206" s="2" t="str">
        <f>'Posted Sales Invoice Lines'!C206</f>
        <v>Hammer and Spoon MTWTHF</v>
      </c>
      <c r="D206" s="2" t="str">
        <f>'Posted Sales Invoice Lines'!E206</f>
        <v>F56255</v>
      </c>
      <c r="E206" s="2" t="str">
        <f>'Posted Sales Invoice Lines'!F206</f>
        <v>Cs. English Muffin 30-6pk</v>
      </c>
      <c r="F206" s="3">
        <f>'Posted Sales Invoice Lines'!G206</f>
        <v>46035</v>
      </c>
      <c r="G206" s="9">
        <f>'Posted Sales Invoice Lines'!L206</f>
        <v>0</v>
      </c>
      <c r="H206" s="8">
        <f>'Posted Sales Invoice Lines'!N206</f>
        <v>0</v>
      </c>
      <c r="I206" s="8">
        <f>'Posted Sales Invoice Lines'!O206</f>
        <v>0</v>
      </c>
    </row>
    <row r="207" spans="1:9" x14ac:dyDescent="0.25">
      <c r="A207" s="2" t="str">
        <f>'Posted Sales Invoice Lines'!A207</f>
        <v>PS-INV181948</v>
      </c>
      <c r="B207" s="2" t="str">
        <f>'Posted Sales Invoice Lines'!B207</f>
        <v>20334</v>
      </c>
      <c r="C207" s="2" t="str">
        <f>'Posted Sales Invoice Lines'!C207</f>
        <v>Sysco Atlanta</v>
      </c>
      <c r="D207" s="2" t="str">
        <f>'Posted Sales Invoice Lines'!E207</f>
        <v>F53106</v>
      </c>
      <c r="E207" s="2" t="str">
        <f>'Posted Sales Invoice Lines'!F207</f>
        <v>Cs. Large Hot Dog 12-6pk</v>
      </c>
      <c r="F207" s="3">
        <f>'Posted Sales Invoice Lines'!G207</f>
        <v>46052</v>
      </c>
      <c r="G207" s="9">
        <f>'Posted Sales Invoice Lines'!L207</f>
        <v>16</v>
      </c>
      <c r="H207" s="8">
        <f>'Posted Sales Invoice Lines'!N207</f>
        <v>36.5</v>
      </c>
      <c r="I207" s="8">
        <f>'Posted Sales Invoice Lines'!O207</f>
        <v>584</v>
      </c>
    </row>
    <row r="208" spans="1:9" x14ac:dyDescent="0.25">
      <c r="A208" s="2" t="str">
        <f>'Posted Sales Invoice Lines'!A208</f>
        <v>PS-INV181948</v>
      </c>
      <c r="B208" s="2" t="str">
        <f>'Posted Sales Invoice Lines'!B208</f>
        <v>20334</v>
      </c>
      <c r="C208" s="2" t="str">
        <f>'Posted Sales Invoice Lines'!C208</f>
        <v>Sysco Atlanta</v>
      </c>
      <c r="D208" s="2" t="str">
        <f>'Posted Sales Invoice Lines'!E208</f>
        <v>F53116</v>
      </c>
      <c r="E208" s="2" t="str">
        <f>'Posted Sales Invoice Lines'!F208</f>
        <v>Cs. 7" French Hinged 12</v>
      </c>
      <c r="F208" s="3">
        <f>'Posted Sales Invoice Lines'!G208</f>
        <v>46052</v>
      </c>
      <c r="G208" s="9">
        <f>'Posted Sales Invoice Lines'!L208</f>
        <v>56</v>
      </c>
      <c r="H208" s="8">
        <f>'Posted Sales Invoice Lines'!N208</f>
        <v>31.42</v>
      </c>
      <c r="I208" s="8">
        <f>'Posted Sales Invoice Lines'!O208</f>
        <v>1759.52</v>
      </c>
    </row>
    <row r="209" spans="1:9" x14ac:dyDescent="0.25">
      <c r="A209" s="2" t="str">
        <f>'Posted Sales Invoice Lines'!A209</f>
        <v>PS-INV181948</v>
      </c>
      <c r="B209" s="2" t="str">
        <f>'Posted Sales Invoice Lines'!B209</f>
        <v>20334</v>
      </c>
      <c r="C209" s="2" t="str">
        <f>'Posted Sales Invoice Lines'!C209</f>
        <v>Sysco Atlanta</v>
      </c>
      <c r="D209" s="2" t="str">
        <f>'Posted Sales Invoice Lines'!E209</f>
        <v>F53087</v>
      </c>
      <c r="E209" s="2" t="str">
        <f>'Posted Sales Invoice Lines'!F209</f>
        <v>Cs. 3.5" Challah Bun 8-12 pk</v>
      </c>
      <c r="F209" s="3">
        <f>'Posted Sales Invoice Lines'!G209</f>
        <v>46052</v>
      </c>
      <c r="G209" s="9">
        <f>'Posted Sales Invoice Lines'!L209</f>
        <v>84</v>
      </c>
      <c r="H209" s="8">
        <f>'Posted Sales Invoice Lines'!N209</f>
        <v>34</v>
      </c>
      <c r="I209" s="8">
        <f>'Posted Sales Invoice Lines'!O209</f>
        <v>2856</v>
      </c>
    </row>
    <row r="210" spans="1:9" x14ac:dyDescent="0.25">
      <c r="A210" s="2" t="str">
        <f>'Posted Sales Invoice Lines'!A210</f>
        <v>PS-INV181948</v>
      </c>
      <c r="B210" s="2" t="str">
        <f>'Posted Sales Invoice Lines'!B210</f>
        <v>20334</v>
      </c>
      <c r="C210" s="2" t="str">
        <f>'Posted Sales Invoice Lines'!C210</f>
        <v>Sysco Atlanta</v>
      </c>
      <c r="D210" s="2" t="str">
        <f>'Posted Sales Invoice Lines'!E210</f>
        <v>F51024</v>
      </c>
      <c r="E210" s="2" t="str">
        <f>'Posted Sales Invoice Lines'!F210</f>
        <v>Cs. Marble Rye 5/8" 8lvs</v>
      </c>
      <c r="F210" s="3">
        <f>'Posted Sales Invoice Lines'!G210</f>
        <v>46052</v>
      </c>
      <c r="G210" s="9">
        <f>'Posted Sales Invoice Lines'!L210</f>
        <v>12</v>
      </c>
      <c r="H210" s="8">
        <f>'Posted Sales Invoice Lines'!N210</f>
        <v>43.26</v>
      </c>
      <c r="I210" s="8">
        <f>'Posted Sales Invoice Lines'!O210</f>
        <v>519.12</v>
      </c>
    </row>
    <row r="211" spans="1:9" x14ac:dyDescent="0.25">
      <c r="A211" s="2" t="str">
        <f>'Posted Sales Invoice Lines'!A211</f>
        <v>PS-INV181948</v>
      </c>
      <c r="B211" s="2" t="str">
        <f>'Posted Sales Invoice Lines'!B211</f>
        <v>20334</v>
      </c>
      <c r="C211" s="2" t="str">
        <f>'Posted Sales Invoice Lines'!C211</f>
        <v>Sysco Atlanta</v>
      </c>
      <c r="D211" s="2" t="str">
        <f>'Posted Sales Invoice Lines'!E211</f>
        <v>F51127</v>
      </c>
      <c r="E211" s="2" t="str">
        <f>'Posted Sales Invoice Lines'!F211</f>
        <v>Cs. Challah 3-Braid 8</v>
      </c>
      <c r="F211" s="3">
        <f>'Posted Sales Invoice Lines'!G211</f>
        <v>46052</v>
      </c>
      <c r="G211" s="9">
        <f>'Posted Sales Invoice Lines'!L211</f>
        <v>20</v>
      </c>
      <c r="H211" s="8">
        <f>'Posted Sales Invoice Lines'!N211</f>
        <v>43.26</v>
      </c>
      <c r="I211" s="8">
        <f>'Posted Sales Invoice Lines'!O211</f>
        <v>865.2</v>
      </c>
    </row>
    <row r="212" spans="1:9" x14ac:dyDescent="0.25">
      <c r="A212" s="2" t="str">
        <f>'Posted Sales Invoice Lines'!A212</f>
        <v>PS-INV181948</v>
      </c>
      <c r="B212" s="2" t="str">
        <f>'Posted Sales Invoice Lines'!B212</f>
        <v>20334</v>
      </c>
      <c r="C212" s="2" t="str">
        <f>'Posted Sales Invoice Lines'!C212</f>
        <v>Sysco Atlanta</v>
      </c>
      <c r="D212" s="2" t="str">
        <f>'Posted Sales Invoice Lines'!E212</f>
        <v>F53001</v>
      </c>
      <c r="E212" s="2" t="str">
        <f>'Posted Sales Invoice Lines'!F212</f>
        <v>Cs. 4" Brioche Bun 8-12pk</v>
      </c>
      <c r="F212" s="3">
        <f>'Posted Sales Invoice Lines'!G212</f>
        <v>46052</v>
      </c>
      <c r="G212" s="9">
        <f>'Posted Sales Invoice Lines'!L212</f>
        <v>84</v>
      </c>
      <c r="H212" s="8">
        <f>'Posted Sales Invoice Lines'!N212</f>
        <v>43.36</v>
      </c>
      <c r="I212" s="8">
        <f>'Posted Sales Invoice Lines'!O212</f>
        <v>3642.24</v>
      </c>
    </row>
    <row r="213" spans="1:9" x14ac:dyDescent="0.25">
      <c r="A213" s="2" t="str">
        <f>'Posted Sales Invoice Lines'!A213</f>
        <v>PS-INV181948</v>
      </c>
      <c r="B213" s="2" t="str">
        <f>'Posted Sales Invoice Lines'!B213</f>
        <v>20334</v>
      </c>
      <c r="C213" s="2" t="str">
        <f>'Posted Sales Invoice Lines'!C213</f>
        <v>Sysco Atlanta</v>
      </c>
      <c r="D213" s="2" t="str">
        <f>'Posted Sales Invoice Lines'!E213</f>
        <v>F51034</v>
      </c>
      <c r="E213" s="2" t="str">
        <f>'Posted Sales Invoice Lines'!F213</f>
        <v>Cs. Sour Dough Hearth 5/8" 8lvs</v>
      </c>
      <c r="F213" s="3">
        <f>'Posted Sales Invoice Lines'!G213</f>
        <v>46052</v>
      </c>
      <c r="G213" s="9">
        <f>'Posted Sales Invoice Lines'!L213</f>
        <v>20</v>
      </c>
      <c r="H213" s="8">
        <f>'Posted Sales Invoice Lines'!N213</f>
        <v>41.2</v>
      </c>
      <c r="I213" s="8">
        <f>'Posted Sales Invoice Lines'!O213</f>
        <v>824</v>
      </c>
    </row>
    <row r="214" spans="1:9" x14ac:dyDescent="0.25">
      <c r="A214" s="2" t="str">
        <f>'Posted Sales Invoice Lines'!A214</f>
        <v>PS-INV181948</v>
      </c>
      <c r="B214" s="2" t="str">
        <f>'Posted Sales Invoice Lines'!B214</f>
        <v>20334</v>
      </c>
      <c r="C214" s="2" t="str">
        <f>'Posted Sales Invoice Lines'!C214</f>
        <v>Sysco Atlanta</v>
      </c>
      <c r="D214" s="2" t="str">
        <f>'Posted Sales Invoice Lines'!E214</f>
        <v>F51157</v>
      </c>
      <c r="E214" s="2" t="str">
        <f>'Posted Sales Invoice Lines'!F214</f>
        <v>Cs. Challah Hearth 7/8" 8lvs</v>
      </c>
      <c r="F214" s="3">
        <f>'Posted Sales Invoice Lines'!G214</f>
        <v>46052</v>
      </c>
      <c r="G214" s="9">
        <f>'Posted Sales Invoice Lines'!L214</f>
        <v>12</v>
      </c>
      <c r="H214" s="8">
        <f>'Posted Sales Invoice Lines'!N214</f>
        <v>42.02</v>
      </c>
      <c r="I214" s="8">
        <f>'Posted Sales Invoice Lines'!O214</f>
        <v>504.24</v>
      </c>
    </row>
    <row r="215" spans="1:9" x14ac:dyDescent="0.25">
      <c r="A215" s="2" t="str">
        <f>'Posted Sales Invoice Lines'!A215</f>
        <v>PS-INV181948</v>
      </c>
      <c r="B215" s="2" t="str">
        <f>'Posted Sales Invoice Lines'!B215</f>
        <v>20334</v>
      </c>
      <c r="C215" s="2" t="str">
        <f>'Posted Sales Invoice Lines'!C215</f>
        <v>Sysco Atlanta</v>
      </c>
      <c r="D215" s="2" t="str">
        <f>'Posted Sales Invoice Lines'!E215</f>
        <v>F53140</v>
      </c>
      <c r="E215" s="2" t="str">
        <f>'Posted Sales Invoice Lines'!F215</f>
        <v>Cs. Knuckies 8" White 12-6pk</v>
      </c>
      <c r="F215" s="3">
        <f>'Posted Sales Invoice Lines'!G215</f>
        <v>46052</v>
      </c>
      <c r="G215" s="9">
        <f>'Posted Sales Invoice Lines'!L215</f>
        <v>20</v>
      </c>
      <c r="H215" s="8">
        <f>'Posted Sales Invoice Lines'!N215</f>
        <v>41</v>
      </c>
      <c r="I215" s="8">
        <f>'Posted Sales Invoice Lines'!O215</f>
        <v>820</v>
      </c>
    </row>
    <row r="216" spans="1:9" x14ac:dyDescent="0.25">
      <c r="A216" s="2" t="str">
        <f>'Posted Sales Invoice Lines'!A216</f>
        <v>PS-INV181986</v>
      </c>
      <c r="B216" s="2" t="str">
        <f>'Posted Sales Invoice Lines'!B216</f>
        <v>10700</v>
      </c>
      <c r="C216" s="2" t="str">
        <f>'Posted Sales Invoice Lines'!C216</f>
        <v>Gordon Food Service - Douglas</v>
      </c>
      <c r="D216" s="2" t="str">
        <f>'Posted Sales Invoice Lines'!E216</f>
        <v>F53002</v>
      </c>
      <c r="E216" s="2" t="str">
        <f>'Posted Sales Invoice Lines'!F216</f>
        <v>Cs. Sesame Bun 8-12pk</v>
      </c>
      <c r="F216" s="3">
        <f>'Posted Sales Invoice Lines'!G216</f>
        <v>46050</v>
      </c>
      <c r="G216" s="9">
        <f>'Posted Sales Invoice Lines'!L216</f>
        <v>36</v>
      </c>
      <c r="H216" s="8">
        <f>'Posted Sales Invoice Lines'!N216</f>
        <v>41.7</v>
      </c>
      <c r="I216" s="8">
        <f>'Posted Sales Invoice Lines'!O216</f>
        <v>1501.2</v>
      </c>
    </row>
    <row r="217" spans="1:9" x14ac:dyDescent="0.25">
      <c r="A217" s="2" t="str">
        <f>'Posted Sales Invoice Lines'!A217</f>
        <v>PS-INV181986</v>
      </c>
      <c r="B217" s="2" t="str">
        <f>'Posted Sales Invoice Lines'!B217</f>
        <v>10700</v>
      </c>
      <c r="C217" s="2" t="str">
        <f>'Posted Sales Invoice Lines'!C217</f>
        <v>Gordon Food Service - Douglas</v>
      </c>
      <c r="D217" s="2" t="str">
        <f>'Posted Sales Invoice Lines'!E217</f>
        <v>F51361</v>
      </c>
      <c r="E217" s="2" t="str">
        <f>'Posted Sales Invoice Lines'!F217</f>
        <v>Cs. Honey Wheat Pullman 7/8" 10lvs</v>
      </c>
      <c r="F217" s="3">
        <f>'Posted Sales Invoice Lines'!G217</f>
        <v>46050</v>
      </c>
      <c r="G217" s="9">
        <f>'Posted Sales Invoice Lines'!L217</f>
        <v>36</v>
      </c>
      <c r="H217" s="8">
        <f>'Posted Sales Invoice Lines'!N217</f>
        <v>41.49</v>
      </c>
      <c r="I217" s="8">
        <f>'Posted Sales Invoice Lines'!O217</f>
        <v>1493.64</v>
      </c>
    </row>
    <row r="218" spans="1:9" x14ac:dyDescent="0.25">
      <c r="A218" s="2" t="str">
        <f>'Posted Sales Invoice Lines'!A218</f>
        <v>PS-INV181986</v>
      </c>
      <c r="B218" s="2" t="str">
        <f>'Posted Sales Invoice Lines'!B218</f>
        <v>10700</v>
      </c>
      <c r="C218" s="2" t="str">
        <f>'Posted Sales Invoice Lines'!C218</f>
        <v>Gordon Food Service - Douglas</v>
      </c>
      <c r="D218" s="2" t="str">
        <f>'Posted Sales Invoice Lines'!E218</f>
        <v>F51384</v>
      </c>
      <c r="E218" s="2" t="str">
        <f>'Posted Sales Invoice Lines'!F218</f>
        <v>Cs. Challah Pullman 7/8"</v>
      </c>
      <c r="F218" s="3">
        <f>'Posted Sales Invoice Lines'!G218</f>
        <v>46050</v>
      </c>
      <c r="G218" s="9">
        <f>'Posted Sales Invoice Lines'!L218</f>
        <v>156</v>
      </c>
      <c r="H218" s="8">
        <f>'Posted Sales Invoice Lines'!N218</f>
        <v>48.49</v>
      </c>
      <c r="I218" s="8">
        <f>'Posted Sales Invoice Lines'!O218</f>
        <v>7564.44</v>
      </c>
    </row>
    <row r="219" spans="1:9" x14ac:dyDescent="0.25">
      <c r="A219" s="2" t="str">
        <f>'Posted Sales Invoice Lines'!A219</f>
        <v>PS-INV181986</v>
      </c>
      <c r="B219" s="2" t="str">
        <f>'Posted Sales Invoice Lines'!B219</f>
        <v>10700</v>
      </c>
      <c r="C219" s="2" t="str">
        <f>'Posted Sales Invoice Lines'!C219</f>
        <v>Gordon Food Service - Douglas</v>
      </c>
      <c r="D219" s="2" t="str">
        <f>'Posted Sales Invoice Lines'!E219</f>
        <v>F56255</v>
      </c>
      <c r="E219" s="2" t="str">
        <f>'Posted Sales Invoice Lines'!F219</f>
        <v>Cs. English Muffin 30-6pk</v>
      </c>
      <c r="F219" s="3">
        <f>'Posted Sales Invoice Lines'!G219</f>
        <v>46050</v>
      </c>
      <c r="G219" s="9">
        <f>'Posted Sales Invoice Lines'!L219</f>
        <v>24</v>
      </c>
      <c r="H219" s="8">
        <f>'Posted Sales Invoice Lines'!N219</f>
        <v>36.299999999999997</v>
      </c>
      <c r="I219" s="8">
        <f>'Posted Sales Invoice Lines'!O219</f>
        <v>871.2</v>
      </c>
    </row>
    <row r="220" spans="1:9" x14ac:dyDescent="0.25">
      <c r="A220" s="2" t="str">
        <f>'Posted Sales Invoice Lines'!A220</f>
        <v>PS-INV181986</v>
      </c>
      <c r="B220" s="2" t="str">
        <f>'Posted Sales Invoice Lines'!B220</f>
        <v>10700</v>
      </c>
      <c r="C220" s="2" t="str">
        <f>'Posted Sales Invoice Lines'!C220</f>
        <v>Gordon Food Service - Douglas</v>
      </c>
      <c r="D220" s="2" t="str">
        <f>'Posted Sales Invoice Lines'!E220</f>
        <v>F51084</v>
      </c>
      <c r="E220" s="2" t="str">
        <f>'Posted Sales Invoice Lines'!F220</f>
        <v>Cs. Wheatberry Hearth</v>
      </c>
      <c r="F220" s="3">
        <f>'Posted Sales Invoice Lines'!G220</f>
        <v>46050</v>
      </c>
      <c r="G220" s="9">
        <f>'Posted Sales Invoice Lines'!L220</f>
        <v>28</v>
      </c>
      <c r="H220" s="8">
        <f>'Posted Sales Invoice Lines'!N220</f>
        <v>33.299999999999997</v>
      </c>
      <c r="I220" s="8">
        <f>'Posted Sales Invoice Lines'!O220</f>
        <v>932.4</v>
      </c>
    </row>
    <row r="221" spans="1:9" x14ac:dyDescent="0.25">
      <c r="A221" s="2" t="str">
        <f>'Posted Sales Invoice Lines'!A221</f>
        <v>PS-INV181986</v>
      </c>
      <c r="B221" s="2" t="str">
        <f>'Posted Sales Invoice Lines'!B221</f>
        <v>10700</v>
      </c>
      <c r="C221" s="2" t="str">
        <f>'Posted Sales Invoice Lines'!C221</f>
        <v>Gordon Food Service - Douglas</v>
      </c>
      <c r="D221" s="2" t="str">
        <f>'Posted Sales Invoice Lines'!E221</f>
        <v>F53001</v>
      </c>
      <c r="E221" s="2" t="str">
        <f>'Posted Sales Invoice Lines'!F221</f>
        <v>Cs. 4" Brioche Bun 8-12pk</v>
      </c>
      <c r="F221" s="3">
        <f>'Posted Sales Invoice Lines'!G221</f>
        <v>46050</v>
      </c>
      <c r="G221" s="9">
        <f>'Posted Sales Invoice Lines'!L221</f>
        <v>168</v>
      </c>
      <c r="H221" s="8">
        <f>'Posted Sales Invoice Lines'!N221</f>
        <v>36.82</v>
      </c>
      <c r="I221" s="8">
        <f>'Posted Sales Invoice Lines'!O221</f>
        <v>6185.76</v>
      </c>
    </row>
    <row r="222" spans="1:9" x14ac:dyDescent="0.25">
      <c r="A222" s="2" t="str">
        <f>'Posted Sales Invoice Lines'!A222</f>
        <v>PS-INV181986</v>
      </c>
      <c r="B222" s="2" t="str">
        <f>'Posted Sales Invoice Lines'!B222</f>
        <v>10700</v>
      </c>
      <c r="C222" s="2" t="str">
        <f>'Posted Sales Invoice Lines'!C222</f>
        <v>Gordon Food Service - Douglas</v>
      </c>
      <c r="D222" s="2" t="str">
        <f>'Posted Sales Invoice Lines'!E222</f>
        <v>F51114</v>
      </c>
      <c r="E222" s="2" t="str">
        <f>'Posted Sales Invoice Lines'!F222</f>
        <v>Cs. Old Fashioned Hearth 5/8" 8lvs</v>
      </c>
      <c r="F222" s="3">
        <f>'Posted Sales Invoice Lines'!G222</f>
        <v>46050</v>
      </c>
      <c r="G222" s="9">
        <f>'Posted Sales Invoice Lines'!L222</f>
        <v>56</v>
      </c>
      <c r="H222" s="8">
        <f>'Posted Sales Invoice Lines'!N222</f>
        <v>39.700000000000003</v>
      </c>
      <c r="I222" s="8">
        <f>'Posted Sales Invoice Lines'!O222</f>
        <v>2223.1999999999998</v>
      </c>
    </row>
    <row r="223" spans="1:9" x14ac:dyDescent="0.25">
      <c r="A223" s="2" t="str">
        <f>'Posted Sales Invoice Lines'!A223</f>
        <v>PS-INV181986</v>
      </c>
      <c r="B223" s="2" t="str">
        <f>'Posted Sales Invoice Lines'!B223</f>
        <v>10700</v>
      </c>
      <c r="C223" s="2" t="str">
        <f>'Posted Sales Invoice Lines'!C223</f>
        <v>Gordon Food Service - Douglas</v>
      </c>
      <c r="D223" s="2" t="str">
        <f>'Posted Sales Invoice Lines'!E223</f>
        <v>F56251</v>
      </c>
      <c r="E223" s="2" t="str">
        <f>'Posted Sales Invoice Lines'!F223</f>
        <v>Cs. Challah Sliders Sliced 18-12pks</v>
      </c>
      <c r="F223" s="3">
        <f>'Posted Sales Invoice Lines'!G223</f>
        <v>46050</v>
      </c>
      <c r="G223" s="9">
        <f>'Posted Sales Invoice Lines'!L223</f>
        <v>168</v>
      </c>
      <c r="H223" s="8">
        <f>'Posted Sales Invoice Lines'!N223</f>
        <v>39.700000000000003</v>
      </c>
      <c r="I223" s="8">
        <f>'Posted Sales Invoice Lines'!O223</f>
        <v>6669.6</v>
      </c>
    </row>
    <row r="224" spans="1:9" x14ac:dyDescent="0.25">
      <c r="A224" s="2" t="str">
        <f>'Posted Sales Invoice Lines'!A224</f>
        <v>PS-INV181986</v>
      </c>
      <c r="B224" s="2" t="str">
        <f>'Posted Sales Invoice Lines'!B224</f>
        <v>10700</v>
      </c>
      <c r="C224" s="2" t="str">
        <f>'Posted Sales Invoice Lines'!C224</f>
        <v>Gordon Food Service - Douglas</v>
      </c>
      <c r="D224" s="2" t="str">
        <f>'Posted Sales Invoice Lines'!E224</f>
        <v>F53005</v>
      </c>
      <c r="E224" s="2" t="str">
        <f>'Posted Sales Invoice Lines'!F224</f>
        <v>Cs. 4" Gourmet PDS Bun 8-12pk</v>
      </c>
      <c r="F224" s="3">
        <f>'Posted Sales Invoice Lines'!G224</f>
        <v>46050</v>
      </c>
      <c r="G224" s="9">
        <f>'Posted Sales Invoice Lines'!L224</f>
        <v>48</v>
      </c>
      <c r="H224" s="8">
        <f>'Posted Sales Invoice Lines'!N224</f>
        <v>36</v>
      </c>
      <c r="I224" s="8">
        <f>'Posted Sales Invoice Lines'!O224</f>
        <v>1728</v>
      </c>
    </row>
    <row r="225" spans="1:9" x14ac:dyDescent="0.25">
      <c r="A225" s="2" t="str">
        <f>'Posted Sales Invoice Lines'!A225</f>
        <v>PS-INV182105</v>
      </c>
      <c r="B225" s="2" t="str">
        <f>'Posted Sales Invoice Lines'!B225</f>
        <v>10719-9</v>
      </c>
      <c r="C225" s="2" t="str">
        <f>'Posted Sales Invoice Lines'!C225</f>
        <v>US Foods -Carolinas/Ft.Mill</v>
      </c>
      <c r="D225" s="2" t="str">
        <f>'Posted Sales Invoice Lines'!E225</f>
        <v>F51137</v>
      </c>
      <c r="E225" s="2" t="str">
        <f>'Posted Sales Invoice Lines'!F225</f>
        <v>Cs. Texas Toast 3/4" 12lvs</v>
      </c>
      <c r="F225" s="3">
        <f>'Posted Sales Invoice Lines'!G225</f>
        <v>46055</v>
      </c>
      <c r="G225" s="9">
        <f>'Posted Sales Invoice Lines'!L225</f>
        <v>176</v>
      </c>
      <c r="H225" s="8">
        <f>'Posted Sales Invoice Lines'!N225</f>
        <v>40</v>
      </c>
      <c r="I225" s="8">
        <f>'Posted Sales Invoice Lines'!O225</f>
        <v>7040</v>
      </c>
    </row>
    <row r="226" spans="1:9" x14ac:dyDescent="0.25">
      <c r="A226" s="2" t="str">
        <f>'Posted Sales Invoice Lines'!A226</f>
        <v>PS-INV182105</v>
      </c>
      <c r="B226" s="2" t="str">
        <f>'Posted Sales Invoice Lines'!B226</f>
        <v>10719-9</v>
      </c>
      <c r="C226" s="2" t="str">
        <f>'Posted Sales Invoice Lines'!C226</f>
        <v>US Foods -Carolinas/Ft.Mill</v>
      </c>
      <c r="D226" s="2" t="str">
        <f>'Posted Sales Invoice Lines'!E226</f>
        <v>F53122</v>
      </c>
      <c r="E226" s="2" t="str">
        <f>'Posted Sales Invoice Lines'!F226</f>
        <v>Cs. 8" Italian Hinged 12-6pk</v>
      </c>
      <c r="F226" s="3">
        <f>'Posted Sales Invoice Lines'!G226</f>
        <v>46055</v>
      </c>
      <c r="G226" s="9">
        <f>'Posted Sales Invoice Lines'!L226</f>
        <v>40</v>
      </c>
      <c r="H226" s="8">
        <f>'Posted Sales Invoice Lines'!N226</f>
        <v>39</v>
      </c>
      <c r="I226" s="8">
        <f>'Posted Sales Invoice Lines'!O226</f>
        <v>1560</v>
      </c>
    </row>
    <row r="227" spans="1:9" x14ac:dyDescent="0.25">
      <c r="A227" s="2" t="str">
        <f>'Posted Sales Invoice Lines'!A227</f>
        <v>PS-INV182105</v>
      </c>
      <c r="B227" s="2" t="str">
        <f>'Posted Sales Invoice Lines'!B227</f>
        <v>10719-9</v>
      </c>
      <c r="C227" s="2" t="str">
        <f>'Posted Sales Invoice Lines'!C227</f>
        <v>US Foods -Carolinas/Ft.Mill</v>
      </c>
      <c r="D227" s="2" t="str">
        <f>'Posted Sales Invoice Lines'!E227</f>
        <v>F53001</v>
      </c>
      <c r="E227" s="2" t="str">
        <f>'Posted Sales Invoice Lines'!F227</f>
        <v>Cs. 4" Brioche Bun 8-12pk</v>
      </c>
      <c r="F227" s="3">
        <f>'Posted Sales Invoice Lines'!G227</f>
        <v>46055</v>
      </c>
      <c r="G227" s="9">
        <f>'Posted Sales Invoice Lines'!L227</f>
        <v>200</v>
      </c>
      <c r="H227" s="8">
        <f>'Posted Sales Invoice Lines'!N227</f>
        <v>44</v>
      </c>
      <c r="I227" s="8">
        <f>'Posted Sales Invoice Lines'!O227</f>
        <v>8800</v>
      </c>
    </row>
    <row r="228" spans="1:9" x14ac:dyDescent="0.25">
      <c r="A228" s="2" t="str">
        <f>'Posted Sales Invoice Lines'!A228</f>
        <v>PS-INV182105</v>
      </c>
      <c r="B228" s="2" t="str">
        <f>'Posted Sales Invoice Lines'!B228</f>
        <v>10719-9</v>
      </c>
      <c r="C228" s="2" t="str">
        <f>'Posted Sales Invoice Lines'!C228</f>
        <v>US Foods -Carolinas/Ft.Mill</v>
      </c>
      <c r="D228" s="2" t="str">
        <f>'Posted Sales Invoice Lines'!E228</f>
        <v>F53003</v>
      </c>
      <c r="E228" s="2" t="str">
        <f>'Posted Sales Invoice Lines'!F228</f>
        <v>Cs. 4" Unseeded Challah Bun 8-12pk</v>
      </c>
      <c r="F228" s="3">
        <f>'Posted Sales Invoice Lines'!G228</f>
        <v>46055</v>
      </c>
      <c r="G228" s="9">
        <f>'Posted Sales Invoice Lines'!L228</f>
        <v>144</v>
      </c>
      <c r="H228" s="8">
        <f>'Posted Sales Invoice Lines'!N228</f>
        <v>39</v>
      </c>
      <c r="I228" s="8">
        <f>'Posted Sales Invoice Lines'!O228</f>
        <v>5616</v>
      </c>
    </row>
    <row r="229" spans="1:9" x14ac:dyDescent="0.25">
      <c r="A229" s="2" t="str">
        <f>'Posted Sales Invoice Lines'!A229</f>
        <v>PS-INV182288</v>
      </c>
      <c r="B229" s="2" t="str">
        <f>'Posted Sales Invoice Lines'!B229</f>
        <v>10155-45</v>
      </c>
      <c r="C229" s="2" t="str">
        <f>'Posted Sales Invoice Lines'!C229</f>
        <v>Hammer and Spoon MTWTHF</v>
      </c>
      <c r="D229" s="2" t="str">
        <f>'Posted Sales Invoice Lines'!E229</f>
        <v>F56251</v>
      </c>
      <c r="E229" s="2" t="str">
        <f>'Posted Sales Invoice Lines'!F229</f>
        <v>Cs. Challah Sliders Sliced 18-12pks</v>
      </c>
      <c r="F229" s="3">
        <f>'Posted Sales Invoice Lines'!G229</f>
        <v>46036</v>
      </c>
      <c r="G229" s="9">
        <f>'Posted Sales Invoice Lines'!L229</f>
        <v>0</v>
      </c>
      <c r="H229" s="8">
        <f>'Posted Sales Invoice Lines'!N229</f>
        <v>0</v>
      </c>
      <c r="I229" s="8">
        <f>'Posted Sales Invoice Lines'!O229</f>
        <v>0</v>
      </c>
    </row>
    <row r="230" spans="1:9" x14ac:dyDescent="0.25">
      <c r="A230" s="2" t="str">
        <f>'Posted Sales Invoice Lines'!A230</f>
        <v>PS-INV182288</v>
      </c>
      <c r="B230" s="2" t="str">
        <f>'Posted Sales Invoice Lines'!B230</f>
        <v>10155-45</v>
      </c>
      <c r="C230" s="2" t="str">
        <f>'Posted Sales Invoice Lines'!C230</f>
        <v>Hammer and Spoon MTWTHF</v>
      </c>
      <c r="D230" s="2" t="str">
        <f>'Posted Sales Invoice Lines'!E230</f>
        <v>F56560</v>
      </c>
      <c r="E230" s="2" t="str">
        <f>'Posted Sales Invoice Lines'!F230</f>
        <v>Gluten Free 3.5" Hamburger 36ct</v>
      </c>
      <c r="F230" s="3">
        <f>'Posted Sales Invoice Lines'!G230</f>
        <v>46036</v>
      </c>
      <c r="G230" s="9">
        <f>'Posted Sales Invoice Lines'!L230</f>
        <v>0</v>
      </c>
      <c r="H230" s="8">
        <f>'Posted Sales Invoice Lines'!N230</f>
        <v>0</v>
      </c>
      <c r="I230" s="8">
        <f>'Posted Sales Invoice Lines'!O230</f>
        <v>0</v>
      </c>
    </row>
    <row r="231" spans="1:9" x14ac:dyDescent="0.25">
      <c r="A231" s="2" t="str">
        <f>'Posted Sales Invoice Lines'!A231</f>
        <v>PS-INV182288</v>
      </c>
      <c r="B231" s="2" t="str">
        <f>'Posted Sales Invoice Lines'!B231</f>
        <v>10155-45</v>
      </c>
      <c r="C231" s="2" t="str">
        <f>'Posted Sales Invoice Lines'!C231</f>
        <v>Hammer and Spoon MTWTHF</v>
      </c>
      <c r="D231" s="2" t="str">
        <f>'Posted Sales Invoice Lines'!E231</f>
        <v>F56255</v>
      </c>
      <c r="E231" s="2" t="str">
        <f>'Posted Sales Invoice Lines'!F231</f>
        <v>Cs. English Muffin 30-6pk</v>
      </c>
      <c r="F231" s="3">
        <f>'Posted Sales Invoice Lines'!G231</f>
        <v>46036</v>
      </c>
      <c r="G231" s="9">
        <f>'Posted Sales Invoice Lines'!L231</f>
        <v>0</v>
      </c>
      <c r="H231" s="8">
        <f>'Posted Sales Invoice Lines'!N231</f>
        <v>0</v>
      </c>
      <c r="I231" s="8">
        <f>'Posted Sales Invoice Lines'!O231</f>
        <v>0</v>
      </c>
    </row>
    <row r="232" spans="1:9" x14ac:dyDescent="0.25">
      <c r="A232" s="2" t="str">
        <f>'Posted Sales Invoice Lines'!A232</f>
        <v>PS-INV182442</v>
      </c>
      <c r="B232" s="2" t="str">
        <f>'Posted Sales Invoice Lines'!B232</f>
        <v>11394</v>
      </c>
      <c r="C232" s="2" t="str">
        <f>'Posted Sales Invoice Lines'!C232</f>
        <v>La Cosecha Food Service</v>
      </c>
      <c r="D232" s="2" t="str">
        <f>'Posted Sales Invoice Lines'!E232</f>
        <v>F53127</v>
      </c>
      <c r="E232" s="2" t="str">
        <f>'Posted Sales Invoice Lines'!F232</f>
        <v>Cs. 8" Philly 10-6pks</v>
      </c>
      <c r="F232" s="3">
        <f>'Posted Sales Invoice Lines'!G232</f>
        <v>46043</v>
      </c>
      <c r="G232" s="9">
        <f>'Posted Sales Invoice Lines'!L232</f>
        <v>12</v>
      </c>
      <c r="H232" s="8">
        <f>'Posted Sales Invoice Lines'!N232</f>
        <v>53.2</v>
      </c>
      <c r="I232" s="8">
        <f>'Posted Sales Invoice Lines'!O232</f>
        <v>638.4</v>
      </c>
    </row>
    <row r="233" spans="1:9" x14ac:dyDescent="0.25">
      <c r="A233" s="2" t="str">
        <f>'Posted Sales Invoice Lines'!A233</f>
        <v>PS-INV182442</v>
      </c>
      <c r="B233" s="2" t="str">
        <f>'Posted Sales Invoice Lines'!B233</f>
        <v>11394</v>
      </c>
      <c r="C233" s="2" t="str">
        <f>'Posted Sales Invoice Lines'!C233</f>
        <v>La Cosecha Food Service</v>
      </c>
      <c r="D233" s="2" t="str">
        <f>'Posted Sales Invoice Lines'!E233</f>
        <v>F530401</v>
      </c>
      <c r="E233" s="2" t="str">
        <f>'Posted Sales Invoice Lines'!F233</f>
        <v>Cs. 4.5" Sesame 6-12pk</v>
      </c>
      <c r="F233" s="3">
        <f>'Posted Sales Invoice Lines'!G233</f>
        <v>46043</v>
      </c>
      <c r="G233" s="9">
        <f>'Posted Sales Invoice Lines'!L233</f>
        <v>0</v>
      </c>
      <c r="H233" s="8">
        <f>'Posted Sales Invoice Lines'!N233</f>
        <v>34.18</v>
      </c>
      <c r="I233" s="8">
        <f>'Posted Sales Invoice Lines'!O233</f>
        <v>0</v>
      </c>
    </row>
    <row r="234" spans="1:9" x14ac:dyDescent="0.25">
      <c r="A234" s="2" t="str">
        <f>'Posted Sales Invoice Lines'!A234</f>
        <v>PS-INV182446</v>
      </c>
      <c r="B234" s="2" t="str">
        <f>'Posted Sales Invoice Lines'!B234</f>
        <v>10549</v>
      </c>
      <c r="C234" s="2" t="str">
        <f>'Posted Sales Invoice Lines'!C234</f>
        <v>PFG Nashville TN</v>
      </c>
      <c r="D234" s="2" t="str">
        <f>'Posted Sales Invoice Lines'!E234</f>
        <v>F53002</v>
      </c>
      <c r="E234" s="2" t="str">
        <f>'Posted Sales Invoice Lines'!F234</f>
        <v>Cs. Sesame Bun 8-12pk</v>
      </c>
      <c r="F234" s="3">
        <f>'Posted Sales Invoice Lines'!G234</f>
        <v>46056</v>
      </c>
      <c r="G234" s="9">
        <f>'Posted Sales Invoice Lines'!L234</f>
        <v>40</v>
      </c>
      <c r="H234" s="8">
        <f>'Posted Sales Invoice Lines'!N234</f>
        <v>37.5</v>
      </c>
      <c r="I234" s="8">
        <f>'Posted Sales Invoice Lines'!O234</f>
        <v>1500</v>
      </c>
    </row>
    <row r="235" spans="1:9" x14ac:dyDescent="0.25">
      <c r="A235" s="2" t="str">
        <f>'Posted Sales Invoice Lines'!A235</f>
        <v>PS-INV182446</v>
      </c>
      <c r="B235" s="2" t="str">
        <f>'Posted Sales Invoice Lines'!B235</f>
        <v>10549</v>
      </c>
      <c r="C235" s="2" t="str">
        <f>'Posted Sales Invoice Lines'!C235</f>
        <v>PFG Nashville TN</v>
      </c>
      <c r="D235" s="2" t="str">
        <f>'Posted Sales Invoice Lines'!E235</f>
        <v>F53003</v>
      </c>
      <c r="E235" s="2" t="str">
        <f>'Posted Sales Invoice Lines'!F235</f>
        <v>Cs. 4" Unseeded Challah Bun 8-12pk</v>
      </c>
      <c r="F235" s="3">
        <f>'Posted Sales Invoice Lines'!G235</f>
        <v>46056</v>
      </c>
      <c r="G235" s="9">
        <f>'Posted Sales Invoice Lines'!L235</f>
        <v>56</v>
      </c>
      <c r="H235" s="8">
        <f>'Posted Sales Invoice Lines'!N235</f>
        <v>34.5</v>
      </c>
      <c r="I235" s="8">
        <f>'Posted Sales Invoice Lines'!O235</f>
        <v>1932</v>
      </c>
    </row>
    <row r="236" spans="1:9" x14ac:dyDescent="0.25">
      <c r="A236" s="2" t="str">
        <f>'Posted Sales Invoice Lines'!A236</f>
        <v>PS-INV182446</v>
      </c>
      <c r="B236" s="2" t="str">
        <f>'Posted Sales Invoice Lines'!B236</f>
        <v>10549</v>
      </c>
      <c r="C236" s="2" t="str">
        <f>'Posted Sales Invoice Lines'!C236</f>
        <v>PFG Nashville TN</v>
      </c>
      <c r="D236" s="2" t="str">
        <f>'Posted Sales Invoice Lines'!E236</f>
        <v>F53070</v>
      </c>
      <c r="E236" s="2" t="str">
        <f>'Posted Sales Invoice Lines'!F236</f>
        <v xml:space="preserve">Cs. 5" Challah Sesame Buns </v>
      </c>
      <c r="F236" s="3">
        <f>'Posted Sales Invoice Lines'!G236</f>
        <v>46056</v>
      </c>
      <c r="G236" s="9">
        <f>'Posted Sales Invoice Lines'!L236</f>
        <v>32</v>
      </c>
      <c r="H236" s="8">
        <f>'Posted Sales Invoice Lines'!N236</f>
        <v>34.5</v>
      </c>
      <c r="I236" s="8">
        <f>'Posted Sales Invoice Lines'!O236</f>
        <v>1104</v>
      </c>
    </row>
    <row r="237" spans="1:9" x14ac:dyDescent="0.25">
      <c r="A237" s="2" t="str">
        <f>'Posted Sales Invoice Lines'!A237</f>
        <v>PS-INV182718</v>
      </c>
      <c r="B237" s="2" t="str">
        <f>'Posted Sales Invoice Lines'!B237</f>
        <v>10719-3</v>
      </c>
      <c r="C237" s="2" t="str">
        <f>'Posted Sales Invoice Lines'!C237</f>
        <v>US Foods - Raleigh/Zebulon</v>
      </c>
      <c r="D237" s="2" t="str">
        <f>'Posted Sales Invoice Lines'!E237</f>
        <v>F53002</v>
      </c>
      <c r="E237" s="2" t="str">
        <f>'Posted Sales Invoice Lines'!F237</f>
        <v>Cs. Sesame Bun 8-12pk</v>
      </c>
      <c r="F237" s="3">
        <f>'Posted Sales Invoice Lines'!G237</f>
        <v>46058</v>
      </c>
      <c r="G237" s="9">
        <f>'Posted Sales Invoice Lines'!L237</f>
        <v>60</v>
      </c>
      <c r="H237" s="8">
        <f>'Posted Sales Invoice Lines'!N237</f>
        <v>41.66</v>
      </c>
      <c r="I237" s="8">
        <f>'Posted Sales Invoice Lines'!O237</f>
        <v>2499.6</v>
      </c>
    </row>
    <row r="238" spans="1:9" x14ac:dyDescent="0.25">
      <c r="A238" s="2" t="str">
        <f>'Posted Sales Invoice Lines'!A238</f>
        <v>PS-INV182718</v>
      </c>
      <c r="B238" s="2" t="str">
        <f>'Posted Sales Invoice Lines'!B238</f>
        <v>10719-3</v>
      </c>
      <c r="C238" s="2" t="str">
        <f>'Posted Sales Invoice Lines'!C238</f>
        <v>US Foods - Raleigh/Zebulon</v>
      </c>
      <c r="D238" s="2" t="str">
        <f>'Posted Sales Invoice Lines'!E238</f>
        <v>F52902</v>
      </c>
      <c r="E238" s="2" t="str">
        <f>'Posted Sales Invoice Lines'!F238</f>
        <v>Cs. 22" Rye Baguette 10-2pk</v>
      </c>
      <c r="F238" s="3">
        <f>'Posted Sales Invoice Lines'!G238</f>
        <v>46058</v>
      </c>
      <c r="G238" s="9">
        <f>'Posted Sales Invoice Lines'!L238</f>
        <v>16</v>
      </c>
      <c r="H238" s="8">
        <f>'Posted Sales Invoice Lines'!N238</f>
        <v>42.53</v>
      </c>
      <c r="I238" s="8">
        <f>'Posted Sales Invoice Lines'!O238</f>
        <v>680.48</v>
      </c>
    </row>
    <row r="239" spans="1:9" x14ac:dyDescent="0.25">
      <c r="A239" s="2" t="str">
        <f>'Posted Sales Invoice Lines'!A239</f>
        <v>PS-INV182718</v>
      </c>
      <c r="B239" s="2" t="str">
        <f>'Posted Sales Invoice Lines'!B239</f>
        <v>10719-3</v>
      </c>
      <c r="C239" s="2" t="str">
        <f>'Posted Sales Invoice Lines'!C239</f>
        <v>US Foods - Raleigh/Zebulon</v>
      </c>
      <c r="D239" s="2" t="str">
        <f>'Posted Sales Invoice Lines'!E239</f>
        <v>F52007</v>
      </c>
      <c r="E239" s="2" t="str">
        <f>'Posted Sales Invoice Lines'!F239</f>
        <v>Cs. 22" 17oz French 10</v>
      </c>
      <c r="F239" s="3">
        <f>'Posted Sales Invoice Lines'!G239</f>
        <v>46058</v>
      </c>
      <c r="G239" s="9">
        <f>'Posted Sales Invoice Lines'!L239</f>
        <v>32</v>
      </c>
      <c r="H239" s="8">
        <f>'Posted Sales Invoice Lines'!N239</f>
        <v>39.96</v>
      </c>
      <c r="I239" s="8">
        <f>'Posted Sales Invoice Lines'!O239</f>
        <v>1278.72</v>
      </c>
    </row>
    <row r="240" spans="1:9" x14ac:dyDescent="0.25">
      <c r="A240" s="2" t="str">
        <f>'Posted Sales Invoice Lines'!A240</f>
        <v>PS-INV182718</v>
      </c>
      <c r="B240" s="2" t="str">
        <f>'Posted Sales Invoice Lines'!B240</f>
        <v>10719-3</v>
      </c>
      <c r="C240" s="2" t="str">
        <f>'Posted Sales Invoice Lines'!C240</f>
        <v>US Foods - Raleigh/Zebulon</v>
      </c>
      <c r="D240" s="2" t="str">
        <f>'Posted Sales Invoice Lines'!E240</f>
        <v>F51026</v>
      </c>
      <c r="E240" s="2" t="str">
        <f>'Posted Sales Invoice Lines'!F240</f>
        <v>Cs. Marble Rye 3/4" 8lvs</v>
      </c>
      <c r="F240" s="3">
        <f>'Posted Sales Invoice Lines'!G240</f>
        <v>46058</v>
      </c>
      <c r="G240" s="9">
        <f>'Posted Sales Invoice Lines'!L240</f>
        <v>24</v>
      </c>
      <c r="H240" s="8">
        <f>'Posted Sales Invoice Lines'!N240</f>
        <v>52</v>
      </c>
      <c r="I240" s="8">
        <f>'Posted Sales Invoice Lines'!O240</f>
        <v>1248</v>
      </c>
    </row>
    <row r="241" spans="1:9" x14ac:dyDescent="0.25">
      <c r="A241" s="2" t="str">
        <f>'Posted Sales Invoice Lines'!A241</f>
        <v>PS-INV182727</v>
      </c>
      <c r="B241" s="2" t="str">
        <f>'Posted Sales Invoice Lines'!B241</f>
        <v>10138-5</v>
      </c>
      <c r="C241" s="2" t="str">
        <f>'Posted Sales Invoice Lines'!C241</f>
        <v>Costco PriceSmart Export</v>
      </c>
      <c r="D241" s="2" t="str">
        <f>'Posted Sales Invoice Lines'!E241</f>
        <v>F53106</v>
      </c>
      <c r="E241" s="2" t="str">
        <f>'Posted Sales Invoice Lines'!F241</f>
        <v>Cs. Large Hot Dog 12-6pk</v>
      </c>
      <c r="F241" s="3">
        <f>'Posted Sales Invoice Lines'!G241</f>
        <v>46062</v>
      </c>
      <c r="G241" s="9">
        <f>'Posted Sales Invoice Lines'!L241</f>
        <v>942</v>
      </c>
      <c r="H241" s="8">
        <f>'Posted Sales Invoice Lines'!N241</f>
        <v>26.25</v>
      </c>
      <c r="I241" s="8">
        <f>'Posted Sales Invoice Lines'!O241</f>
        <v>24727.5</v>
      </c>
    </row>
    <row r="242" spans="1:9" x14ac:dyDescent="0.25">
      <c r="A242" s="2" t="str">
        <f>'Posted Sales Invoice Lines'!A242</f>
        <v>PS-INV182730</v>
      </c>
      <c r="B242" s="2" t="str">
        <f>'Posted Sales Invoice Lines'!B242</f>
        <v>20334</v>
      </c>
      <c r="C242" s="2" t="str">
        <f>'Posted Sales Invoice Lines'!C242</f>
        <v>Sysco Atlanta</v>
      </c>
      <c r="D242" s="2" t="str">
        <f>'Posted Sales Invoice Lines'!E242</f>
        <v>F53116</v>
      </c>
      <c r="E242" s="2" t="str">
        <f>'Posted Sales Invoice Lines'!F242</f>
        <v>Cs. 7" French Hinged 12</v>
      </c>
      <c r="F242" s="3">
        <f>'Posted Sales Invoice Lines'!G242</f>
        <v>46051</v>
      </c>
      <c r="G242" s="9">
        <f>'Posted Sales Invoice Lines'!L242</f>
        <v>28</v>
      </c>
      <c r="H242" s="8">
        <f>'Posted Sales Invoice Lines'!N242</f>
        <v>31.42</v>
      </c>
      <c r="I242" s="8">
        <f>'Posted Sales Invoice Lines'!O242</f>
        <v>879.76</v>
      </c>
    </row>
    <row r="243" spans="1:9" x14ac:dyDescent="0.25">
      <c r="A243" s="2" t="str">
        <f>'Posted Sales Invoice Lines'!A243</f>
        <v>PS-INV182730</v>
      </c>
      <c r="B243" s="2" t="str">
        <f>'Posted Sales Invoice Lines'!B243</f>
        <v>20334</v>
      </c>
      <c r="C243" s="2" t="str">
        <f>'Posted Sales Invoice Lines'!C243</f>
        <v>Sysco Atlanta</v>
      </c>
      <c r="D243" s="2" t="str">
        <f>'Posted Sales Invoice Lines'!E243</f>
        <v>F53087</v>
      </c>
      <c r="E243" s="2" t="str">
        <f>'Posted Sales Invoice Lines'!F243</f>
        <v>Cs. 3.5" Challah Bun 8-12 pk</v>
      </c>
      <c r="F243" s="3">
        <f>'Posted Sales Invoice Lines'!G243</f>
        <v>46051</v>
      </c>
      <c r="G243" s="9">
        <f>'Posted Sales Invoice Lines'!L243</f>
        <v>140</v>
      </c>
      <c r="H243" s="8">
        <f>'Posted Sales Invoice Lines'!N243</f>
        <v>34</v>
      </c>
      <c r="I243" s="8">
        <f>'Posted Sales Invoice Lines'!O243</f>
        <v>4760</v>
      </c>
    </row>
    <row r="244" spans="1:9" x14ac:dyDescent="0.25">
      <c r="A244" s="2" t="str">
        <f>'Posted Sales Invoice Lines'!A244</f>
        <v>PS-INV182730</v>
      </c>
      <c r="B244" s="2" t="str">
        <f>'Posted Sales Invoice Lines'!B244</f>
        <v>20334</v>
      </c>
      <c r="C244" s="2" t="str">
        <f>'Posted Sales Invoice Lines'!C244</f>
        <v>Sysco Atlanta</v>
      </c>
      <c r="D244" s="2" t="str">
        <f>'Posted Sales Invoice Lines'!E244</f>
        <v>F51024</v>
      </c>
      <c r="E244" s="2" t="str">
        <f>'Posted Sales Invoice Lines'!F244</f>
        <v>Cs. Marble Rye 5/8" 8lvs</v>
      </c>
      <c r="F244" s="3">
        <f>'Posted Sales Invoice Lines'!G244</f>
        <v>46051</v>
      </c>
      <c r="G244" s="9">
        <f>'Posted Sales Invoice Lines'!L244</f>
        <v>12</v>
      </c>
      <c r="H244" s="8">
        <f>'Posted Sales Invoice Lines'!N244</f>
        <v>43.26</v>
      </c>
      <c r="I244" s="8">
        <f>'Posted Sales Invoice Lines'!O244</f>
        <v>519.12</v>
      </c>
    </row>
    <row r="245" spans="1:9" x14ac:dyDescent="0.25">
      <c r="A245" s="2" t="str">
        <f>'Posted Sales Invoice Lines'!A245</f>
        <v>PS-INV182730</v>
      </c>
      <c r="B245" s="2" t="str">
        <f>'Posted Sales Invoice Lines'!B245</f>
        <v>20334</v>
      </c>
      <c r="C245" s="2" t="str">
        <f>'Posted Sales Invoice Lines'!C245</f>
        <v>Sysco Atlanta</v>
      </c>
      <c r="D245" s="2" t="str">
        <f>'Posted Sales Invoice Lines'!E245</f>
        <v>F51127</v>
      </c>
      <c r="E245" s="2" t="str">
        <f>'Posted Sales Invoice Lines'!F245</f>
        <v>Cs. Challah 3-Braid 8</v>
      </c>
      <c r="F245" s="3">
        <f>'Posted Sales Invoice Lines'!G245</f>
        <v>46051</v>
      </c>
      <c r="G245" s="9">
        <f>'Posted Sales Invoice Lines'!L245</f>
        <v>20</v>
      </c>
      <c r="H245" s="8">
        <f>'Posted Sales Invoice Lines'!N245</f>
        <v>43.26</v>
      </c>
      <c r="I245" s="8">
        <f>'Posted Sales Invoice Lines'!O245</f>
        <v>865.2</v>
      </c>
    </row>
    <row r="246" spans="1:9" x14ac:dyDescent="0.25">
      <c r="A246" s="2" t="str">
        <f>'Posted Sales Invoice Lines'!A246</f>
        <v>PS-INV182730</v>
      </c>
      <c r="B246" s="2" t="str">
        <f>'Posted Sales Invoice Lines'!B246</f>
        <v>20334</v>
      </c>
      <c r="C246" s="2" t="str">
        <f>'Posted Sales Invoice Lines'!C246</f>
        <v>Sysco Atlanta</v>
      </c>
      <c r="D246" s="2" t="str">
        <f>'Posted Sales Invoice Lines'!E246</f>
        <v>F53001</v>
      </c>
      <c r="E246" s="2" t="str">
        <f>'Posted Sales Invoice Lines'!F246</f>
        <v>Cs. 4" Brioche Bun 8-12pk</v>
      </c>
      <c r="F246" s="3">
        <f>'Posted Sales Invoice Lines'!G246</f>
        <v>46051</v>
      </c>
      <c r="G246" s="9">
        <f>'Posted Sales Invoice Lines'!L246</f>
        <v>28</v>
      </c>
      <c r="H246" s="8">
        <f>'Posted Sales Invoice Lines'!N246</f>
        <v>43.36</v>
      </c>
      <c r="I246" s="8">
        <f>'Posted Sales Invoice Lines'!O246</f>
        <v>1214.08</v>
      </c>
    </row>
    <row r="247" spans="1:9" x14ac:dyDescent="0.25">
      <c r="A247" s="2" t="str">
        <f>'Posted Sales Invoice Lines'!A247</f>
        <v>PS-INV182730</v>
      </c>
      <c r="B247" s="2" t="str">
        <f>'Posted Sales Invoice Lines'!B247</f>
        <v>20334</v>
      </c>
      <c r="C247" s="2" t="str">
        <f>'Posted Sales Invoice Lines'!C247</f>
        <v>Sysco Atlanta</v>
      </c>
      <c r="D247" s="2" t="str">
        <f>'Posted Sales Invoice Lines'!E247</f>
        <v>F53033</v>
      </c>
      <c r="E247" s="2" t="str">
        <f>'Posted Sales Invoice Lines'!F247</f>
        <v>Cs. 4" Parker House 8-12pk</v>
      </c>
      <c r="F247" s="3">
        <f>'Posted Sales Invoice Lines'!G247</f>
        <v>46051</v>
      </c>
      <c r="G247" s="9">
        <f>'Posted Sales Invoice Lines'!L247</f>
        <v>28</v>
      </c>
      <c r="H247" s="8">
        <f>'Posted Sales Invoice Lines'!N247</f>
        <v>39.53</v>
      </c>
      <c r="I247" s="8">
        <f>'Posted Sales Invoice Lines'!O247</f>
        <v>1106.8399999999999</v>
      </c>
    </row>
    <row r="248" spans="1:9" x14ac:dyDescent="0.25">
      <c r="A248" s="2" t="str">
        <f>'Posted Sales Invoice Lines'!A248</f>
        <v>PS-INV182730</v>
      </c>
      <c r="B248" s="2" t="str">
        <f>'Posted Sales Invoice Lines'!B248</f>
        <v>20334</v>
      </c>
      <c r="C248" s="2" t="str">
        <f>'Posted Sales Invoice Lines'!C248</f>
        <v>Sysco Atlanta</v>
      </c>
      <c r="D248" s="2" t="str">
        <f>'Posted Sales Invoice Lines'!E248</f>
        <v>F51034</v>
      </c>
      <c r="E248" s="2" t="str">
        <f>'Posted Sales Invoice Lines'!F248</f>
        <v>Cs. Sour Dough Hearth 5/8" 8lvs</v>
      </c>
      <c r="F248" s="3">
        <f>'Posted Sales Invoice Lines'!G248</f>
        <v>46051</v>
      </c>
      <c r="G248" s="9">
        <f>'Posted Sales Invoice Lines'!L248</f>
        <v>20</v>
      </c>
      <c r="H248" s="8">
        <f>'Posted Sales Invoice Lines'!N248</f>
        <v>41.2</v>
      </c>
      <c r="I248" s="8">
        <f>'Posted Sales Invoice Lines'!O248</f>
        <v>824</v>
      </c>
    </row>
    <row r="249" spans="1:9" x14ac:dyDescent="0.25">
      <c r="A249" s="2" t="str">
        <f>'Posted Sales Invoice Lines'!A249</f>
        <v>PS-INV182730</v>
      </c>
      <c r="B249" s="2" t="str">
        <f>'Posted Sales Invoice Lines'!B249</f>
        <v>20334</v>
      </c>
      <c r="C249" s="2" t="str">
        <f>'Posted Sales Invoice Lines'!C249</f>
        <v>Sysco Atlanta</v>
      </c>
      <c r="D249" s="2" t="str">
        <f>'Posted Sales Invoice Lines'!E249</f>
        <v>F53140</v>
      </c>
      <c r="E249" s="2" t="str">
        <f>'Posted Sales Invoice Lines'!F249</f>
        <v>Cs. Knuckies 8" White 12-6pk</v>
      </c>
      <c r="F249" s="3">
        <f>'Posted Sales Invoice Lines'!G249</f>
        <v>46051</v>
      </c>
      <c r="G249" s="9">
        <f>'Posted Sales Invoice Lines'!L249</f>
        <v>40</v>
      </c>
      <c r="H249" s="8">
        <f>'Posted Sales Invoice Lines'!N249</f>
        <v>41</v>
      </c>
      <c r="I249" s="8">
        <f>'Posted Sales Invoice Lines'!O249</f>
        <v>1640</v>
      </c>
    </row>
    <row r="250" spans="1:9" x14ac:dyDescent="0.25">
      <c r="A250" s="2" t="str">
        <f>'Posted Sales Invoice Lines'!A250</f>
        <v>PS-INV182739</v>
      </c>
      <c r="B250" s="2" t="str">
        <f>'Posted Sales Invoice Lines'!B250</f>
        <v>13128</v>
      </c>
      <c r="C250" s="2" t="str">
        <f>'Posted Sales Invoice Lines'!C250</f>
        <v>Gordon Food Service - Shepherdsville</v>
      </c>
      <c r="D250" s="2" t="str">
        <f>'Posted Sales Invoice Lines'!E250</f>
        <v>F51084</v>
      </c>
      <c r="E250" s="2" t="str">
        <f>'Posted Sales Invoice Lines'!F250</f>
        <v>Cs. Wheatberry Hearth</v>
      </c>
      <c r="F250" s="3">
        <f>'Posted Sales Invoice Lines'!G250</f>
        <v>46052</v>
      </c>
      <c r="G250" s="9">
        <f>'Posted Sales Invoice Lines'!L250</f>
        <v>80</v>
      </c>
      <c r="H250" s="8">
        <f>'Posted Sales Invoice Lines'!N250</f>
        <v>33.299999999999997</v>
      </c>
      <c r="I250" s="8">
        <f>'Posted Sales Invoice Lines'!O250</f>
        <v>2664</v>
      </c>
    </row>
    <row r="251" spans="1:9" x14ac:dyDescent="0.25">
      <c r="A251" s="2" t="str">
        <f>'Posted Sales Invoice Lines'!A251</f>
        <v>PS-INV182739</v>
      </c>
      <c r="B251" s="2" t="str">
        <f>'Posted Sales Invoice Lines'!B251</f>
        <v>13128</v>
      </c>
      <c r="C251" s="2" t="str">
        <f>'Posted Sales Invoice Lines'!C251</f>
        <v>Gordon Food Service - Shepherdsville</v>
      </c>
      <c r="D251" s="2" t="str">
        <f>'Posted Sales Invoice Lines'!E251</f>
        <v>F53001</v>
      </c>
      <c r="E251" s="2" t="str">
        <f>'Posted Sales Invoice Lines'!F251</f>
        <v>Cs. 4" Brioche Bun 8-12pk</v>
      </c>
      <c r="F251" s="3">
        <f>'Posted Sales Invoice Lines'!G251</f>
        <v>46052</v>
      </c>
      <c r="G251" s="9">
        <f>'Posted Sales Invoice Lines'!L251</f>
        <v>256</v>
      </c>
      <c r="H251" s="8">
        <f>'Posted Sales Invoice Lines'!N251</f>
        <v>36.82</v>
      </c>
      <c r="I251" s="8">
        <f>'Posted Sales Invoice Lines'!O251</f>
        <v>9425.92</v>
      </c>
    </row>
    <row r="252" spans="1:9" x14ac:dyDescent="0.25">
      <c r="A252" s="2" t="str">
        <f>'Posted Sales Invoice Lines'!A252</f>
        <v>PS-INV182739</v>
      </c>
      <c r="B252" s="2" t="str">
        <f>'Posted Sales Invoice Lines'!B252</f>
        <v>13128</v>
      </c>
      <c r="C252" s="2" t="str">
        <f>'Posted Sales Invoice Lines'!C252</f>
        <v>Gordon Food Service - Shepherdsville</v>
      </c>
      <c r="D252" s="2" t="str">
        <f>'Posted Sales Invoice Lines'!E252</f>
        <v>F51114</v>
      </c>
      <c r="E252" s="2" t="str">
        <f>'Posted Sales Invoice Lines'!F252</f>
        <v>Cs. Old Fashioned Hearth 5/8" 8lvs</v>
      </c>
      <c r="F252" s="3">
        <f>'Posted Sales Invoice Lines'!G252</f>
        <v>46052</v>
      </c>
      <c r="G252" s="9">
        <f>'Posted Sales Invoice Lines'!L252</f>
        <v>176</v>
      </c>
      <c r="H252" s="8">
        <f>'Posted Sales Invoice Lines'!N252</f>
        <v>39.700000000000003</v>
      </c>
      <c r="I252" s="8">
        <f>'Posted Sales Invoice Lines'!O252</f>
        <v>6987.2</v>
      </c>
    </row>
    <row r="253" spans="1:9" x14ac:dyDescent="0.25">
      <c r="A253" s="2" t="str">
        <f>'Posted Sales Invoice Lines'!A253</f>
        <v>PS-INV182739</v>
      </c>
      <c r="B253" s="2" t="str">
        <f>'Posted Sales Invoice Lines'!B253</f>
        <v>13128</v>
      </c>
      <c r="C253" s="2" t="str">
        <f>'Posted Sales Invoice Lines'!C253</f>
        <v>Gordon Food Service - Shepherdsville</v>
      </c>
      <c r="D253" s="2" t="str">
        <f>'Posted Sales Invoice Lines'!E253</f>
        <v>F56251</v>
      </c>
      <c r="E253" s="2" t="str">
        <f>'Posted Sales Invoice Lines'!F253</f>
        <v>Cs. Challah Sliders Sliced 18-12pks</v>
      </c>
      <c r="F253" s="3">
        <f>'Posted Sales Invoice Lines'!G253</f>
        <v>46052</v>
      </c>
      <c r="G253" s="9">
        <f>'Posted Sales Invoice Lines'!L253</f>
        <v>320</v>
      </c>
      <c r="H253" s="8">
        <f>'Posted Sales Invoice Lines'!N253</f>
        <v>39.700000000000003</v>
      </c>
      <c r="I253" s="8">
        <f>'Posted Sales Invoice Lines'!O253</f>
        <v>12704</v>
      </c>
    </row>
    <row r="254" spans="1:9" x14ac:dyDescent="0.25">
      <c r="A254" s="2" t="str">
        <f>'Posted Sales Invoice Lines'!A254</f>
        <v>PS-INV183248</v>
      </c>
      <c r="B254" s="2" t="str">
        <f>'Posted Sales Invoice Lines'!B254</f>
        <v>12707</v>
      </c>
      <c r="C254" s="2" t="str">
        <f>'Posted Sales Invoice Lines'!C254</f>
        <v>PFG Florence SC</v>
      </c>
      <c r="D254" s="2" t="str">
        <f>'Posted Sales Invoice Lines'!E254</f>
        <v>F53001</v>
      </c>
      <c r="E254" s="2" t="str">
        <f>'Posted Sales Invoice Lines'!F254</f>
        <v>Cs. 4" Brioche Bun 8-12pk</v>
      </c>
      <c r="F254" s="3">
        <f>'Posted Sales Invoice Lines'!G254</f>
        <v>46051</v>
      </c>
      <c r="G254" s="9">
        <f>'Posted Sales Invoice Lines'!L254</f>
        <v>168</v>
      </c>
      <c r="H254" s="8">
        <f>'Posted Sales Invoice Lines'!N254</f>
        <v>46.6</v>
      </c>
      <c r="I254" s="8">
        <f>'Posted Sales Invoice Lines'!O254</f>
        <v>7828.8</v>
      </c>
    </row>
    <row r="255" spans="1:9" x14ac:dyDescent="0.25">
      <c r="A255" s="2" t="str">
        <f>'Posted Sales Invoice Lines'!A255</f>
        <v>PS-INV183255</v>
      </c>
      <c r="B255" s="2" t="str">
        <f>'Posted Sales Invoice Lines'!B255</f>
        <v>11005</v>
      </c>
      <c r="C255" s="2" t="str">
        <f>'Posted Sales Invoice Lines'!C255</f>
        <v>Dot Foods Inc.</v>
      </c>
      <c r="D255" s="2" t="str">
        <f>'Posted Sales Invoice Lines'!E255</f>
        <v>F530142</v>
      </c>
      <c r="E255" s="2" t="str">
        <f>'Posted Sales Invoice Lines'!F255</f>
        <v>Cs. Knot Roll 8-12pk</v>
      </c>
      <c r="F255" s="3">
        <f>'Posted Sales Invoice Lines'!G255</f>
        <v>46055</v>
      </c>
      <c r="G255" s="9">
        <f>'Posted Sales Invoice Lines'!L255</f>
        <v>256</v>
      </c>
      <c r="H255" s="8">
        <f>'Posted Sales Invoice Lines'!N255</f>
        <v>33.42</v>
      </c>
      <c r="I255" s="8">
        <f>'Posted Sales Invoice Lines'!O255</f>
        <v>8555.52</v>
      </c>
    </row>
    <row r="256" spans="1:9" x14ac:dyDescent="0.25">
      <c r="A256" s="2" t="str">
        <f>'Posted Sales Invoice Lines'!A256</f>
        <v>PS-INV183255</v>
      </c>
      <c r="B256" s="2" t="str">
        <f>'Posted Sales Invoice Lines'!B256</f>
        <v>11005</v>
      </c>
      <c r="C256" s="2" t="str">
        <f>'Posted Sales Invoice Lines'!C256</f>
        <v>Dot Foods Inc.</v>
      </c>
      <c r="D256" s="2" t="str">
        <f>'Posted Sales Invoice Lines'!E256</f>
        <v>F540212</v>
      </c>
      <c r="E256" s="2" t="str">
        <f>'Posted Sales Invoice Lines'!F256</f>
        <v>Cs. HBH White Mountain Roll</v>
      </c>
      <c r="F256" s="3">
        <f>'Posted Sales Invoice Lines'!G256</f>
        <v>46055</v>
      </c>
      <c r="G256" s="9">
        <f>'Posted Sales Invoice Lines'!L256</f>
        <v>32</v>
      </c>
      <c r="H256" s="8">
        <f>'Posted Sales Invoice Lines'!N256</f>
        <v>26.96</v>
      </c>
      <c r="I256" s="8">
        <f>'Posted Sales Invoice Lines'!O256</f>
        <v>862.72</v>
      </c>
    </row>
    <row r="257" spans="1:9" x14ac:dyDescent="0.25">
      <c r="A257" s="2" t="str">
        <f>'Posted Sales Invoice Lines'!A257</f>
        <v>PS-INV183255</v>
      </c>
      <c r="B257" s="2" t="str">
        <f>'Posted Sales Invoice Lines'!B257</f>
        <v>11005</v>
      </c>
      <c r="C257" s="2" t="str">
        <f>'Posted Sales Invoice Lines'!C257</f>
        <v>Dot Foods Inc.</v>
      </c>
      <c r="D257" s="2" t="str">
        <f>'Posted Sales Invoice Lines'!E257</f>
        <v>F540222</v>
      </c>
      <c r="E257" s="2" t="str">
        <f>'Posted Sales Invoice Lines'!F257</f>
        <v>Cs. HBH Mini Twist</v>
      </c>
      <c r="F257" s="3">
        <f>'Posted Sales Invoice Lines'!G257</f>
        <v>46055</v>
      </c>
      <c r="G257" s="9">
        <f>'Posted Sales Invoice Lines'!L257</f>
        <v>32</v>
      </c>
      <c r="H257" s="8">
        <f>'Posted Sales Invoice Lines'!N257</f>
        <v>29.53</v>
      </c>
      <c r="I257" s="8">
        <f>'Posted Sales Invoice Lines'!O257</f>
        <v>944.96</v>
      </c>
    </row>
    <row r="258" spans="1:9" x14ac:dyDescent="0.25">
      <c r="A258" s="2" t="str">
        <f>'Posted Sales Invoice Lines'!A258</f>
        <v>PS-INV183255</v>
      </c>
      <c r="B258" s="2" t="str">
        <f>'Posted Sales Invoice Lines'!B258</f>
        <v>11005</v>
      </c>
      <c r="C258" s="2" t="str">
        <f>'Posted Sales Invoice Lines'!C258</f>
        <v>Dot Foods Inc.</v>
      </c>
      <c r="D258" s="2" t="str">
        <f>'Posted Sales Invoice Lines'!E258</f>
        <v>F540202</v>
      </c>
      <c r="E258" s="2" t="str">
        <f>'Posted Sales Invoice Lines'!F258</f>
        <v>Cs. HBH Wheat Roll</v>
      </c>
      <c r="F258" s="3">
        <f>'Posted Sales Invoice Lines'!G258</f>
        <v>46055</v>
      </c>
      <c r="G258" s="9">
        <f>'Posted Sales Invoice Lines'!L258</f>
        <v>32</v>
      </c>
      <c r="H258" s="8">
        <f>'Posted Sales Invoice Lines'!N258</f>
        <v>26.22</v>
      </c>
      <c r="I258" s="8">
        <f>'Posted Sales Invoice Lines'!O258</f>
        <v>839.04</v>
      </c>
    </row>
    <row r="259" spans="1:9" x14ac:dyDescent="0.25">
      <c r="A259" s="2" t="str">
        <f>'Posted Sales Invoice Lines'!A259</f>
        <v>PS-INV183271</v>
      </c>
      <c r="B259" s="2" t="str">
        <f>'Posted Sales Invoice Lines'!B259</f>
        <v>12431</v>
      </c>
      <c r="C259" s="2" t="str">
        <f>'Posted Sales Invoice Lines'!C259</f>
        <v>Ben E Keith - New Brockton</v>
      </c>
      <c r="D259" s="2" t="str">
        <f>'Posted Sales Invoice Lines'!E259</f>
        <v>F54301</v>
      </c>
      <c r="E259" s="2" t="str">
        <f>'Posted Sales Invoice Lines'!F259</f>
        <v>Cs. Potato Roll Sliced 12-16pk</v>
      </c>
      <c r="F259" s="3">
        <f>'Posted Sales Invoice Lines'!G259</f>
        <v>46051</v>
      </c>
      <c r="G259" s="9">
        <f>'Posted Sales Invoice Lines'!L259</f>
        <v>28</v>
      </c>
      <c r="H259" s="8">
        <f>'Posted Sales Invoice Lines'!N259</f>
        <v>50.05</v>
      </c>
      <c r="I259" s="8">
        <f>'Posted Sales Invoice Lines'!O259</f>
        <v>1401.4</v>
      </c>
    </row>
    <row r="260" spans="1:9" x14ac:dyDescent="0.25">
      <c r="A260" s="2" t="str">
        <f>'Posted Sales Invoice Lines'!A260</f>
        <v>PS-INV183271</v>
      </c>
      <c r="B260" s="2" t="str">
        <f>'Posted Sales Invoice Lines'!B260</f>
        <v>12431</v>
      </c>
      <c r="C260" s="2" t="str">
        <f>'Posted Sales Invoice Lines'!C260</f>
        <v>Ben E Keith - New Brockton</v>
      </c>
      <c r="D260" s="2" t="str">
        <f>'Posted Sales Invoice Lines'!E260</f>
        <v>F51137</v>
      </c>
      <c r="E260" s="2" t="str">
        <f>'Posted Sales Invoice Lines'!F260</f>
        <v>Cs. Texas Toast 3/4" 12lvs</v>
      </c>
      <c r="F260" s="3">
        <f>'Posted Sales Invoice Lines'!G260</f>
        <v>46051</v>
      </c>
      <c r="G260" s="9">
        <f>'Posted Sales Invoice Lines'!L260</f>
        <v>364</v>
      </c>
      <c r="H260" s="8">
        <f>'Posted Sales Invoice Lines'!N260</f>
        <v>36</v>
      </c>
      <c r="I260" s="8">
        <f>'Posted Sales Invoice Lines'!O260</f>
        <v>13104</v>
      </c>
    </row>
    <row r="261" spans="1:9" x14ac:dyDescent="0.25">
      <c r="A261" s="2" t="str">
        <f>'Posted Sales Invoice Lines'!A261</f>
        <v>PS-INV183271</v>
      </c>
      <c r="B261" s="2" t="str">
        <f>'Posted Sales Invoice Lines'!B261</f>
        <v>12431</v>
      </c>
      <c r="C261" s="2" t="str">
        <f>'Posted Sales Invoice Lines'!C261</f>
        <v>Ben E Keith - New Brockton</v>
      </c>
      <c r="D261" s="2" t="str">
        <f>'Posted Sales Invoice Lines'!E261</f>
        <v>F53122</v>
      </c>
      <c r="E261" s="2" t="str">
        <f>'Posted Sales Invoice Lines'!F261</f>
        <v>Cs. 8" Italian Hinged 12-6pk</v>
      </c>
      <c r="F261" s="3">
        <f>'Posted Sales Invoice Lines'!G261</f>
        <v>46051</v>
      </c>
      <c r="G261" s="9">
        <f>'Posted Sales Invoice Lines'!L261</f>
        <v>56</v>
      </c>
      <c r="H261" s="8">
        <f>'Posted Sales Invoice Lines'!N261</f>
        <v>30</v>
      </c>
      <c r="I261" s="8">
        <f>'Posted Sales Invoice Lines'!O261</f>
        <v>1680</v>
      </c>
    </row>
    <row r="262" spans="1:9" x14ac:dyDescent="0.25">
      <c r="A262" s="2" t="str">
        <f>'Posted Sales Invoice Lines'!A262</f>
        <v>PS-INV183271</v>
      </c>
      <c r="B262" s="2" t="str">
        <f>'Posted Sales Invoice Lines'!B262</f>
        <v>12431</v>
      </c>
      <c r="C262" s="2" t="str">
        <f>'Posted Sales Invoice Lines'!C262</f>
        <v>Ben E Keith - New Brockton</v>
      </c>
      <c r="D262" s="2" t="str">
        <f>'Posted Sales Invoice Lines'!E262</f>
        <v>F53087</v>
      </c>
      <c r="E262" s="2" t="str">
        <f>'Posted Sales Invoice Lines'!F262</f>
        <v>Cs. 3.5" Challah Bun 8-12 pk</v>
      </c>
      <c r="F262" s="3">
        <f>'Posted Sales Invoice Lines'!G262</f>
        <v>46051</v>
      </c>
      <c r="G262" s="9">
        <f>'Posted Sales Invoice Lines'!L262</f>
        <v>56</v>
      </c>
      <c r="H262" s="8">
        <f>'Posted Sales Invoice Lines'!N262</f>
        <v>40</v>
      </c>
      <c r="I262" s="8">
        <f>'Posted Sales Invoice Lines'!O262</f>
        <v>2240</v>
      </c>
    </row>
    <row r="263" spans="1:9" x14ac:dyDescent="0.25">
      <c r="A263" s="2" t="str">
        <f>'Posted Sales Invoice Lines'!A263</f>
        <v>PS-INV183278</v>
      </c>
      <c r="B263" s="2" t="str">
        <f>'Posted Sales Invoice Lines'!B263</f>
        <v>10540-01</v>
      </c>
      <c r="C263" s="2" t="str">
        <f>'Posted Sales Invoice Lines'!C263</f>
        <v>PFG Johnson City TN</v>
      </c>
      <c r="D263" s="2" t="str">
        <f>'Posted Sales Invoice Lines'!E263</f>
        <v>F56251</v>
      </c>
      <c r="E263" s="2" t="str">
        <f>'Posted Sales Invoice Lines'!F263</f>
        <v>Cs. Challah Sliders Sliced 18-12pks</v>
      </c>
      <c r="F263" s="3">
        <f>'Posted Sales Invoice Lines'!G263</f>
        <v>46051</v>
      </c>
      <c r="G263" s="9">
        <f>'Posted Sales Invoice Lines'!L263</f>
        <v>8</v>
      </c>
      <c r="H263" s="8">
        <f>'Posted Sales Invoice Lines'!N263</f>
        <v>42.11</v>
      </c>
      <c r="I263" s="8">
        <f>'Posted Sales Invoice Lines'!O263</f>
        <v>336.88</v>
      </c>
    </row>
    <row r="264" spans="1:9" x14ac:dyDescent="0.25">
      <c r="A264" s="2" t="str">
        <f>'Posted Sales Invoice Lines'!A264</f>
        <v>PS-INV183278</v>
      </c>
      <c r="B264" s="2" t="str">
        <f>'Posted Sales Invoice Lines'!B264</f>
        <v>10540-01</v>
      </c>
      <c r="C264" s="2" t="str">
        <f>'Posted Sales Invoice Lines'!C264</f>
        <v>PFG Johnson City TN</v>
      </c>
      <c r="D264" s="2" t="str">
        <f>'Posted Sales Invoice Lines'!E264</f>
        <v>F53003</v>
      </c>
      <c r="E264" s="2" t="str">
        <f>'Posted Sales Invoice Lines'!F264</f>
        <v>Cs. 4" Unseeded Challah Bun 8-12pk</v>
      </c>
      <c r="F264" s="3">
        <f>'Posted Sales Invoice Lines'!G264</f>
        <v>46051</v>
      </c>
      <c r="G264" s="9">
        <f>'Posted Sales Invoice Lines'!L264</f>
        <v>84</v>
      </c>
      <c r="H264" s="8">
        <f>'Posted Sales Invoice Lines'!N264</f>
        <v>38.75</v>
      </c>
      <c r="I264" s="8">
        <f>'Posted Sales Invoice Lines'!O264</f>
        <v>3255</v>
      </c>
    </row>
    <row r="265" spans="1:9" x14ac:dyDescent="0.25">
      <c r="A265" s="2" t="str">
        <f>'Posted Sales Invoice Lines'!A265</f>
        <v>PS-INV183278</v>
      </c>
      <c r="B265" s="2" t="str">
        <f>'Posted Sales Invoice Lines'!B265</f>
        <v>10540-01</v>
      </c>
      <c r="C265" s="2" t="str">
        <f>'Posted Sales Invoice Lines'!C265</f>
        <v>PFG Johnson City TN</v>
      </c>
      <c r="D265" s="2" t="str">
        <f>'Posted Sales Invoice Lines'!E265</f>
        <v>F531052</v>
      </c>
      <c r="E265" s="2" t="str">
        <f>'Posted Sales Invoice Lines'!F265</f>
        <v>Cs. 6" Hot Dog Top Sliced 12-12pk</v>
      </c>
      <c r="F265" s="3">
        <f>'Posted Sales Invoice Lines'!G265</f>
        <v>46051</v>
      </c>
      <c r="G265" s="9">
        <f>'Posted Sales Invoice Lines'!L265</f>
        <v>12</v>
      </c>
      <c r="H265" s="8">
        <f>'Posted Sales Invoice Lines'!N265</f>
        <v>40.78</v>
      </c>
      <c r="I265" s="8">
        <f>'Posted Sales Invoice Lines'!O265</f>
        <v>489.36</v>
      </c>
    </row>
    <row r="266" spans="1:9" x14ac:dyDescent="0.25">
      <c r="A266" s="2" t="str">
        <f>'Posted Sales Invoice Lines'!A266</f>
        <v>PS-INV183278</v>
      </c>
      <c r="B266" s="2" t="str">
        <f>'Posted Sales Invoice Lines'!B266</f>
        <v>10540-01</v>
      </c>
      <c r="C266" s="2" t="str">
        <f>'Posted Sales Invoice Lines'!C266</f>
        <v>PFG Johnson City TN</v>
      </c>
      <c r="D266" s="2" t="str">
        <f>'Posted Sales Invoice Lines'!E266</f>
        <v>F51157</v>
      </c>
      <c r="E266" s="2" t="str">
        <f>'Posted Sales Invoice Lines'!F266</f>
        <v>Cs. Challah Hearth 7/8" 8lvs</v>
      </c>
      <c r="F266" s="3">
        <f>'Posted Sales Invoice Lines'!G266</f>
        <v>46051</v>
      </c>
      <c r="G266" s="9">
        <f>'Posted Sales Invoice Lines'!L266</f>
        <v>8</v>
      </c>
      <c r="H266" s="8">
        <f>'Posted Sales Invoice Lines'!N266</f>
        <v>44.65</v>
      </c>
      <c r="I266" s="8">
        <f>'Posted Sales Invoice Lines'!O266</f>
        <v>357.2</v>
      </c>
    </row>
    <row r="267" spans="1:9" x14ac:dyDescent="0.25">
      <c r="A267" s="2" t="str">
        <f>'Posted Sales Invoice Lines'!A267</f>
        <v>PS-INV183278</v>
      </c>
      <c r="B267" s="2" t="str">
        <f>'Posted Sales Invoice Lines'!B267</f>
        <v>10540-01</v>
      </c>
      <c r="C267" s="2" t="str">
        <f>'Posted Sales Invoice Lines'!C267</f>
        <v>PFG Johnson City TN</v>
      </c>
      <c r="D267" s="2" t="str">
        <f>'Posted Sales Invoice Lines'!E267</f>
        <v>F51136</v>
      </c>
      <c r="E267" s="2" t="str">
        <f>'Posted Sales Invoice Lines'!F267</f>
        <v>Cs. Texas Toast 1" 12lvs</v>
      </c>
      <c r="F267" s="3">
        <f>'Posted Sales Invoice Lines'!G267</f>
        <v>46051</v>
      </c>
      <c r="G267" s="9">
        <f>'Posted Sales Invoice Lines'!L267</f>
        <v>20</v>
      </c>
      <c r="H267" s="8">
        <f>'Posted Sales Invoice Lines'!N267</f>
        <v>40.619999999999997</v>
      </c>
      <c r="I267" s="8">
        <f>'Posted Sales Invoice Lines'!O267</f>
        <v>812.4</v>
      </c>
    </row>
    <row r="268" spans="1:9" x14ac:dyDescent="0.25">
      <c r="A268" s="2" t="str">
        <f>'Posted Sales Invoice Lines'!A268</f>
        <v>PS-INV183278</v>
      </c>
      <c r="B268" s="2" t="str">
        <f>'Posted Sales Invoice Lines'!B268</f>
        <v>10540-01</v>
      </c>
      <c r="C268" s="2" t="str">
        <f>'Posted Sales Invoice Lines'!C268</f>
        <v>PFG Johnson City TN</v>
      </c>
      <c r="D268" s="2" t="str">
        <f>'Posted Sales Invoice Lines'!E268</f>
        <v>F51000</v>
      </c>
      <c r="E268" s="2" t="str">
        <f>'Posted Sales Invoice Lines'!F268</f>
        <v>Cs. Rye Bread 8lvs</v>
      </c>
      <c r="F268" s="3">
        <f>'Posted Sales Invoice Lines'!G268</f>
        <v>46051</v>
      </c>
      <c r="G268" s="9">
        <f>'Posted Sales Invoice Lines'!L268</f>
        <v>4</v>
      </c>
      <c r="H268" s="8">
        <f>'Posted Sales Invoice Lines'!N268</f>
        <v>41.6</v>
      </c>
      <c r="I268" s="8">
        <f>'Posted Sales Invoice Lines'!O268</f>
        <v>166.4</v>
      </c>
    </row>
    <row r="269" spans="1:9" x14ac:dyDescent="0.25">
      <c r="A269" s="2" t="str">
        <f>'Posted Sales Invoice Lines'!A269</f>
        <v>PS-INV183278</v>
      </c>
      <c r="B269" s="2" t="str">
        <f>'Posted Sales Invoice Lines'!B269</f>
        <v>10540-01</v>
      </c>
      <c r="C269" s="2" t="str">
        <f>'Posted Sales Invoice Lines'!C269</f>
        <v>PFG Johnson City TN</v>
      </c>
      <c r="D269" s="2" t="str">
        <f>'Posted Sales Invoice Lines'!E269</f>
        <v>F53094</v>
      </c>
      <c r="E269" s="2" t="str">
        <f>'Posted Sales Invoice Lines'!F269</f>
        <v>Cs. 6" Italian 12-6pks</v>
      </c>
      <c r="F269" s="3">
        <f>'Posted Sales Invoice Lines'!G269</f>
        <v>46051</v>
      </c>
      <c r="G269" s="9">
        <f>'Posted Sales Invoice Lines'!L269</f>
        <v>108</v>
      </c>
      <c r="H269" s="8">
        <f>'Posted Sales Invoice Lines'!N269</f>
        <v>35</v>
      </c>
      <c r="I269" s="8">
        <f>'Posted Sales Invoice Lines'!O269</f>
        <v>3780</v>
      </c>
    </row>
    <row r="270" spans="1:9" x14ac:dyDescent="0.25">
      <c r="A270" s="2" t="str">
        <f>'Posted Sales Invoice Lines'!A270</f>
        <v>PS-INV183278</v>
      </c>
      <c r="B270" s="2" t="str">
        <f>'Posted Sales Invoice Lines'!B270</f>
        <v>10540-01</v>
      </c>
      <c r="C270" s="2" t="str">
        <f>'Posted Sales Invoice Lines'!C270</f>
        <v>PFG Johnson City TN</v>
      </c>
      <c r="D270" s="2" t="str">
        <f>'Posted Sales Invoice Lines'!E270</f>
        <v>F51024</v>
      </c>
      <c r="E270" s="2" t="str">
        <f>'Posted Sales Invoice Lines'!F270</f>
        <v>Cs. Marble Rye 5/8" 8lvs</v>
      </c>
      <c r="F270" s="3">
        <f>'Posted Sales Invoice Lines'!G270</f>
        <v>46051</v>
      </c>
      <c r="G270" s="9">
        <f>'Posted Sales Invoice Lines'!L270</f>
        <v>12</v>
      </c>
      <c r="H270" s="8">
        <f>'Posted Sales Invoice Lines'!N270</f>
        <v>53</v>
      </c>
      <c r="I270" s="8">
        <f>'Posted Sales Invoice Lines'!O270</f>
        <v>636</v>
      </c>
    </row>
    <row r="271" spans="1:9" x14ac:dyDescent="0.25">
      <c r="A271" s="2" t="str">
        <f>'Posted Sales Invoice Lines'!A271</f>
        <v>PS-INV183278</v>
      </c>
      <c r="B271" s="2" t="str">
        <f>'Posted Sales Invoice Lines'!B271</f>
        <v>10540-01</v>
      </c>
      <c r="C271" s="2" t="str">
        <f>'Posted Sales Invoice Lines'!C271</f>
        <v>PFG Johnson City TN</v>
      </c>
      <c r="D271" s="2" t="str">
        <f>'Posted Sales Invoice Lines'!E271</f>
        <v>F51034</v>
      </c>
      <c r="E271" s="2" t="str">
        <f>'Posted Sales Invoice Lines'!F271</f>
        <v>Cs. Sour Dough Hearth 5/8" 8lvs</v>
      </c>
      <c r="F271" s="3">
        <f>'Posted Sales Invoice Lines'!G271</f>
        <v>46051</v>
      </c>
      <c r="G271" s="9">
        <f>'Posted Sales Invoice Lines'!L271</f>
        <v>32</v>
      </c>
      <c r="H271" s="8">
        <f>'Posted Sales Invoice Lines'!N271</f>
        <v>43.82</v>
      </c>
      <c r="I271" s="8">
        <f>'Posted Sales Invoice Lines'!O271</f>
        <v>1402.24</v>
      </c>
    </row>
    <row r="272" spans="1:9" x14ac:dyDescent="0.25">
      <c r="A272" s="2" t="str">
        <f>'Posted Sales Invoice Lines'!A272</f>
        <v>PS-INV183278</v>
      </c>
      <c r="B272" s="2" t="str">
        <f>'Posted Sales Invoice Lines'!B272</f>
        <v>10540-01</v>
      </c>
      <c r="C272" s="2" t="str">
        <f>'Posted Sales Invoice Lines'!C272</f>
        <v>PFG Johnson City TN</v>
      </c>
      <c r="D272" s="2" t="str">
        <f>'Posted Sales Invoice Lines'!E272</f>
        <v>F51383</v>
      </c>
      <c r="E272" s="2" t="str">
        <f>'Posted Sales Invoice Lines'!F272</f>
        <v>Cs. Challah Pullman 3/4" 10lvs</v>
      </c>
      <c r="F272" s="3">
        <f>'Posted Sales Invoice Lines'!G272</f>
        <v>46051</v>
      </c>
      <c r="G272" s="9">
        <f>'Posted Sales Invoice Lines'!L272</f>
        <v>20</v>
      </c>
      <c r="H272" s="8">
        <f>'Posted Sales Invoice Lines'!N272</f>
        <v>55.13</v>
      </c>
      <c r="I272" s="8">
        <f>'Posted Sales Invoice Lines'!O272</f>
        <v>1102.5999999999999</v>
      </c>
    </row>
    <row r="273" spans="1:9" x14ac:dyDescent="0.25">
      <c r="A273" s="2" t="str">
        <f>'Posted Sales Invoice Lines'!A273</f>
        <v>PS-INV183989</v>
      </c>
      <c r="B273" s="2" t="str">
        <f>'Posted Sales Invoice Lines'!B273</f>
        <v>10155-45</v>
      </c>
      <c r="C273" s="2" t="str">
        <f>'Posted Sales Invoice Lines'!C273</f>
        <v>Hammer and Spoon MTWTHF</v>
      </c>
      <c r="D273" s="2" t="str">
        <f>'Posted Sales Invoice Lines'!E273</f>
        <v>F56251</v>
      </c>
      <c r="E273" s="2" t="str">
        <f>'Posted Sales Invoice Lines'!F273</f>
        <v>Cs. Challah Sliders Sliced 18-12pks</v>
      </c>
      <c r="F273" s="3">
        <f>'Posted Sales Invoice Lines'!G273</f>
        <v>46042</v>
      </c>
      <c r="G273" s="9">
        <f>'Posted Sales Invoice Lines'!L273</f>
        <v>0</v>
      </c>
      <c r="H273" s="8">
        <f>'Posted Sales Invoice Lines'!N273</f>
        <v>0</v>
      </c>
      <c r="I273" s="8">
        <f>'Posted Sales Invoice Lines'!O273</f>
        <v>0</v>
      </c>
    </row>
    <row r="274" spans="1:9" x14ac:dyDescent="0.25">
      <c r="A274" s="2" t="str">
        <f>'Posted Sales Invoice Lines'!A274</f>
        <v>PS-INV183989</v>
      </c>
      <c r="B274" s="2" t="str">
        <f>'Posted Sales Invoice Lines'!B274</f>
        <v>10155-45</v>
      </c>
      <c r="C274" s="2" t="str">
        <f>'Posted Sales Invoice Lines'!C274</f>
        <v>Hammer and Spoon MTWTHF</v>
      </c>
      <c r="D274" s="2" t="str">
        <f>'Posted Sales Invoice Lines'!E274</f>
        <v>F56560</v>
      </c>
      <c r="E274" s="2" t="str">
        <f>'Posted Sales Invoice Lines'!F274</f>
        <v>Gluten Free 3.5" Hamburger 36ct</v>
      </c>
      <c r="F274" s="3">
        <f>'Posted Sales Invoice Lines'!G274</f>
        <v>46042</v>
      </c>
      <c r="G274" s="9">
        <f>'Posted Sales Invoice Lines'!L274</f>
        <v>0</v>
      </c>
      <c r="H274" s="8">
        <f>'Posted Sales Invoice Lines'!N274</f>
        <v>0</v>
      </c>
      <c r="I274" s="8">
        <f>'Posted Sales Invoice Lines'!O274</f>
        <v>0</v>
      </c>
    </row>
    <row r="275" spans="1:9" x14ac:dyDescent="0.25">
      <c r="A275" s="2" t="str">
        <f>'Posted Sales Invoice Lines'!A275</f>
        <v>PS-INV183989</v>
      </c>
      <c r="B275" s="2" t="str">
        <f>'Posted Sales Invoice Lines'!B275</f>
        <v>10155-45</v>
      </c>
      <c r="C275" s="2" t="str">
        <f>'Posted Sales Invoice Lines'!C275</f>
        <v>Hammer and Spoon MTWTHF</v>
      </c>
      <c r="D275" s="2" t="str">
        <f>'Posted Sales Invoice Lines'!E275</f>
        <v>F56255</v>
      </c>
      <c r="E275" s="2" t="str">
        <f>'Posted Sales Invoice Lines'!F275</f>
        <v>Cs. English Muffin 30-6pk</v>
      </c>
      <c r="F275" s="3">
        <f>'Posted Sales Invoice Lines'!G275</f>
        <v>46042</v>
      </c>
      <c r="G275" s="9">
        <f>'Posted Sales Invoice Lines'!L275</f>
        <v>0</v>
      </c>
      <c r="H275" s="8">
        <f>'Posted Sales Invoice Lines'!N275</f>
        <v>0</v>
      </c>
      <c r="I275" s="8">
        <f>'Posted Sales Invoice Lines'!O275</f>
        <v>0</v>
      </c>
    </row>
    <row r="276" spans="1:9" x14ac:dyDescent="0.25">
      <c r="A276" s="2" t="str">
        <f>'Posted Sales Invoice Lines'!A276</f>
        <v>PS-INV184119</v>
      </c>
      <c r="B276" s="2" t="str">
        <f>'Posted Sales Invoice Lines'!B276</f>
        <v>10540-03</v>
      </c>
      <c r="C276" s="2" t="str">
        <f>'Posted Sales Invoice Lines'!C276</f>
        <v>PFG Louisville TN</v>
      </c>
      <c r="D276" s="2" t="str">
        <f>'Posted Sales Invoice Lines'!E276</f>
        <v>F530501</v>
      </c>
      <c r="E276" s="2" t="str">
        <f>'Posted Sales Invoice Lines'!F276</f>
        <v>Cs. 4.5" Challah Kaiser 6-12pk</v>
      </c>
      <c r="F276" s="3">
        <f>'Posted Sales Invoice Lines'!G276</f>
        <v>46055</v>
      </c>
      <c r="G276" s="9">
        <f>'Posted Sales Invoice Lines'!L276</f>
        <v>56</v>
      </c>
      <c r="H276" s="8">
        <f>'Posted Sales Invoice Lines'!N276</f>
        <v>38.299999999999997</v>
      </c>
      <c r="I276" s="8">
        <f>'Posted Sales Invoice Lines'!O276</f>
        <v>2144.8000000000002</v>
      </c>
    </row>
    <row r="277" spans="1:9" x14ac:dyDescent="0.25">
      <c r="A277" s="2" t="str">
        <f>'Posted Sales Invoice Lines'!A277</f>
        <v>PS-INV184119</v>
      </c>
      <c r="B277" s="2" t="str">
        <f>'Posted Sales Invoice Lines'!B277</f>
        <v>10540-03</v>
      </c>
      <c r="C277" s="2" t="str">
        <f>'Posted Sales Invoice Lines'!C277</f>
        <v>PFG Louisville TN</v>
      </c>
      <c r="D277" s="2" t="str">
        <f>'Posted Sales Invoice Lines'!E277</f>
        <v>F51137</v>
      </c>
      <c r="E277" s="2" t="str">
        <f>'Posted Sales Invoice Lines'!F277</f>
        <v>Cs. Texas Toast 3/4" 12lvs</v>
      </c>
      <c r="F277" s="3">
        <f>'Posted Sales Invoice Lines'!G277</f>
        <v>46055</v>
      </c>
      <c r="G277" s="9">
        <f>'Posted Sales Invoice Lines'!L277</f>
        <v>0</v>
      </c>
      <c r="H277" s="8">
        <f>'Posted Sales Invoice Lines'!N277</f>
        <v>40.619999999999997</v>
      </c>
      <c r="I277" s="8">
        <f>'Posted Sales Invoice Lines'!O277</f>
        <v>0</v>
      </c>
    </row>
    <row r="278" spans="1:9" x14ac:dyDescent="0.25">
      <c r="A278" s="2" t="str">
        <f>'Posted Sales Invoice Lines'!A278</f>
        <v>PS-INV184119</v>
      </c>
      <c r="B278" s="2" t="str">
        <f>'Posted Sales Invoice Lines'!B278</f>
        <v>10540-03</v>
      </c>
      <c r="C278" s="2" t="str">
        <f>'Posted Sales Invoice Lines'!C278</f>
        <v>PFG Louisville TN</v>
      </c>
      <c r="D278" s="2" t="str">
        <f>'Posted Sales Invoice Lines'!E278</f>
        <v>F53091</v>
      </c>
      <c r="E278" s="2" t="str">
        <f>'Posted Sales Invoice Lines'!F278</f>
        <v>Cs. 6" Hoagie Slab Cut</v>
      </c>
      <c r="F278" s="3">
        <f>'Posted Sales Invoice Lines'!G278</f>
        <v>46055</v>
      </c>
      <c r="G278" s="9">
        <f>'Posted Sales Invoice Lines'!L278</f>
        <v>28</v>
      </c>
      <c r="H278" s="8">
        <f>'Posted Sales Invoice Lines'!N278</f>
        <v>35</v>
      </c>
      <c r="I278" s="8">
        <f>'Posted Sales Invoice Lines'!O278</f>
        <v>980</v>
      </c>
    </row>
    <row r="279" spans="1:9" x14ac:dyDescent="0.25">
      <c r="A279" s="2" t="str">
        <f>'Posted Sales Invoice Lines'!A279</f>
        <v>PS-INV184119</v>
      </c>
      <c r="B279" s="2" t="str">
        <f>'Posted Sales Invoice Lines'!B279</f>
        <v>10540-03</v>
      </c>
      <c r="C279" s="2" t="str">
        <f>'Posted Sales Invoice Lines'!C279</f>
        <v>PFG Louisville TN</v>
      </c>
      <c r="D279" s="2" t="str">
        <f>'Posted Sales Invoice Lines'!E279</f>
        <v>F530421</v>
      </c>
      <c r="E279" s="2" t="str">
        <f>'Posted Sales Invoice Lines'!F279</f>
        <v>Cs. 4.5" Challah Buns 6-12pk.</v>
      </c>
      <c r="F279" s="3">
        <f>'Posted Sales Invoice Lines'!G279</f>
        <v>46055</v>
      </c>
      <c r="G279" s="9">
        <f>'Posted Sales Invoice Lines'!L279</f>
        <v>0</v>
      </c>
      <c r="H279" s="8">
        <f>'Posted Sales Invoice Lines'!N279</f>
        <v>38.299999999999997</v>
      </c>
      <c r="I279" s="8">
        <f>'Posted Sales Invoice Lines'!O279</f>
        <v>0</v>
      </c>
    </row>
    <row r="280" spans="1:9" x14ac:dyDescent="0.25">
      <c r="A280" s="2" t="str">
        <f>'Posted Sales Invoice Lines'!A280</f>
        <v>PS-INV184119</v>
      </c>
      <c r="B280" s="2" t="str">
        <f>'Posted Sales Invoice Lines'!B280</f>
        <v>10540-03</v>
      </c>
      <c r="C280" s="2" t="str">
        <f>'Posted Sales Invoice Lines'!C280</f>
        <v>PFG Louisville TN</v>
      </c>
      <c r="D280" s="2" t="str">
        <f>'Posted Sales Invoice Lines'!E280</f>
        <v>F51080</v>
      </c>
      <c r="E280" s="2" t="str">
        <f>'Posted Sales Invoice Lines'!F280</f>
        <v>Cs. Wheatberry Hearth 1/2" 8lvs</v>
      </c>
      <c r="F280" s="3">
        <f>'Posted Sales Invoice Lines'!G280</f>
        <v>46055</v>
      </c>
      <c r="G280" s="9">
        <f>'Posted Sales Invoice Lines'!L280</f>
        <v>0</v>
      </c>
      <c r="H280" s="8">
        <f>'Posted Sales Invoice Lines'!N280</f>
        <v>49</v>
      </c>
      <c r="I280" s="8">
        <f>'Posted Sales Invoice Lines'!O280</f>
        <v>0</v>
      </c>
    </row>
    <row r="281" spans="1:9" x14ac:dyDescent="0.25">
      <c r="A281" s="2" t="str">
        <f>'Posted Sales Invoice Lines'!A281</f>
        <v>PS-INV184119</v>
      </c>
      <c r="B281" s="2" t="str">
        <f>'Posted Sales Invoice Lines'!B281</f>
        <v>10540-03</v>
      </c>
      <c r="C281" s="2" t="str">
        <f>'Posted Sales Invoice Lines'!C281</f>
        <v>PFG Louisville TN</v>
      </c>
      <c r="D281" s="2" t="str">
        <f>'Posted Sales Invoice Lines'!E281</f>
        <v>F53094</v>
      </c>
      <c r="E281" s="2" t="str">
        <f>'Posted Sales Invoice Lines'!F281</f>
        <v>Cs. 6" Italian 12-6pks</v>
      </c>
      <c r="F281" s="3">
        <f>'Posted Sales Invoice Lines'!G281</f>
        <v>46055</v>
      </c>
      <c r="G281" s="9">
        <f>'Posted Sales Invoice Lines'!L281</f>
        <v>84</v>
      </c>
      <c r="H281" s="8">
        <f>'Posted Sales Invoice Lines'!N281</f>
        <v>35</v>
      </c>
      <c r="I281" s="8">
        <f>'Posted Sales Invoice Lines'!O281</f>
        <v>2940</v>
      </c>
    </row>
    <row r="282" spans="1:9" x14ac:dyDescent="0.25">
      <c r="A282" s="2" t="str">
        <f>'Posted Sales Invoice Lines'!A282</f>
        <v>PS-INV184119</v>
      </c>
      <c r="B282" s="2" t="str">
        <f>'Posted Sales Invoice Lines'!B282</f>
        <v>10540-03</v>
      </c>
      <c r="C282" s="2" t="str">
        <f>'Posted Sales Invoice Lines'!C282</f>
        <v>PFG Louisville TN</v>
      </c>
      <c r="D282" s="2" t="str">
        <f>'Posted Sales Invoice Lines'!E282</f>
        <v>F51030</v>
      </c>
      <c r="E282" s="2" t="str">
        <f>'Posted Sales Invoice Lines'!F282</f>
        <v>Cs. Sour Dough Hearth 8lvs</v>
      </c>
      <c r="F282" s="3">
        <f>'Posted Sales Invoice Lines'!G282</f>
        <v>46055</v>
      </c>
      <c r="G282" s="9">
        <f>'Posted Sales Invoice Lines'!L282</f>
        <v>28</v>
      </c>
      <c r="H282" s="8">
        <f>'Posted Sales Invoice Lines'!N282</f>
        <v>43.82</v>
      </c>
      <c r="I282" s="8">
        <f>'Posted Sales Invoice Lines'!O282</f>
        <v>1226.96</v>
      </c>
    </row>
    <row r="283" spans="1:9" x14ac:dyDescent="0.25">
      <c r="A283" s="2" t="str">
        <f>'Posted Sales Invoice Lines'!A283</f>
        <v>PS-INV184119</v>
      </c>
      <c r="B283" s="2" t="str">
        <f>'Posted Sales Invoice Lines'!B283</f>
        <v>10540-03</v>
      </c>
      <c r="C283" s="2" t="str">
        <f>'Posted Sales Invoice Lines'!C283</f>
        <v>PFG Louisville TN</v>
      </c>
      <c r="D283" s="2" t="str">
        <f>'Posted Sales Invoice Lines'!E283</f>
        <v>F53072</v>
      </c>
      <c r="E283" s="2" t="str">
        <f>'Posted Sales Invoice Lines'!F283</f>
        <v>Cs. 5" Challah Bun 8-8pk</v>
      </c>
      <c r="F283" s="3">
        <f>'Posted Sales Invoice Lines'!G283</f>
        <v>46055</v>
      </c>
      <c r="G283" s="9">
        <f>'Posted Sales Invoice Lines'!L283</f>
        <v>8</v>
      </c>
      <c r="H283" s="8">
        <f>'Posted Sales Invoice Lines'!N283</f>
        <v>38.07</v>
      </c>
      <c r="I283" s="8">
        <f>'Posted Sales Invoice Lines'!O283</f>
        <v>304.56</v>
      </c>
    </row>
    <row r="284" spans="1:9" x14ac:dyDescent="0.25">
      <c r="A284" s="2" t="str">
        <f>'Posted Sales Invoice Lines'!A284</f>
        <v>PS-INV184119</v>
      </c>
      <c r="B284" s="2" t="str">
        <f>'Posted Sales Invoice Lines'!B284</f>
        <v>10540-03</v>
      </c>
      <c r="C284" s="2" t="str">
        <f>'Posted Sales Invoice Lines'!C284</f>
        <v>PFG Louisville TN</v>
      </c>
      <c r="D284" s="2" t="str">
        <f>'Posted Sales Invoice Lines'!E284</f>
        <v>F53100</v>
      </c>
      <c r="E284" s="2" t="str">
        <f>'Posted Sales Invoice Lines'!F284</f>
        <v>Cs. Hot Dog pl/sl 12-8pk</v>
      </c>
      <c r="F284" s="3">
        <f>'Posted Sales Invoice Lines'!G284</f>
        <v>46055</v>
      </c>
      <c r="G284" s="9">
        <f>'Posted Sales Invoice Lines'!L284</f>
        <v>0</v>
      </c>
      <c r="H284" s="8">
        <f>'Posted Sales Invoice Lines'!N284</f>
        <v>36.18</v>
      </c>
      <c r="I284" s="8">
        <f>'Posted Sales Invoice Lines'!O284</f>
        <v>0</v>
      </c>
    </row>
    <row r="285" spans="1:9" x14ac:dyDescent="0.25">
      <c r="A285" s="2" t="str">
        <f>'Posted Sales Invoice Lines'!A285</f>
        <v>PS-INV184119</v>
      </c>
      <c r="B285" s="2" t="str">
        <f>'Posted Sales Invoice Lines'!B285</f>
        <v>10540-03</v>
      </c>
      <c r="C285" s="2" t="str">
        <f>'Posted Sales Invoice Lines'!C285</f>
        <v>PFG Louisville TN</v>
      </c>
      <c r="D285" s="2" t="str">
        <f>'Posted Sales Invoice Lines'!E285</f>
        <v>F53106</v>
      </c>
      <c r="E285" s="2" t="str">
        <f>'Posted Sales Invoice Lines'!F285</f>
        <v>Cs. Large Hot Dog 12-6pk</v>
      </c>
      <c r="F285" s="3">
        <f>'Posted Sales Invoice Lines'!G285</f>
        <v>46055</v>
      </c>
      <c r="G285" s="9">
        <f>'Posted Sales Invoice Lines'!L285</f>
        <v>4</v>
      </c>
      <c r="H285" s="8">
        <f>'Posted Sales Invoice Lines'!N285</f>
        <v>36.07</v>
      </c>
      <c r="I285" s="8">
        <f>'Posted Sales Invoice Lines'!O285</f>
        <v>144.28</v>
      </c>
    </row>
    <row r="286" spans="1:9" x14ac:dyDescent="0.25">
      <c r="A286" s="2" t="str">
        <f>'Posted Sales Invoice Lines'!A286</f>
        <v>PS-INV184119</v>
      </c>
      <c r="B286" s="2" t="str">
        <f>'Posted Sales Invoice Lines'!B286</f>
        <v>10540-03</v>
      </c>
      <c r="C286" s="2" t="str">
        <f>'Posted Sales Invoice Lines'!C286</f>
        <v>PFG Louisville TN</v>
      </c>
      <c r="D286" s="2" t="str">
        <f>'Posted Sales Invoice Lines'!E286</f>
        <v>F51034</v>
      </c>
      <c r="E286" s="2" t="str">
        <f>'Posted Sales Invoice Lines'!F286</f>
        <v>Cs. Sour Dough Hearth 5/8" 8lvs</v>
      </c>
      <c r="F286" s="3">
        <f>'Posted Sales Invoice Lines'!G286</f>
        <v>46055</v>
      </c>
      <c r="G286" s="9">
        <f>'Posted Sales Invoice Lines'!L286</f>
        <v>28</v>
      </c>
      <c r="H286" s="8">
        <f>'Posted Sales Invoice Lines'!N286</f>
        <v>43.82</v>
      </c>
      <c r="I286" s="8">
        <f>'Posted Sales Invoice Lines'!O286</f>
        <v>1226.96</v>
      </c>
    </row>
    <row r="287" spans="1:9" x14ac:dyDescent="0.25">
      <c r="A287" s="2" t="str">
        <f>'Posted Sales Invoice Lines'!A287</f>
        <v>PS-INV184128</v>
      </c>
      <c r="B287" s="2" t="str">
        <f>'Posted Sales Invoice Lines'!B287</f>
        <v>11394</v>
      </c>
      <c r="C287" s="2" t="str">
        <f>'Posted Sales Invoice Lines'!C287</f>
        <v>La Cosecha Food Service</v>
      </c>
      <c r="D287" s="2" t="str">
        <f>'Posted Sales Invoice Lines'!E287</f>
        <v>F53003</v>
      </c>
      <c r="E287" s="2" t="str">
        <f>'Posted Sales Invoice Lines'!F287</f>
        <v>Cs. 4" Unseeded Challah Bun 8-12pk</v>
      </c>
      <c r="F287" s="3">
        <f>'Posted Sales Invoice Lines'!G287</f>
        <v>46057</v>
      </c>
      <c r="G287" s="9">
        <f>'Posted Sales Invoice Lines'!L287</f>
        <v>30</v>
      </c>
      <c r="H287" s="8">
        <f>'Posted Sales Invoice Lines'!N287</f>
        <v>30.32</v>
      </c>
      <c r="I287" s="8">
        <f>'Posted Sales Invoice Lines'!O287</f>
        <v>909.6</v>
      </c>
    </row>
    <row r="288" spans="1:9" x14ac:dyDescent="0.25">
      <c r="A288" s="2" t="str">
        <f>'Posted Sales Invoice Lines'!A288</f>
        <v>PS-INV184128</v>
      </c>
      <c r="B288" s="2" t="str">
        <f>'Posted Sales Invoice Lines'!B288</f>
        <v>11394</v>
      </c>
      <c r="C288" s="2" t="str">
        <f>'Posted Sales Invoice Lines'!C288</f>
        <v>La Cosecha Food Service</v>
      </c>
      <c r="D288" s="2" t="str">
        <f>'Posted Sales Invoice Lines'!E288</f>
        <v>F530401</v>
      </c>
      <c r="E288" s="2" t="str">
        <f>'Posted Sales Invoice Lines'!F288</f>
        <v>Cs. 4.5" Sesame 6-12pk</v>
      </c>
      <c r="F288" s="3">
        <f>'Posted Sales Invoice Lines'!G288</f>
        <v>46057</v>
      </c>
      <c r="G288" s="9">
        <f>'Posted Sales Invoice Lines'!L288</f>
        <v>30</v>
      </c>
      <c r="H288" s="8">
        <f>'Posted Sales Invoice Lines'!N288</f>
        <v>34.18</v>
      </c>
      <c r="I288" s="8">
        <f>'Posted Sales Invoice Lines'!O288</f>
        <v>1025.4000000000001</v>
      </c>
    </row>
    <row r="289" spans="1:9" x14ac:dyDescent="0.25">
      <c r="A289" s="2" t="str">
        <f>'Posted Sales Invoice Lines'!A289</f>
        <v>PS-INV184128</v>
      </c>
      <c r="B289" s="2" t="str">
        <f>'Posted Sales Invoice Lines'!B289</f>
        <v>11394</v>
      </c>
      <c r="C289" s="2" t="str">
        <f>'Posted Sales Invoice Lines'!C289</f>
        <v>La Cosecha Food Service</v>
      </c>
      <c r="D289" s="2" t="str">
        <f>'Posted Sales Invoice Lines'!E289</f>
        <v>F53127</v>
      </c>
      <c r="E289" s="2" t="str">
        <f>'Posted Sales Invoice Lines'!F289</f>
        <v>Cs. 8" Philly 10-6pks</v>
      </c>
      <c r="F289" s="3">
        <f>'Posted Sales Invoice Lines'!G289</f>
        <v>46057</v>
      </c>
      <c r="G289" s="9">
        <f>'Posted Sales Invoice Lines'!L289</f>
        <v>20</v>
      </c>
      <c r="H289" s="8">
        <f>'Posted Sales Invoice Lines'!N289</f>
        <v>53.2</v>
      </c>
      <c r="I289" s="8">
        <f>'Posted Sales Invoice Lines'!O289</f>
        <v>1064</v>
      </c>
    </row>
    <row r="290" spans="1:9" x14ac:dyDescent="0.25">
      <c r="A290" s="2" t="str">
        <f>'Posted Sales Invoice Lines'!A290</f>
        <v>PS-INV184131</v>
      </c>
      <c r="B290" s="2" t="str">
        <f>'Posted Sales Invoice Lines'!B290</f>
        <v>10805</v>
      </c>
      <c r="C290" s="2" t="str">
        <f>'Posted Sales Invoice Lines'!C290</f>
        <v>Sysco Jacksonville</v>
      </c>
      <c r="D290" s="2" t="str">
        <f>'Posted Sales Invoice Lines'!E290</f>
        <v>F53100</v>
      </c>
      <c r="E290" s="2" t="str">
        <f>'Posted Sales Invoice Lines'!F290</f>
        <v>Cs. Hot Dog pl/sl 12-8pk</v>
      </c>
      <c r="F290" s="3">
        <f>'Posted Sales Invoice Lines'!G290</f>
        <v>46058</v>
      </c>
      <c r="G290" s="9">
        <f>'Posted Sales Invoice Lines'!L290</f>
        <v>8</v>
      </c>
      <c r="H290" s="8">
        <f>'Posted Sales Invoice Lines'!N290</f>
        <v>36.6</v>
      </c>
      <c r="I290" s="8">
        <f>'Posted Sales Invoice Lines'!O290</f>
        <v>292.8</v>
      </c>
    </row>
    <row r="291" spans="1:9" x14ac:dyDescent="0.25">
      <c r="A291" s="2" t="str">
        <f>'Posted Sales Invoice Lines'!A291</f>
        <v>PS-INV184131</v>
      </c>
      <c r="B291" s="2" t="str">
        <f>'Posted Sales Invoice Lines'!B291</f>
        <v>10805</v>
      </c>
      <c r="C291" s="2" t="str">
        <f>'Posted Sales Invoice Lines'!C291</f>
        <v>Sysco Jacksonville</v>
      </c>
      <c r="D291" s="2" t="str">
        <f>'Posted Sales Invoice Lines'!E291</f>
        <v>F53001</v>
      </c>
      <c r="E291" s="2" t="str">
        <f>'Posted Sales Invoice Lines'!F291</f>
        <v>Cs. 4" Brioche Bun 8-12pk</v>
      </c>
      <c r="F291" s="3">
        <f>'Posted Sales Invoice Lines'!G291</f>
        <v>46058</v>
      </c>
      <c r="G291" s="9">
        <f>'Posted Sales Invoice Lines'!L291</f>
        <v>84</v>
      </c>
      <c r="H291" s="8">
        <f>'Posted Sales Invoice Lines'!N291</f>
        <v>50.6</v>
      </c>
      <c r="I291" s="8">
        <f>'Posted Sales Invoice Lines'!O291</f>
        <v>4250.3999999999996</v>
      </c>
    </row>
    <row r="292" spans="1:9" x14ac:dyDescent="0.25">
      <c r="A292" s="2" t="str">
        <f>'Posted Sales Invoice Lines'!A292</f>
        <v>PS-INV184131</v>
      </c>
      <c r="B292" s="2" t="str">
        <f>'Posted Sales Invoice Lines'!B292</f>
        <v>10805</v>
      </c>
      <c r="C292" s="2" t="str">
        <f>'Posted Sales Invoice Lines'!C292</f>
        <v>Sysco Jacksonville</v>
      </c>
      <c r="D292" s="2" t="str">
        <f>'Posted Sales Invoice Lines'!E292</f>
        <v>F53003</v>
      </c>
      <c r="E292" s="2" t="str">
        <f>'Posted Sales Invoice Lines'!F292</f>
        <v>Cs. 4" Unseeded Challah Bun 8-12pk</v>
      </c>
      <c r="F292" s="3">
        <f>'Posted Sales Invoice Lines'!G292</f>
        <v>46058</v>
      </c>
      <c r="G292" s="9">
        <f>'Posted Sales Invoice Lines'!L292</f>
        <v>252</v>
      </c>
      <c r="H292" s="8">
        <f>'Posted Sales Invoice Lines'!N292</f>
        <v>40.799999999999997</v>
      </c>
      <c r="I292" s="8">
        <f>'Posted Sales Invoice Lines'!O292</f>
        <v>10281.6</v>
      </c>
    </row>
    <row r="293" spans="1:9" x14ac:dyDescent="0.25">
      <c r="A293" s="2" t="str">
        <f>'Posted Sales Invoice Lines'!A293</f>
        <v>PS-INV184131</v>
      </c>
      <c r="B293" s="2" t="str">
        <f>'Posted Sales Invoice Lines'!B293</f>
        <v>10805</v>
      </c>
      <c r="C293" s="2" t="str">
        <f>'Posted Sales Invoice Lines'!C293</f>
        <v>Sysco Jacksonville</v>
      </c>
      <c r="D293" s="2" t="str">
        <f>'Posted Sales Invoice Lines'!E293</f>
        <v>F51137</v>
      </c>
      <c r="E293" s="2" t="str">
        <f>'Posted Sales Invoice Lines'!F293</f>
        <v>Cs. Texas Toast 3/4" 12lvs</v>
      </c>
      <c r="F293" s="3">
        <f>'Posted Sales Invoice Lines'!G293</f>
        <v>46058</v>
      </c>
      <c r="G293" s="9">
        <f>'Posted Sales Invoice Lines'!L293</f>
        <v>112</v>
      </c>
      <c r="H293" s="8">
        <f>'Posted Sales Invoice Lines'!N293</f>
        <v>39.9</v>
      </c>
      <c r="I293" s="8">
        <f>'Posted Sales Invoice Lines'!O293</f>
        <v>4468.8</v>
      </c>
    </row>
    <row r="294" spans="1:9" x14ac:dyDescent="0.25">
      <c r="A294" s="2" t="str">
        <f>'Posted Sales Invoice Lines'!A294</f>
        <v>PS-INV184132</v>
      </c>
      <c r="B294" s="2" t="str">
        <f>'Posted Sales Invoice Lines'!B294</f>
        <v>10511</v>
      </c>
      <c r="C294" s="2" t="str">
        <f>'Posted Sales Invoice Lines'!C294</f>
        <v>Sysco Nashville, LLC</v>
      </c>
      <c r="D294" s="2" t="str">
        <f>'Posted Sales Invoice Lines'!E294</f>
        <v>F53072</v>
      </c>
      <c r="E294" s="2" t="str">
        <f>'Posted Sales Invoice Lines'!F294</f>
        <v>Cs. 5" Challah Bun 8-8pk</v>
      </c>
      <c r="F294" s="3">
        <f>'Posted Sales Invoice Lines'!G294</f>
        <v>46058</v>
      </c>
      <c r="G294" s="9">
        <f>'Posted Sales Invoice Lines'!L294</f>
        <v>16</v>
      </c>
      <c r="H294" s="8">
        <f>'Posted Sales Invoice Lines'!N294</f>
        <v>37.049999999999997</v>
      </c>
      <c r="I294" s="8">
        <f>'Posted Sales Invoice Lines'!O294</f>
        <v>592.79999999999995</v>
      </c>
    </row>
    <row r="295" spans="1:9" x14ac:dyDescent="0.25">
      <c r="A295" s="2" t="str">
        <f>'Posted Sales Invoice Lines'!A295</f>
        <v>PS-INV184132</v>
      </c>
      <c r="B295" s="2" t="str">
        <f>'Posted Sales Invoice Lines'!B295</f>
        <v>10511</v>
      </c>
      <c r="C295" s="2" t="str">
        <f>'Posted Sales Invoice Lines'!C295</f>
        <v>Sysco Nashville, LLC</v>
      </c>
      <c r="D295" s="2" t="str">
        <f>'Posted Sales Invoice Lines'!E295</f>
        <v>F51200</v>
      </c>
      <c r="E295" s="2" t="str">
        <f>'Posted Sales Invoice Lines'!F295</f>
        <v>Cs. Jalapeno Corn Hearth 5/8" 8lvs</v>
      </c>
      <c r="F295" s="3">
        <f>'Posted Sales Invoice Lines'!G295</f>
        <v>46058</v>
      </c>
      <c r="G295" s="9">
        <f>'Posted Sales Invoice Lines'!L295</f>
        <v>64</v>
      </c>
      <c r="H295" s="8">
        <f>'Posted Sales Invoice Lines'!N295</f>
        <v>60.07</v>
      </c>
      <c r="I295" s="8">
        <f>'Posted Sales Invoice Lines'!O295</f>
        <v>3844.48</v>
      </c>
    </row>
    <row r="296" spans="1:9" x14ac:dyDescent="0.25">
      <c r="A296" s="2" t="str">
        <f>'Posted Sales Invoice Lines'!A296</f>
        <v>PS-INV184132</v>
      </c>
      <c r="B296" s="2" t="str">
        <f>'Posted Sales Invoice Lines'!B296</f>
        <v>10511</v>
      </c>
      <c r="C296" s="2" t="str">
        <f>'Posted Sales Invoice Lines'!C296</f>
        <v>Sysco Nashville, LLC</v>
      </c>
      <c r="D296" s="2" t="str">
        <f>'Posted Sales Invoice Lines'!E296</f>
        <v>F51414</v>
      </c>
      <c r="E296" s="2" t="str">
        <f>'Posted Sales Invoice Lines'!F296</f>
        <v>Cs. Cranberry 9 Grain Hearth 5/8" 8lvs</v>
      </c>
      <c r="F296" s="3">
        <f>'Posted Sales Invoice Lines'!G296</f>
        <v>46058</v>
      </c>
      <c r="G296" s="9">
        <f>'Posted Sales Invoice Lines'!L296</f>
        <v>56</v>
      </c>
      <c r="H296" s="8">
        <f>'Posted Sales Invoice Lines'!N296</f>
        <v>64</v>
      </c>
      <c r="I296" s="8">
        <f>'Posted Sales Invoice Lines'!O296</f>
        <v>3584</v>
      </c>
    </row>
    <row r="297" spans="1:9" x14ac:dyDescent="0.25">
      <c r="A297" s="2" t="str">
        <f>'Posted Sales Invoice Lines'!A297</f>
        <v>PS-INV184132</v>
      </c>
      <c r="B297" s="2" t="str">
        <f>'Posted Sales Invoice Lines'!B297</f>
        <v>10511</v>
      </c>
      <c r="C297" s="2" t="str">
        <f>'Posted Sales Invoice Lines'!C297</f>
        <v>Sysco Nashville, LLC</v>
      </c>
      <c r="D297" s="2" t="str">
        <f>'Posted Sales Invoice Lines'!E297</f>
        <v>F53001</v>
      </c>
      <c r="E297" s="2" t="str">
        <f>'Posted Sales Invoice Lines'!F297</f>
        <v>Cs. 4" Brioche Bun 8-12pk</v>
      </c>
      <c r="F297" s="3">
        <f>'Posted Sales Invoice Lines'!G297</f>
        <v>46058</v>
      </c>
      <c r="G297" s="9">
        <f>'Posted Sales Invoice Lines'!L297</f>
        <v>216</v>
      </c>
      <c r="H297" s="8">
        <f>'Posted Sales Invoice Lines'!N297</f>
        <v>46.1</v>
      </c>
      <c r="I297" s="8">
        <f>'Posted Sales Invoice Lines'!O297</f>
        <v>9957.6</v>
      </c>
    </row>
    <row r="298" spans="1:9" x14ac:dyDescent="0.25">
      <c r="A298" s="2" t="str">
        <f>'Posted Sales Invoice Lines'!A298</f>
        <v>PS-INV184132</v>
      </c>
      <c r="B298" s="2" t="str">
        <f>'Posted Sales Invoice Lines'!B298</f>
        <v>10511</v>
      </c>
      <c r="C298" s="2" t="str">
        <f>'Posted Sales Invoice Lines'!C298</f>
        <v>Sysco Nashville, LLC</v>
      </c>
      <c r="D298" s="2" t="str">
        <f>'Posted Sales Invoice Lines'!E298</f>
        <v>F530491</v>
      </c>
      <c r="E298" s="2" t="str">
        <f>'Posted Sales Invoice Lines'!F298</f>
        <v>Cs. 4.5 Brioche Bun 6-12pk</v>
      </c>
      <c r="F298" s="3">
        <f>'Posted Sales Invoice Lines'!G298</f>
        <v>46058</v>
      </c>
      <c r="G298" s="9">
        <f>'Posted Sales Invoice Lines'!L298</f>
        <v>28</v>
      </c>
      <c r="H298" s="8">
        <f>'Posted Sales Invoice Lines'!N298</f>
        <v>36.35</v>
      </c>
      <c r="I298" s="8">
        <f>'Posted Sales Invoice Lines'!O298</f>
        <v>1017.8</v>
      </c>
    </row>
    <row r="299" spans="1:9" x14ac:dyDescent="0.25">
      <c r="A299" s="2" t="str">
        <f>'Posted Sales Invoice Lines'!A299</f>
        <v>PS-INV184132</v>
      </c>
      <c r="B299" s="2" t="str">
        <f>'Posted Sales Invoice Lines'!B299</f>
        <v>10511</v>
      </c>
      <c r="C299" s="2" t="str">
        <f>'Posted Sales Invoice Lines'!C299</f>
        <v>Sysco Nashville, LLC</v>
      </c>
      <c r="D299" s="2" t="str">
        <f>'Posted Sales Invoice Lines'!E299</f>
        <v>F53116</v>
      </c>
      <c r="E299" s="2" t="str">
        <f>'Posted Sales Invoice Lines'!F299</f>
        <v>Cs. 7" French Hinged 12</v>
      </c>
      <c r="F299" s="3">
        <f>'Posted Sales Invoice Lines'!G299</f>
        <v>46058</v>
      </c>
      <c r="G299" s="9">
        <f>'Posted Sales Invoice Lines'!L299</f>
        <v>64</v>
      </c>
      <c r="H299" s="8">
        <f>'Posted Sales Invoice Lines'!N299</f>
        <v>38</v>
      </c>
      <c r="I299" s="8">
        <f>'Posted Sales Invoice Lines'!O299</f>
        <v>2432</v>
      </c>
    </row>
    <row r="300" spans="1:9" x14ac:dyDescent="0.25">
      <c r="A300" s="2" t="str">
        <f>'Posted Sales Invoice Lines'!A300</f>
        <v>PS-INV184132</v>
      </c>
      <c r="B300" s="2" t="str">
        <f>'Posted Sales Invoice Lines'!B300</f>
        <v>10511</v>
      </c>
      <c r="C300" s="2" t="str">
        <f>'Posted Sales Invoice Lines'!C300</f>
        <v>Sysco Nashville, LLC</v>
      </c>
      <c r="D300" s="2" t="str">
        <f>'Posted Sales Invoice Lines'!E300</f>
        <v>F53128</v>
      </c>
      <c r="E300" s="2" t="str">
        <f>'Posted Sales Invoice Lines'!F300</f>
        <v>Cs. 8" Philly Unsliced 10-6pk</v>
      </c>
      <c r="F300" s="3">
        <f>'Posted Sales Invoice Lines'!G300</f>
        <v>46058</v>
      </c>
      <c r="G300" s="9">
        <f>'Posted Sales Invoice Lines'!L300</f>
        <v>168</v>
      </c>
      <c r="H300" s="8">
        <f>'Posted Sales Invoice Lines'!N300</f>
        <v>45</v>
      </c>
      <c r="I300" s="8">
        <f>'Posted Sales Invoice Lines'!O300</f>
        <v>7560</v>
      </c>
    </row>
    <row r="301" spans="1:9" x14ac:dyDescent="0.25">
      <c r="A301" s="2" t="str">
        <f>'Posted Sales Invoice Lines'!A301</f>
        <v>PS-INV184167</v>
      </c>
      <c r="B301" s="2" t="str">
        <f>'Posted Sales Invoice Lines'!B301</f>
        <v>12358</v>
      </c>
      <c r="C301" s="2" t="str">
        <f>'Posted Sales Invoice Lines'!C301</f>
        <v>PFG Powell GA</v>
      </c>
      <c r="D301" s="2" t="str">
        <f>'Posted Sales Invoice Lines'!E301</f>
        <v>F53001</v>
      </c>
      <c r="E301" s="2" t="str">
        <f>'Posted Sales Invoice Lines'!F301</f>
        <v>Cs. 4" Brioche Bun 8-12pk</v>
      </c>
      <c r="F301" s="3">
        <f>'Posted Sales Invoice Lines'!G301</f>
        <v>46055</v>
      </c>
      <c r="G301" s="9">
        <f>'Posted Sales Invoice Lines'!L301</f>
        <v>48</v>
      </c>
      <c r="H301" s="8">
        <f>'Posted Sales Invoice Lines'!N301</f>
        <v>42.6</v>
      </c>
      <c r="I301" s="8">
        <f>'Posted Sales Invoice Lines'!O301</f>
        <v>2044.8</v>
      </c>
    </row>
    <row r="302" spans="1:9" x14ac:dyDescent="0.25">
      <c r="A302" s="2" t="str">
        <f>'Posted Sales Invoice Lines'!A302</f>
        <v>PS-INV184167</v>
      </c>
      <c r="B302" s="2" t="str">
        <f>'Posted Sales Invoice Lines'!B302</f>
        <v>12358</v>
      </c>
      <c r="C302" s="2" t="str">
        <f>'Posted Sales Invoice Lines'!C302</f>
        <v>PFG Powell GA</v>
      </c>
      <c r="D302" s="2" t="str">
        <f>'Posted Sales Invoice Lines'!E302</f>
        <v>F53003</v>
      </c>
      <c r="E302" s="2" t="str">
        <f>'Posted Sales Invoice Lines'!F302</f>
        <v>Cs. 4" Unseeded Challah Bun 8-12pk</v>
      </c>
      <c r="F302" s="3">
        <f>'Posted Sales Invoice Lines'!G302</f>
        <v>46055</v>
      </c>
      <c r="G302" s="9">
        <f>'Posted Sales Invoice Lines'!L302</f>
        <v>100</v>
      </c>
      <c r="H302" s="8">
        <f>'Posted Sales Invoice Lines'!N302</f>
        <v>40</v>
      </c>
      <c r="I302" s="8">
        <f>'Posted Sales Invoice Lines'!O302</f>
        <v>4000</v>
      </c>
    </row>
    <row r="303" spans="1:9" x14ac:dyDescent="0.25">
      <c r="A303" s="2" t="str">
        <f>'Posted Sales Invoice Lines'!A303</f>
        <v>PS-INV184167</v>
      </c>
      <c r="B303" s="2" t="str">
        <f>'Posted Sales Invoice Lines'!B303</f>
        <v>12358</v>
      </c>
      <c r="C303" s="2" t="str">
        <f>'Posted Sales Invoice Lines'!C303</f>
        <v>PFG Powell GA</v>
      </c>
      <c r="D303" s="2" t="str">
        <f>'Posted Sales Invoice Lines'!E303</f>
        <v>F53122</v>
      </c>
      <c r="E303" s="2" t="str">
        <f>'Posted Sales Invoice Lines'!F303</f>
        <v>Cs. 8" Italian Hinged 12-6pk</v>
      </c>
      <c r="F303" s="3">
        <f>'Posted Sales Invoice Lines'!G303</f>
        <v>46055</v>
      </c>
      <c r="G303" s="9">
        <f>'Posted Sales Invoice Lines'!L303</f>
        <v>8</v>
      </c>
      <c r="H303" s="8">
        <f>'Posted Sales Invoice Lines'!N303</f>
        <v>40.9</v>
      </c>
      <c r="I303" s="8">
        <f>'Posted Sales Invoice Lines'!O303</f>
        <v>327.2</v>
      </c>
    </row>
    <row r="304" spans="1:9" x14ac:dyDescent="0.25">
      <c r="A304" s="2" t="str">
        <f>'Posted Sales Invoice Lines'!A304</f>
        <v>PS-INV184167</v>
      </c>
      <c r="B304" s="2" t="str">
        <f>'Posted Sales Invoice Lines'!B304</f>
        <v>12358</v>
      </c>
      <c r="C304" s="2" t="str">
        <f>'Posted Sales Invoice Lines'!C304</f>
        <v>PFG Powell GA</v>
      </c>
      <c r="D304" s="2" t="str">
        <f>'Posted Sales Invoice Lines'!E304</f>
        <v>F51034</v>
      </c>
      <c r="E304" s="2" t="str">
        <f>'Posted Sales Invoice Lines'!F304</f>
        <v>Cs. Sour Dough Hearth 5/8" 8lvs</v>
      </c>
      <c r="F304" s="3">
        <f>'Posted Sales Invoice Lines'!G304</f>
        <v>46055</v>
      </c>
      <c r="G304" s="9">
        <f>'Posted Sales Invoice Lines'!L304</f>
        <v>36</v>
      </c>
      <c r="H304" s="8">
        <f>'Posted Sales Invoice Lines'!N304</f>
        <v>45</v>
      </c>
      <c r="I304" s="8">
        <f>'Posted Sales Invoice Lines'!O304</f>
        <v>1620</v>
      </c>
    </row>
    <row r="305" spans="1:9" x14ac:dyDescent="0.25">
      <c r="A305" s="2" t="str">
        <f>'Posted Sales Invoice Lines'!A305</f>
        <v>PS-INV184167</v>
      </c>
      <c r="B305" s="2" t="str">
        <f>'Posted Sales Invoice Lines'!B305</f>
        <v>12358</v>
      </c>
      <c r="C305" s="2" t="str">
        <f>'Posted Sales Invoice Lines'!C305</f>
        <v>PFG Powell GA</v>
      </c>
      <c r="D305" s="2" t="str">
        <f>'Posted Sales Invoice Lines'!E305</f>
        <v>F53221</v>
      </c>
      <c r="E305" s="2" t="str">
        <f>'Posted Sales Invoice Lines'!F305</f>
        <v>Cs. 4x4 Ciabatta 12-8pk</v>
      </c>
      <c r="F305" s="3">
        <f>'Posted Sales Invoice Lines'!G305</f>
        <v>46055</v>
      </c>
      <c r="G305" s="9">
        <f>'Posted Sales Invoice Lines'!L305</f>
        <v>36</v>
      </c>
      <c r="H305" s="8">
        <f>'Posted Sales Invoice Lines'!N305</f>
        <v>50</v>
      </c>
      <c r="I305" s="8">
        <f>'Posted Sales Invoice Lines'!O305</f>
        <v>1800</v>
      </c>
    </row>
    <row r="306" spans="1:9" x14ac:dyDescent="0.25">
      <c r="A306" s="2" t="str">
        <f>'Posted Sales Invoice Lines'!A306</f>
        <v>PS-INV184375</v>
      </c>
      <c r="B306" s="2" t="str">
        <f>'Posted Sales Invoice Lines'!B306</f>
        <v>10899-01</v>
      </c>
      <c r="C306" s="2" t="str">
        <f>'Posted Sales Invoice Lines'!C306</f>
        <v xml:space="preserve">Wood Fruitticher *HBH* (USE MASTER FOR PO's) </v>
      </c>
      <c r="D306" s="2" t="str">
        <f>'Posted Sales Invoice Lines'!E306</f>
        <v>F53072</v>
      </c>
      <c r="E306" s="2" t="str">
        <f>'Posted Sales Invoice Lines'!F306</f>
        <v>Cs. 5" Challah Bun 8-8pk</v>
      </c>
      <c r="F306" s="3">
        <f>'Posted Sales Invoice Lines'!G306</f>
        <v>46055</v>
      </c>
      <c r="G306" s="9">
        <f>'Posted Sales Invoice Lines'!L306</f>
        <v>16</v>
      </c>
      <c r="H306" s="8">
        <f>'Posted Sales Invoice Lines'!N306</f>
        <v>34.93</v>
      </c>
      <c r="I306" s="8">
        <f>'Posted Sales Invoice Lines'!O306</f>
        <v>558.88</v>
      </c>
    </row>
    <row r="307" spans="1:9" x14ac:dyDescent="0.25">
      <c r="A307" s="2" t="str">
        <f>'Posted Sales Invoice Lines'!A307</f>
        <v>PS-INV184375</v>
      </c>
      <c r="B307" s="2" t="str">
        <f>'Posted Sales Invoice Lines'!B307</f>
        <v>10899-01</v>
      </c>
      <c r="C307" s="2" t="str">
        <f>'Posted Sales Invoice Lines'!C307</f>
        <v xml:space="preserve">Wood Fruitticher *HBH* (USE MASTER FOR PO's) </v>
      </c>
      <c r="D307" s="2" t="str">
        <f>'Posted Sales Invoice Lines'!E307</f>
        <v>F53003</v>
      </c>
      <c r="E307" s="2" t="str">
        <f>'Posted Sales Invoice Lines'!F307</f>
        <v>Cs. 4" Unseeded Challah Bun 8-12pk</v>
      </c>
      <c r="F307" s="3">
        <f>'Posted Sales Invoice Lines'!G307</f>
        <v>46055</v>
      </c>
      <c r="G307" s="9">
        <f>'Posted Sales Invoice Lines'!L307</f>
        <v>96</v>
      </c>
      <c r="H307" s="8">
        <f>'Posted Sales Invoice Lines'!N307</f>
        <v>35.479999999999997</v>
      </c>
      <c r="I307" s="8">
        <f>'Posted Sales Invoice Lines'!O307</f>
        <v>3406.08</v>
      </c>
    </row>
    <row r="308" spans="1:9" x14ac:dyDescent="0.25">
      <c r="A308" s="2" t="str">
        <f>'Posted Sales Invoice Lines'!A308</f>
        <v>PS-INV184375</v>
      </c>
      <c r="B308" s="2" t="str">
        <f>'Posted Sales Invoice Lines'!B308</f>
        <v>10899-01</v>
      </c>
      <c r="C308" s="2" t="str">
        <f>'Posted Sales Invoice Lines'!C308</f>
        <v xml:space="preserve">Wood Fruitticher *HBH* (USE MASTER FOR PO's) </v>
      </c>
      <c r="D308" s="2" t="str">
        <f>'Posted Sales Invoice Lines'!E308</f>
        <v>F53070</v>
      </c>
      <c r="E308" s="2" t="str">
        <f>'Posted Sales Invoice Lines'!F308</f>
        <v xml:space="preserve">Cs. 5" Challah Sesame Buns </v>
      </c>
      <c r="F308" s="3">
        <f>'Posted Sales Invoice Lines'!G308</f>
        <v>46055</v>
      </c>
      <c r="G308" s="9">
        <f>'Posted Sales Invoice Lines'!L308</f>
        <v>96</v>
      </c>
      <c r="H308" s="8">
        <f>'Posted Sales Invoice Lines'!N308</f>
        <v>32.89</v>
      </c>
      <c r="I308" s="8">
        <f>'Posted Sales Invoice Lines'!O308</f>
        <v>3157.44</v>
      </c>
    </row>
    <row r="309" spans="1:9" x14ac:dyDescent="0.25">
      <c r="A309" s="2" t="str">
        <f>'Posted Sales Invoice Lines'!A309</f>
        <v>PS-INV184375</v>
      </c>
      <c r="B309" s="2" t="str">
        <f>'Posted Sales Invoice Lines'!B309</f>
        <v>10899-01</v>
      </c>
      <c r="C309" s="2" t="str">
        <f>'Posted Sales Invoice Lines'!C309</f>
        <v xml:space="preserve">Wood Fruitticher *HBH* (USE MASTER FOR PO's) </v>
      </c>
      <c r="D309" s="2" t="str">
        <f>'Posted Sales Invoice Lines'!E309</f>
        <v>F53000</v>
      </c>
      <c r="E309" s="2" t="str">
        <f>'Posted Sales Invoice Lines'!F309</f>
        <v>Cs. 4" Hamburger Bun 8-12pk</v>
      </c>
      <c r="F309" s="3">
        <f>'Posted Sales Invoice Lines'!G309</f>
        <v>46055</v>
      </c>
      <c r="G309" s="9">
        <f>'Posted Sales Invoice Lines'!L309</f>
        <v>56</v>
      </c>
      <c r="H309" s="8">
        <f>'Posted Sales Invoice Lines'!N309</f>
        <v>28.33</v>
      </c>
      <c r="I309" s="8">
        <f>'Posted Sales Invoice Lines'!O309</f>
        <v>1586.48</v>
      </c>
    </row>
    <row r="310" spans="1:9" x14ac:dyDescent="0.25">
      <c r="A310" s="2" t="str">
        <f>'Posted Sales Invoice Lines'!A310</f>
        <v>PS-INV184375</v>
      </c>
      <c r="B310" s="2" t="str">
        <f>'Posted Sales Invoice Lines'!B310</f>
        <v>10899-01</v>
      </c>
      <c r="C310" s="2" t="str">
        <f>'Posted Sales Invoice Lines'!C310</f>
        <v xml:space="preserve">Wood Fruitticher *HBH* (USE MASTER FOR PO's) </v>
      </c>
      <c r="D310" s="2" t="str">
        <f>'Posted Sales Invoice Lines'!E310</f>
        <v>F51136</v>
      </c>
      <c r="E310" s="2" t="str">
        <f>'Posted Sales Invoice Lines'!F310</f>
        <v>Cs. Texas Toast 1" 12lvs</v>
      </c>
      <c r="F310" s="3">
        <f>'Posted Sales Invoice Lines'!G310</f>
        <v>46055</v>
      </c>
      <c r="G310" s="9">
        <f>'Posted Sales Invoice Lines'!L310</f>
        <v>84</v>
      </c>
      <c r="H310" s="8">
        <f>'Posted Sales Invoice Lines'!N310</f>
        <v>28.49</v>
      </c>
      <c r="I310" s="8">
        <f>'Posted Sales Invoice Lines'!O310</f>
        <v>2393.16</v>
      </c>
    </row>
    <row r="311" spans="1:9" x14ac:dyDescent="0.25">
      <c r="A311" s="2" t="str">
        <f>'Posted Sales Invoice Lines'!A311</f>
        <v>PS-INV184375</v>
      </c>
      <c r="B311" s="2" t="str">
        <f>'Posted Sales Invoice Lines'!B311</f>
        <v>10899-01</v>
      </c>
      <c r="C311" s="2" t="str">
        <f>'Posted Sales Invoice Lines'!C311</f>
        <v xml:space="preserve">Wood Fruitticher *HBH* (USE MASTER FOR PO's) </v>
      </c>
      <c r="D311" s="2" t="str">
        <f>'Posted Sales Invoice Lines'!E311</f>
        <v>F51134</v>
      </c>
      <c r="E311" s="2" t="str">
        <f>'Posted Sales Invoice Lines'!F311</f>
        <v>Cs. Club Wheat 12lvs</v>
      </c>
      <c r="F311" s="3">
        <f>'Posted Sales Invoice Lines'!G311</f>
        <v>46055</v>
      </c>
      <c r="G311" s="9">
        <f>'Posted Sales Invoice Lines'!L311</f>
        <v>32</v>
      </c>
      <c r="H311" s="8">
        <f>'Posted Sales Invoice Lines'!N311</f>
        <v>28.49</v>
      </c>
      <c r="I311" s="8">
        <f>'Posted Sales Invoice Lines'!O311</f>
        <v>911.68</v>
      </c>
    </row>
    <row r="312" spans="1:9" x14ac:dyDescent="0.25">
      <c r="A312" s="2" t="str">
        <f>'Posted Sales Invoice Lines'!A312</f>
        <v>PS-INV184375</v>
      </c>
      <c r="B312" s="2" t="str">
        <f>'Posted Sales Invoice Lines'!B312</f>
        <v>10899-01</v>
      </c>
      <c r="C312" s="2" t="str">
        <f>'Posted Sales Invoice Lines'!C312</f>
        <v xml:space="preserve">Wood Fruitticher *HBH* (USE MASTER FOR PO's) </v>
      </c>
      <c r="D312" s="2" t="str">
        <f>'Posted Sales Invoice Lines'!E312</f>
        <v>F51130</v>
      </c>
      <c r="E312" s="2" t="str">
        <f>'Posted Sales Invoice Lines'!F312</f>
        <v>Cs. Club White 12lvs</v>
      </c>
      <c r="F312" s="3">
        <f>'Posted Sales Invoice Lines'!G312</f>
        <v>46055</v>
      </c>
      <c r="G312" s="9">
        <f>'Posted Sales Invoice Lines'!L312</f>
        <v>16</v>
      </c>
      <c r="H312" s="8">
        <f>'Posted Sales Invoice Lines'!N312</f>
        <v>28.49</v>
      </c>
      <c r="I312" s="8">
        <f>'Posted Sales Invoice Lines'!O312</f>
        <v>455.84</v>
      </c>
    </row>
    <row r="313" spans="1:9" x14ac:dyDescent="0.25">
      <c r="A313" s="2" t="str">
        <f>'Posted Sales Invoice Lines'!A313</f>
        <v>PS-INV184375</v>
      </c>
      <c r="B313" s="2" t="str">
        <f>'Posted Sales Invoice Lines'!B313</f>
        <v>10899-01</v>
      </c>
      <c r="C313" s="2" t="str">
        <f>'Posted Sales Invoice Lines'!C313</f>
        <v xml:space="preserve">Wood Fruitticher *HBH* (USE MASTER FOR PO's) </v>
      </c>
      <c r="D313" s="2" t="str">
        <f>'Posted Sales Invoice Lines'!E313</f>
        <v>F53094</v>
      </c>
      <c r="E313" s="2" t="str">
        <f>'Posted Sales Invoice Lines'!F313</f>
        <v>Cs. 6" Italian 12-6pks</v>
      </c>
      <c r="F313" s="3">
        <f>'Posted Sales Invoice Lines'!G313</f>
        <v>46055</v>
      </c>
      <c r="G313" s="9">
        <f>'Posted Sales Invoice Lines'!L313</f>
        <v>224</v>
      </c>
      <c r="H313" s="8">
        <f>'Posted Sales Invoice Lines'!N313</f>
        <v>25.25</v>
      </c>
      <c r="I313" s="8">
        <f>'Posted Sales Invoice Lines'!O313</f>
        <v>5656</v>
      </c>
    </row>
    <row r="314" spans="1:9" x14ac:dyDescent="0.25">
      <c r="A314" s="2" t="str">
        <f>'Posted Sales Invoice Lines'!A314</f>
        <v>PS-INV184375</v>
      </c>
      <c r="B314" s="2" t="str">
        <f>'Posted Sales Invoice Lines'!B314</f>
        <v>10899-01</v>
      </c>
      <c r="C314" s="2" t="str">
        <f>'Posted Sales Invoice Lines'!C314</f>
        <v xml:space="preserve">Wood Fruitticher *HBH* (USE MASTER FOR PO's) </v>
      </c>
      <c r="D314" s="2" t="str">
        <f>'Posted Sales Invoice Lines'!E314</f>
        <v>F53116</v>
      </c>
      <c r="E314" s="2" t="str">
        <f>'Posted Sales Invoice Lines'!F314</f>
        <v>Cs. 7" French Hinged 12</v>
      </c>
      <c r="F314" s="3">
        <f>'Posted Sales Invoice Lines'!G314</f>
        <v>46055</v>
      </c>
      <c r="G314" s="9">
        <f>'Posted Sales Invoice Lines'!L314</f>
        <v>48</v>
      </c>
      <c r="H314" s="8">
        <f>'Posted Sales Invoice Lines'!N314</f>
        <v>28.88</v>
      </c>
      <c r="I314" s="8">
        <f>'Posted Sales Invoice Lines'!O314</f>
        <v>1386.24</v>
      </c>
    </row>
    <row r="315" spans="1:9" x14ac:dyDescent="0.25">
      <c r="A315" s="2" t="str">
        <f>'Posted Sales Invoice Lines'!A315</f>
        <v>PS-INV184375</v>
      </c>
      <c r="B315" s="2" t="str">
        <f>'Posted Sales Invoice Lines'!B315</f>
        <v>10899-01</v>
      </c>
      <c r="C315" s="2" t="str">
        <f>'Posted Sales Invoice Lines'!C315</f>
        <v xml:space="preserve">Wood Fruitticher *HBH* (USE MASTER FOR PO's) </v>
      </c>
      <c r="D315" s="2" t="str">
        <f>'Posted Sales Invoice Lines'!E315</f>
        <v>F51070</v>
      </c>
      <c r="E315" s="2" t="str">
        <f>'Posted Sales Invoice Lines'!F315</f>
        <v>Cs. 8-Grain 5/8" 8lvs</v>
      </c>
      <c r="F315" s="3">
        <f>'Posted Sales Invoice Lines'!G315</f>
        <v>46055</v>
      </c>
      <c r="G315" s="9">
        <f>'Posted Sales Invoice Lines'!L315</f>
        <v>12</v>
      </c>
      <c r="H315" s="8">
        <f>'Posted Sales Invoice Lines'!N315</f>
        <v>47.74</v>
      </c>
      <c r="I315" s="8">
        <f>'Posted Sales Invoice Lines'!O315</f>
        <v>572.88</v>
      </c>
    </row>
    <row r="316" spans="1:9" x14ac:dyDescent="0.25">
      <c r="A316" s="2" t="str">
        <f>'Posted Sales Invoice Lines'!A316</f>
        <v>PS-INV184375</v>
      </c>
      <c r="B316" s="2" t="str">
        <f>'Posted Sales Invoice Lines'!B316</f>
        <v>10899-01</v>
      </c>
      <c r="C316" s="2" t="str">
        <f>'Posted Sales Invoice Lines'!C316</f>
        <v xml:space="preserve">Wood Fruitticher *HBH* (USE MASTER FOR PO's) </v>
      </c>
      <c r="D316" s="2" t="str">
        <f>'Posted Sales Invoice Lines'!E316</f>
        <v>F51024</v>
      </c>
      <c r="E316" s="2" t="str">
        <f>'Posted Sales Invoice Lines'!F316</f>
        <v>Cs. Marble Rye 5/8" 8lvs</v>
      </c>
      <c r="F316" s="3">
        <f>'Posted Sales Invoice Lines'!G316</f>
        <v>46055</v>
      </c>
      <c r="G316" s="9">
        <f>'Posted Sales Invoice Lines'!L316</f>
        <v>24</v>
      </c>
      <c r="H316" s="8">
        <f>'Posted Sales Invoice Lines'!N316</f>
        <v>36.630000000000003</v>
      </c>
      <c r="I316" s="8">
        <f>'Posted Sales Invoice Lines'!O316</f>
        <v>879.12</v>
      </c>
    </row>
    <row r="317" spans="1:9" x14ac:dyDescent="0.25">
      <c r="A317" s="2" t="str">
        <f>'Posted Sales Invoice Lines'!A317</f>
        <v>PS-INV184375</v>
      </c>
      <c r="B317" s="2" t="str">
        <f>'Posted Sales Invoice Lines'!B317</f>
        <v>10899-01</v>
      </c>
      <c r="C317" s="2" t="str">
        <f>'Posted Sales Invoice Lines'!C317</f>
        <v xml:space="preserve">Wood Fruitticher *HBH* (USE MASTER FOR PO's) </v>
      </c>
      <c r="D317" s="2" t="str">
        <f>'Posted Sales Invoice Lines'!E317</f>
        <v>F53001</v>
      </c>
      <c r="E317" s="2" t="str">
        <f>'Posted Sales Invoice Lines'!F317</f>
        <v>Cs. 4" Brioche Bun 8-12pk</v>
      </c>
      <c r="F317" s="3">
        <f>'Posted Sales Invoice Lines'!G317</f>
        <v>46055</v>
      </c>
      <c r="G317" s="9">
        <f>'Posted Sales Invoice Lines'!L317</f>
        <v>140</v>
      </c>
      <c r="H317" s="8">
        <f>'Posted Sales Invoice Lines'!N317</f>
        <v>40.43</v>
      </c>
      <c r="I317" s="8">
        <f>'Posted Sales Invoice Lines'!O317</f>
        <v>5660.2</v>
      </c>
    </row>
    <row r="318" spans="1:9" x14ac:dyDescent="0.25">
      <c r="A318" s="2" t="str">
        <f>'Posted Sales Invoice Lines'!A318</f>
        <v>PS-INV184387</v>
      </c>
      <c r="B318" s="2" t="str">
        <f>'Posted Sales Invoice Lines'!B318</f>
        <v>11005</v>
      </c>
      <c r="C318" s="2" t="str">
        <f>'Posted Sales Invoice Lines'!C318</f>
        <v>Dot Foods Inc.</v>
      </c>
      <c r="D318" s="2" t="str">
        <f>'Posted Sales Invoice Lines'!E318</f>
        <v>F530142</v>
      </c>
      <c r="E318" s="2" t="str">
        <f>'Posted Sales Invoice Lines'!F318</f>
        <v>Cs. Knot Roll 8-12pk</v>
      </c>
      <c r="F318" s="3">
        <f>'Posted Sales Invoice Lines'!G318</f>
        <v>46064</v>
      </c>
      <c r="G318" s="9">
        <f>'Posted Sales Invoice Lines'!L318</f>
        <v>320</v>
      </c>
      <c r="H318" s="8">
        <f>'Posted Sales Invoice Lines'!N318</f>
        <v>33.42</v>
      </c>
      <c r="I318" s="8">
        <f>'Posted Sales Invoice Lines'!O318</f>
        <v>10694.4</v>
      </c>
    </row>
    <row r="319" spans="1:9" x14ac:dyDescent="0.25">
      <c r="A319" s="2" t="str">
        <f>'Posted Sales Invoice Lines'!A319</f>
        <v>PS-INV184574</v>
      </c>
      <c r="B319" s="2" t="str">
        <f>'Posted Sales Invoice Lines'!B319</f>
        <v>10719-4</v>
      </c>
      <c r="C319" s="2" t="str">
        <f>'Posted Sales Invoice Lines'!C319</f>
        <v>US Foods - Columbia/Lexington</v>
      </c>
      <c r="D319" s="2" t="str">
        <f>'Posted Sales Invoice Lines'!E319</f>
        <v>F53010</v>
      </c>
      <c r="E319" s="2" t="str">
        <f>'Posted Sales Invoice Lines'!F319</f>
        <v>Cs. Onion Roll 8-12pk</v>
      </c>
      <c r="F319" s="3">
        <f>'Posted Sales Invoice Lines'!G319</f>
        <v>46056</v>
      </c>
      <c r="G319" s="9">
        <f>'Posted Sales Invoice Lines'!L319</f>
        <v>16</v>
      </c>
      <c r="H319" s="8">
        <f>'Posted Sales Invoice Lines'!N319</f>
        <v>41.85</v>
      </c>
      <c r="I319" s="8">
        <f>'Posted Sales Invoice Lines'!O319</f>
        <v>669.6</v>
      </c>
    </row>
    <row r="320" spans="1:9" x14ac:dyDescent="0.25">
      <c r="A320" s="2" t="str">
        <f>'Posted Sales Invoice Lines'!A320</f>
        <v>PS-INV184574</v>
      </c>
      <c r="B320" s="2" t="str">
        <f>'Posted Sales Invoice Lines'!B320</f>
        <v>10719-4</v>
      </c>
      <c r="C320" s="2" t="str">
        <f>'Posted Sales Invoice Lines'!C320</f>
        <v>US Foods - Columbia/Lexington</v>
      </c>
      <c r="D320" s="2" t="str">
        <f>'Posted Sales Invoice Lines'!E320</f>
        <v>F53093</v>
      </c>
      <c r="E320" s="2" t="str">
        <f>'Posted Sales Invoice Lines'!F320</f>
        <v>Cs. 6" Philly Unsliced</v>
      </c>
      <c r="F320" s="3">
        <f>'Posted Sales Invoice Lines'!G320</f>
        <v>46056</v>
      </c>
      <c r="G320" s="9">
        <f>'Posted Sales Invoice Lines'!L320</f>
        <v>8</v>
      </c>
      <c r="H320" s="8">
        <f>'Posted Sales Invoice Lines'!N320</f>
        <v>47.2</v>
      </c>
      <c r="I320" s="8">
        <f>'Posted Sales Invoice Lines'!O320</f>
        <v>377.6</v>
      </c>
    </row>
    <row r="321" spans="1:9" x14ac:dyDescent="0.25">
      <c r="A321" s="2" t="str">
        <f>'Posted Sales Invoice Lines'!A321</f>
        <v>PS-INV184574</v>
      </c>
      <c r="B321" s="2" t="str">
        <f>'Posted Sales Invoice Lines'!B321</f>
        <v>10719-4</v>
      </c>
      <c r="C321" s="2" t="str">
        <f>'Posted Sales Invoice Lines'!C321</f>
        <v>US Foods - Columbia/Lexington</v>
      </c>
      <c r="D321" s="2" t="str">
        <f>'Posted Sales Invoice Lines'!E321</f>
        <v>F51026</v>
      </c>
      <c r="E321" s="2" t="str">
        <f>'Posted Sales Invoice Lines'!F321</f>
        <v>Cs. Marble Rye 3/4" 8lvs</v>
      </c>
      <c r="F321" s="3">
        <f>'Posted Sales Invoice Lines'!G321</f>
        <v>46056</v>
      </c>
      <c r="G321" s="9">
        <f>'Posted Sales Invoice Lines'!L321</f>
        <v>84</v>
      </c>
      <c r="H321" s="8">
        <f>'Posted Sales Invoice Lines'!N321</f>
        <v>52</v>
      </c>
      <c r="I321" s="8">
        <f>'Posted Sales Invoice Lines'!O321</f>
        <v>4368</v>
      </c>
    </row>
    <row r="322" spans="1:9" x14ac:dyDescent="0.25">
      <c r="A322" s="2" t="str">
        <f>'Posted Sales Invoice Lines'!A322</f>
        <v>PS-INV184574</v>
      </c>
      <c r="B322" s="2" t="str">
        <f>'Posted Sales Invoice Lines'!B322</f>
        <v>10719-4</v>
      </c>
      <c r="C322" s="2" t="str">
        <f>'Posted Sales Invoice Lines'!C322</f>
        <v>US Foods - Columbia/Lexington</v>
      </c>
      <c r="D322" s="2" t="str">
        <f>'Posted Sales Invoice Lines'!E322</f>
        <v>F53001</v>
      </c>
      <c r="E322" s="2" t="str">
        <f>'Posted Sales Invoice Lines'!F322</f>
        <v>Cs. 4" Brioche Bun 8-12pk</v>
      </c>
      <c r="F322" s="3">
        <f>'Posted Sales Invoice Lines'!G322</f>
        <v>46056</v>
      </c>
      <c r="G322" s="9">
        <f>'Posted Sales Invoice Lines'!L322</f>
        <v>8</v>
      </c>
      <c r="H322" s="8">
        <f>'Posted Sales Invoice Lines'!N322</f>
        <v>43.5</v>
      </c>
      <c r="I322" s="8">
        <f>'Posted Sales Invoice Lines'!O322</f>
        <v>348</v>
      </c>
    </row>
    <row r="323" spans="1:9" x14ac:dyDescent="0.25">
      <c r="A323" s="2" t="str">
        <f>'Posted Sales Invoice Lines'!A323</f>
        <v>PS-INV184574</v>
      </c>
      <c r="B323" s="2" t="str">
        <f>'Posted Sales Invoice Lines'!B323</f>
        <v>10719-4</v>
      </c>
      <c r="C323" s="2" t="str">
        <f>'Posted Sales Invoice Lines'!C323</f>
        <v>US Foods - Columbia/Lexington</v>
      </c>
      <c r="D323" s="2" t="str">
        <f>'Posted Sales Invoice Lines'!E323</f>
        <v>F51020</v>
      </c>
      <c r="E323" s="2" t="str">
        <f>'Posted Sales Invoice Lines'!F323</f>
        <v>Cs. Marble Rye 1/2" 8lvs</v>
      </c>
      <c r="F323" s="3">
        <f>'Posted Sales Invoice Lines'!G323</f>
        <v>46056</v>
      </c>
      <c r="G323" s="9">
        <f>'Posted Sales Invoice Lines'!L323</f>
        <v>16</v>
      </c>
      <c r="H323" s="8">
        <f>'Posted Sales Invoice Lines'!N323</f>
        <v>52</v>
      </c>
      <c r="I323" s="8">
        <f>'Posted Sales Invoice Lines'!O323</f>
        <v>832</v>
      </c>
    </row>
    <row r="324" spans="1:9" x14ac:dyDescent="0.25">
      <c r="A324" s="2" t="str">
        <f>'Posted Sales Invoice Lines'!A324</f>
        <v>PS-INV184574</v>
      </c>
      <c r="B324" s="2" t="str">
        <f>'Posted Sales Invoice Lines'!B324</f>
        <v>10719-4</v>
      </c>
      <c r="C324" s="2" t="str">
        <f>'Posted Sales Invoice Lines'!C324</f>
        <v>US Foods - Columbia/Lexington</v>
      </c>
      <c r="D324" s="2" t="str">
        <f>'Posted Sales Invoice Lines'!E324</f>
        <v>F53024</v>
      </c>
      <c r="E324" s="2" t="str">
        <f>'Posted Sales Invoice Lines'!F324</f>
        <v>Cs. 4" Challah Kaiser 8-12pk</v>
      </c>
      <c r="F324" s="3">
        <f>'Posted Sales Invoice Lines'!G324</f>
        <v>46056</v>
      </c>
      <c r="G324" s="9">
        <f>'Posted Sales Invoice Lines'!L324</f>
        <v>16</v>
      </c>
      <c r="H324" s="8">
        <f>'Posted Sales Invoice Lines'!N324</f>
        <v>38.25</v>
      </c>
      <c r="I324" s="8">
        <f>'Posted Sales Invoice Lines'!O324</f>
        <v>612</v>
      </c>
    </row>
    <row r="325" spans="1:9" x14ac:dyDescent="0.25">
      <c r="A325" s="2" t="str">
        <f>'Posted Sales Invoice Lines'!A325</f>
        <v>PS-INV184945</v>
      </c>
      <c r="B325" s="2" t="str">
        <f>'Posted Sales Invoice Lines'!B325</f>
        <v>12692</v>
      </c>
      <c r="C325" s="2" t="str">
        <f>'Posted Sales Invoice Lines'!C325</f>
        <v>United Food Service</v>
      </c>
      <c r="D325" s="2" t="str">
        <f>'Posted Sales Invoice Lines'!E325</f>
        <v>F53116</v>
      </c>
      <c r="E325" s="2" t="str">
        <f>'Posted Sales Invoice Lines'!F325</f>
        <v>Cs. 7" French Hinged 12</v>
      </c>
      <c r="F325" s="3">
        <f>'Posted Sales Invoice Lines'!G325</f>
        <v>46055</v>
      </c>
      <c r="G325" s="9">
        <f>'Posted Sales Invoice Lines'!L325</f>
        <v>252</v>
      </c>
      <c r="H325" s="8">
        <f>'Posted Sales Invoice Lines'!N325</f>
        <v>32.5</v>
      </c>
      <c r="I325" s="8">
        <f>'Posted Sales Invoice Lines'!O325</f>
        <v>8190</v>
      </c>
    </row>
    <row r="326" spans="1:9" x14ac:dyDescent="0.25">
      <c r="A326" s="2" t="str">
        <f>'Posted Sales Invoice Lines'!A326</f>
        <v>PS-INV184945</v>
      </c>
      <c r="B326" s="2" t="str">
        <f>'Posted Sales Invoice Lines'!B326</f>
        <v>12692</v>
      </c>
      <c r="C326" s="2" t="str">
        <f>'Posted Sales Invoice Lines'!C326</f>
        <v>United Food Service</v>
      </c>
      <c r="D326" s="2" t="str">
        <f>'Posted Sales Invoice Lines'!E326</f>
        <v>F53122</v>
      </c>
      <c r="E326" s="2" t="str">
        <f>'Posted Sales Invoice Lines'!F326</f>
        <v>Cs. 8" Italian Hinged 12-6pk</v>
      </c>
      <c r="F326" s="3">
        <f>'Posted Sales Invoice Lines'!G326</f>
        <v>46055</v>
      </c>
      <c r="G326" s="9">
        <f>'Posted Sales Invoice Lines'!L326</f>
        <v>28</v>
      </c>
      <c r="H326" s="8">
        <f>'Posted Sales Invoice Lines'!N326</f>
        <v>42.75</v>
      </c>
      <c r="I326" s="8">
        <f>'Posted Sales Invoice Lines'!O326</f>
        <v>1197</v>
      </c>
    </row>
    <row r="327" spans="1:9" x14ac:dyDescent="0.25">
      <c r="A327" s="2" t="str">
        <f>'Posted Sales Invoice Lines'!A327</f>
        <v>PS-INV184958</v>
      </c>
      <c r="B327" s="2" t="str">
        <f>'Posted Sales Invoice Lines'!B327</f>
        <v>10711</v>
      </c>
      <c r="C327" s="2" t="str">
        <f>'Posted Sales Invoice Lines'!C327</f>
        <v>Cheney Bros Statesville</v>
      </c>
      <c r="D327" s="2" t="str">
        <f>'Posted Sales Invoice Lines'!E327</f>
        <v>F530142</v>
      </c>
      <c r="E327" s="2" t="str">
        <f>'Posted Sales Invoice Lines'!F327</f>
        <v>Cs. Knot Roll 8-12pk</v>
      </c>
      <c r="F327" s="3">
        <f>'Posted Sales Invoice Lines'!G327</f>
        <v>46057</v>
      </c>
      <c r="G327" s="9">
        <f>'Posted Sales Invoice Lines'!L327</f>
        <v>112</v>
      </c>
      <c r="H327" s="8">
        <f>'Posted Sales Invoice Lines'!N327</f>
        <v>33.42</v>
      </c>
      <c r="I327" s="8">
        <f>'Posted Sales Invoice Lines'!O327</f>
        <v>3743.04</v>
      </c>
    </row>
    <row r="328" spans="1:9" x14ac:dyDescent="0.25">
      <c r="A328" s="2" t="str">
        <f>'Posted Sales Invoice Lines'!A328</f>
        <v>PS-INV184958</v>
      </c>
      <c r="B328" s="2" t="str">
        <f>'Posted Sales Invoice Lines'!B328</f>
        <v>10711</v>
      </c>
      <c r="C328" s="2" t="str">
        <f>'Posted Sales Invoice Lines'!C328</f>
        <v>Cheney Bros Statesville</v>
      </c>
      <c r="D328" s="2" t="str">
        <f>'Posted Sales Invoice Lines'!E328</f>
        <v>F540202</v>
      </c>
      <c r="E328" s="2" t="str">
        <f>'Posted Sales Invoice Lines'!F328</f>
        <v>Cs. HBH Wheat Roll</v>
      </c>
      <c r="F328" s="3">
        <f>'Posted Sales Invoice Lines'!G328</f>
        <v>46057</v>
      </c>
      <c r="G328" s="9">
        <f>'Posted Sales Invoice Lines'!L328</f>
        <v>8</v>
      </c>
      <c r="H328" s="8">
        <f>'Posted Sales Invoice Lines'!N328</f>
        <v>26.22</v>
      </c>
      <c r="I328" s="8">
        <f>'Posted Sales Invoice Lines'!O328</f>
        <v>209.76</v>
      </c>
    </row>
    <row r="329" spans="1:9" x14ac:dyDescent="0.25">
      <c r="A329" s="2" t="str">
        <f>'Posted Sales Invoice Lines'!A329</f>
        <v>PS-INV185009</v>
      </c>
      <c r="B329" s="2" t="str">
        <f>'Posted Sales Invoice Lines'!B329</f>
        <v>10719-6</v>
      </c>
      <c r="C329" s="2" t="str">
        <f>'Posted Sales Invoice Lines'!C329</f>
        <v>US Foods - Alcoa TN.</v>
      </c>
      <c r="D329" s="2" t="str">
        <f>'Posted Sales Invoice Lines'!E329</f>
        <v>F53094</v>
      </c>
      <c r="E329" s="2" t="str">
        <f>'Posted Sales Invoice Lines'!F329</f>
        <v>Cs. 6" Italian 12-6pks</v>
      </c>
      <c r="F329" s="3">
        <f>'Posted Sales Invoice Lines'!G329</f>
        <v>46063</v>
      </c>
      <c r="G329" s="9">
        <f>'Posted Sales Invoice Lines'!L329</f>
        <v>28</v>
      </c>
      <c r="H329" s="8">
        <f>'Posted Sales Invoice Lines'!N329</f>
        <v>35</v>
      </c>
      <c r="I329" s="8">
        <f>'Posted Sales Invoice Lines'!O329</f>
        <v>980</v>
      </c>
    </row>
    <row r="330" spans="1:9" x14ac:dyDescent="0.25">
      <c r="A330" s="2" t="str">
        <f>'Posted Sales Invoice Lines'!A330</f>
        <v>PS-INV185009</v>
      </c>
      <c r="B330" s="2" t="str">
        <f>'Posted Sales Invoice Lines'!B330</f>
        <v>10719-6</v>
      </c>
      <c r="C330" s="2" t="str">
        <f>'Posted Sales Invoice Lines'!C330</f>
        <v>US Foods - Alcoa TN.</v>
      </c>
      <c r="D330" s="2" t="str">
        <f>'Posted Sales Invoice Lines'!E330</f>
        <v>F51136</v>
      </c>
      <c r="E330" s="2" t="str">
        <f>'Posted Sales Invoice Lines'!F330</f>
        <v>Cs. Texas Toast 1" 12lvs</v>
      </c>
      <c r="F330" s="3">
        <f>'Posted Sales Invoice Lines'!G330</f>
        <v>46063</v>
      </c>
      <c r="G330" s="9">
        <f>'Posted Sales Invoice Lines'!L330</f>
        <v>84</v>
      </c>
      <c r="H330" s="8">
        <f>'Posted Sales Invoice Lines'!N330</f>
        <v>40.119999999999997</v>
      </c>
      <c r="I330" s="8">
        <f>'Posted Sales Invoice Lines'!O330</f>
        <v>3370.08</v>
      </c>
    </row>
    <row r="331" spans="1:9" x14ac:dyDescent="0.25">
      <c r="A331" s="2" t="str">
        <f>'Posted Sales Invoice Lines'!A331</f>
        <v>PS-INV185009</v>
      </c>
      <c r="B331" s="2" t="str">
        <f>'Posted Sales Invoice Lines'!B331</f>
        <v>10719-6</v>
      </c>
      <c r="C331" s="2" t="str">
        <f>'Posted Sales Invoice Lines'!C331</f>
        <v>US Foods - Alcoa TN.</v>
      </c>
      <c r="D331" s="2" t="str">
        <f>'Posted Sales Invoice Lines'!E331</f>
        <v>F51004</v>
      </c>
      <c r="E331" s="2" t="str">
        <f>'Posted Sales Invoice Lines'!F331</f>
        <v>Cs. Rye 5/8" 8lvs</v>
      </c>
      <c r="F331" s="3">
        <f>'Posted Sales Invoice Lines'!G331</f>
        <v>46063</v>
      </c>
      <c r="G331" s="9">
        <f>'Posted Sales Invoice Lines'!L331</f>
        <v>16</v>
      </c>
      <c r="H331" s="8">
        <f>'Posted Sales Invoice Lines'!N331</f>
        <v>42.03</v>
      </c>
      <c r="I331" s="8">
        <f>'Posted Sales Invoice Lines'!O331</f>
        <v>672.48</v>
      </c>
    </row>
    <row r="332" spans="1:9" x14ac:dyDescent="0.25">
      <c r="A332" s="2" t="str">
        <f>'Posted Sales Invoice Lines'!A332</f>
        <v>PS-INV185009</v>
      </c>
      <c r="B332" s="2" t="str">
        <f>'Posted Sales Invoice Lines'!B332</f>
        <v>10719-6</v>
      </c>
      <c r="C332" s="2" t="str">
        <f>'Posted Sales Invoice Lines'!C332</f>
        <v>US Foods - Alcoa TN.</v>
      </c>
      <c r="D332" s="2" t="str">
        <f>'Posted Sales Invoice Lines'!E332</f>
        <v>F53025</v>
      </c>
      <c r="E332" s="2" t="str">
        <f>'Posted Sales Invoice Lines'!F332</f>
        <v>Cs. Sesame Challah Kaiser 8-12pk</v>
      </c>
      <c r="F332" s="3">
        <f>'Posted Sales Invoice Lines'!G332</f>
        <v>46063</v>
      </c>
      <c r="G332" s="9">
        <f>'Posted Sales Invoice Lines'!L332</f>
        <v>180</v>
      </c>
      <c r="H332" s="8">
        <f>'Posted Sales Invoice Lines'!N332</f>
        <v>39</v>
      </c>
      <c r="I332" s="8">
        <f>'Posted Sales Invoice Lines'!O332</f>
        <v>7020</v>
      </c>
    </row>
    <row r="333" spans="1:9" x14ac:dyDescent="0.25">
      <c r="A333" s="2" t="str">
        <f>'Posted Sales Invoice Lines'!A333</f>
        <v>PS-INV185009</v>
      </c>
      <c r="B333" s="2" t="str">
        <f>'Posted Sales Invoice Lines'!B333</f>
        <v>10719-6</v>
      </c>
      <c r="C333" s="2" t="str">
        <f>'Posted Sales Invoice Lines'!C333</f>
        <v>US Foods - Alcoa TN.</v>
      </c>
      <c r="D333" s="2" t="str">
        <f>'Posted Sales Invoice Lines'!E333</f>
        <v>F53087</v>
      </c>
      <c r="E333" s="2" t="str">
        <f>'Posted Sales Invoice Lines'!F333</f>
        <v>Cs. 3.5" Challah Bun 8-12 pk</v>
      </c>
      <c r="F333" s="3">
        <f>'Posted Sales Invoice Lines'!G333</f>
        <v>46063</v>
      </c>
      <c r="G333" s="9">
        <f>'Posted Sales Invoice Lines'!L333</f>
        <v>56</v>
      </c>
      <c r="H333" s="8">
        <f>'Posted Sales Invoice Lines'!N333</f>
        <v>36.24</v>
      </c>
      <c r="I333" s="8">
        <f>'Posted Sales Invoice Lines'!O333</f>
        <v>2029.44</v>
      </c>
    </row>
    <row r="334" spans="1:9" x14ac:dyDescent="0.25">
      <c r="A334" s="2" t="str">
        <f>'Posted Sales Invoice Lines'!A334</f>
        <v>PS-INV185009</v>
      </c>
      <c r="B334" s="2" t="str">
        <f>'Posted Sales Invoice Lines'!B334</f>
        <v>10719-6</v>
      </c>
      <c r="C334" s="2" t="str">
        <f>'Posted Sales Invoice Lines'!C334</f>
        <v>US Foods - Alcoa TN.</v>
      </c>
      <c r="D334" s="2" t="str">
        <f>'Posted Sales Invoice Lines'!E334</f>
        <v>F56251</v>
      </c>
      <c r="E334" s="2" t="str">
        <f>'Posted Sales Invoice Lines'!F334</f>
        <v>Cs. Challah Sliders Sliced 18-12pks</v>
      </c>
      <c r="F334" s="3">
        <f>'Posted Sales Invoice Lines'!G334</f>
        <v>46063</v>
      </c>
      <c r="G334" s="9">
        <f>'Posted Sales Invoice Lines'!L334</f>
        <v>12</v>
      </c>
      <c r="H334" s="8">
        <f>'Posted Sales Invoice Lines'!N334</f>
        <v>41.5</v>
      </c>
      <c r="I334" s="8">
        <f>'Posted Sales Invoice Lines'!O334</f>
        <v>498</v>
      </c>
    </row>
    <row r="335" spans="1:9" x14ac:dyDescent="0.25">
      <c r="A335" s="2" t="str">
        <f>'Posted Sales Invoice Lines'!A335</f>
        <v>PS-INV185009</v>
      </c>
      <c r="B335" s="2" t="str">
        <f>'Posted Sales Invoice Lines'!B335</f>
        <v>10719-6</v>
      </c>
      <c r="C335" s="2" t="str">
        <f>'Posted Sales Invoice Lines'!C335</f>
        <v>US Foods - Alcoa TN.</v>
      </c>
      <c r="D335" s="2" t="str">
        <f>'Posted Sales Invoice Lines'!E335</f>
        <v>F51066</v>
      </c>
      <c r="E335" s="2" t="str">
        <f>'Posted Sales Invoice Lines'!F335</f>
        <v>Cs. Honey Wheat 3/4" 8lvs</v>
      </c>
      <c r="F335" s="3">
        <f>'Posted Sales Invoice Lines'!G335</f>
        <v>46063</v>
      </c>
      <c r="G335" s="9">
        <f>'Posted Sales Invoice Lines'!L335</f>
        <v>8</v>
      </c>
      <c r="H335" s="8">
        <f>'Posted Sales Invoice Lines'!N335</f>
        <v>35.21</v>
      </c>
      <c r="I335" s="8">
        <f>'Posted Sales Invoice Lines'!O335</f>
        <v>281.68</v>
      </c>
    </row>
    <row r="336" spans="1:9" x14ac:dyDescent="0.25">
      <c r="A336" s="2" t="str">
        <f>'Posted Sales Invoice Lines'!A336</f>
        <v>PS-INV185009</v>
      </c>
      <c r="B336" s="2" t="str">
        <f>'Posted Sales Invoice Lines'!B336</f>
        <v>10719-6</v>
      </c>
      <c r="C336" s="2" t="str">
        <f>'Posted Sales Invoice Lines'!C336</f>
        <v>US Foods - Alcoa TN.</v>
      </c>
      <c r="D336" s="2" t="str">
        <f>'Posted Sales Invoice Lines'!E336</f>
        <v>F53001</v>
      </c>
      <c r="E336" s="2" t="str">
        <f>'Posted Sales Invoice Lines'!F336</f>
        <v>Cs. 4" Brioche Bun 8-12pk</v>
      </c>
      <c r="F336" s="3">
        <f>'Posted Sales Invoice Lines'!G336</f>
        <v>46063</v>
      </c>
      <c r="G336" s="9">
        <f>'Posted Sales Invoice Lines'!L336</f>
        <v>240</v>
      </c>
      <c r="H336" s="8">
        <f>'Posted Sales Invoice Lines'!N336</f>
        <v>45.49</v>
      </c>
      <c r="I336" s="8">
        <f>'Posted Sales Invoice Lines'!O336</f>
        <v>10917.6</v>
      </c>
    </row>
    <row r="337" spans="1:9" x14ac:dyDescent="0.25">
      <c r="A337" s="2" t="str">
        <f>'Posted Sales Invoice Lines'!A337</f>
        <v>PS-INV185009</v>
      </c>
      <c r="B337" s="2" t="str">
        <f>'Posted Sales Invoice Lines'!B337</f>
        <v>10719-6</v>
      </c>
      <c r="C337" s="2" t="str">
        <f>'Posted Sales Invoice Lines'!C337</f>
        <v>US Foods - Alcoa TN.</v>
      </c>
      <c r="D337" s="2" t="str">
        <f>'Posted Sales Invoice Lines'!E337</f>
        <v>F51084</v>
      </c>
      <c r="E337" s="2" t="str">
        <f>'Posted Sales Invoice Lines'!F337</f>
        <v>Cs. Wheatberry Hearth</v>
      </c>
      <c r="F337" s="3">
        <f>'Posted Sales Invoice Lines'!G337</f>
        <v>46063</v>
      </c>
      <c r="G337" s="9">
        <f>'Posted Sales Invoice Lines'!L337</f>
        <v>8</v>
      </c>
      <c r="H337" s="8">
        <f>'Posted Sales Invoice Lines'!N337</f>
        <v>52.47</v>
      </c>
      <c r="I337" s="8">
        <f>'Posted Sales Invoice Lines'!O337</f>
        <v>419.76</v>
      </c>
    </row>
    <row r="338" spans="1:9" x14ac:dyDescent="0.25">
      <c r="A338" s="2" t="str">
        <f>'Posted Sales Invoice Lines'!A338</f>
        <v>PS-INV185009</v>
      </c>
      <c r="B338" s="2" t="str">
        <f>'Posted Sales Invoice Lines'!B338</f>
        <v>10719-6</v>
      </c>
      <c r="C338" s="2" t="str">
        <f>'Posted Sales Invoice Lines'!C338</f>
        <v>US Foods - Alcoa TN.</v>
      </c>
      <c r="D338" s="2" t="str">
        <f>'Posted Sales Invoice Lines'!E338</f>
        <v>F51024</v>
      </c>
      <c r="E338" s="2" t="str">
        <f>'Posted Sales Invoice Lines'!F338</f>
        <v>Cs. Marble Rye 5/8" 8lvs</v>
      </c>
      <c r="F338" s="3">
        <f>'Posted Sales Invoice Lines'!G338</f>
        <v>46063</v>
      </c>
      <c r="G338" s="9">
        <f>'Posted Sales Invoice Lines'!L338</f>
        <v>8</v>
      </c>
      <c r="H338" s="8">
        <f>'Posted Sales Invoice Lines'!N338</f>
        <v>54</v>
      </c>
      <c r="I338" s="8">
        <f>'Posted Sales Invoice Lines'!O338</f>
        <v>432</v>
      </c>
    </row>
    <row r="339" spans="1:9" x14ac:dyDescent="0.25">
      <c r="A339" s="2" t="str">
        <f>'Posted Sales Invoice Lines'!A339</f>
        <v>PS-INV185009</v>
      </c>
      <c r="B339" s="2" t="str">
        <f>'Posted Sales Invoice Lines'!B339</f>
        <v>10719-6</v>
      </c>
      <c r="C339" s="2" t="str">
        <f>'Posted Sales Invoice Lines'!C339</f>
        <v>US Foods - Alcoa TN.</v>
      </c>
      <c r="D339" s="2" t="str">
        <f>'Posted Sales Invoice Lines'!E339</f>
        <v>F51034</v>
      </c>
      <c r="E339" s="2" t="str">
        <f>'Posted Sales Invoice Lines'!F339</f>
        <v>Cs. Sour Dough Hearth 5/8" 8lvs</v>
      </c>
      <c r="F339" s="3">
        <f>'Posted Sales Invoice Lines'!G339</f>
        <v>46063</v>
      </c>
      <c r="G339" s="9">
        <f>'Posted Sales Invoice Lines'!L339</f>
        <v>8</v>
      </c>
      <c r="H339" s="8">
        <f>'Posted Sales Invoice Lines'!N339</f>
        <v>43.2</v>
      </c>
      <c r="I339" s="8">
        <f>'Posted Sales Invoice Lines'!O339</f>
        <v>345.6</v>
      </c>
    </row>
    <row r="340" spans="1:9" x14ac:dyDescent="0.25">
      <c r="A340" s="2" t="str">
        <f>'Posted Sales Invoice Lines'!A340</f>
        <v>PS-INV185009</v>
      </c>
      <c r="B340" s="2" t="str">
        <f>'Posted Sales Invoice Lines'!B340</f>
        <v>10719-6</v>
      </c>
      <c r="C340" s="2" t="str">
        <f>'Posted Sales Invoice Lines'!C340</f>
        <v>US Foods - Alcoa TN.</v>
      </c>
      <c r="D340" s="2" t="str">
        <f>'Posted Sales Invoice Lines'!E340</f>
        <v>F51157</v>
      </c>
      <c r="E340" s="2" t="str">
        <f>'Posted Sales Invoice Lines'!F340</f>
        <v>Cs. Challah Hearth 7/8" 8lvs</v>
      </c>
      <c r="F340" s="3">
        <f>'Posted Sales Invoice Lines'!G340</f>
        <v>46063</v>
      </c>
      <c r="G340" s="9">
        <f>'Posted Sales Invoice Lines'!L340</f>
        <v>28</v>
      </c>
      <c r="H340" s="8">
        <f>'Posted Sales Invoice Lines'!N340</f>
        <v>44.15</v>
      </c>
      <c r="I340" s="8">
        <f>'Posted Sales Invoice Lines'!O340</f>
        <v>1236.2</v>
      </c>
    </row>
    <row r="341" spans="1:9" x14ac:dyDescent="0.25">
      <c r="A341" s="2" t="str">
        <f>'Posted Sales Invoice Lines'!A341</f>
        <v>PS-INV185009</v>
      </c>
      <c r="B341" s="2" t="str">
        <f>'Posted Sales Invoice Lines'!B341</f>
        <v>10719-6</v>
      </c>
      <c r="C341" s="2" t="str">
        <f>'Posted Sales Invoice Lines'!C341</f>
        <v>US Foods - Alcoa TN.</v>
      </c>
      <c r="D341" s="2" t="str">
        <f>'Posted Sales Invoice Lines'!E341</f>
        <v>F53028</v>
      </c>
      <c r="E341" s="2" t="str">
        <f>'Posted Sales Invoice Lines'!F341</f>
        <v>Cs. 4" Sour Dough Bun 8-12pk</v>
      </c>
      <c r="F341" s="3">
        <f>'Posted Sales Invoice Lines'!G341</f>
        <v>46063</v>
      </c>
      <c r="G341" s="9">
        <f>'Posted Sales Invoice Lines'!L341</f>
        <v>4</v>
      </c>
      <c r="H341" s="8">
        <f>'Posted Sales Invoice Lines'!N341</f>
        <v>47.4</v>
      </c>
      <c r="I341" s="8">
        <f>'Posted Sales Invoice Lines'!O341</f>
        <v>189.6</v>
      </c>
    </row>
    <row r="342" spans="1:9" x14ac:dyDescent="0.25">
      <c r="A342" s="2" t="str">
        <f>'Posted Sales Invoice Lines'!A342</f>
        <v>PS-INV185009</v>
      </c>
      <c r="B342" s="2" t="str">
        <f>'Posted Sales Invoice Lines'!B342</f>
        <v>10719-6</v>
      </c>
      <c r="C342" s="2" t="str">
        <f>'Posted Sales Invoice Lines'!C342</f>
        <v>US Foods - Alcoa TN.</v>
      </c>
      <c r="D342" s="2" t="str">
        <f>'Posted Sales Invoice Lines'!E342</f>
        <v>F53127</v>
      </c>
      <c r="E342" s="2" t="str">
        <f>'Posted Sales Invoice Lines'!F342</f>
        <v>Cs. 8" Philly 10-6pks</v>
      </c>
      <c r="F342" s="3">
        <f>'Posted Sales Invoice Lines'!G342</f>
        <v>46063</v>
      </c>
      <c r="G342" s="9">
        <f>'Posted Sales Invoice Lines'!L342</f>
        <v>84</v>
      </c>
      <c r="H342" s="8">
        <f>'Posted Sales Invoice Lines'!N342</f>
        <v>42.37</v>
      </c>
      <c r="I342" s="8">
        <f>'Posted Sales Invoice Lines'!O342</f>
        <v>3559.08</v>
      </c>
    </row>
    <row r="343" spans="1:9" x14ac:dyDescent="0.25">
      <c r="A343" s="2" t="str">
        <f>'Posted Sales Invoice Lines'!A343</f>
        <v>PS-INV185009</v>
      </c>
      <c r="B343" s="2" t="str">
        <f>'Posted Sales Invoice Lines'!B343</f>
        <v>10719-6</v>
      </c>
      <c r="C343" s="2" t="str">
        <f>'Posted Sales Invoice Lines'!C343</f>
        <v>US Foods - Alcoa TN.</v>
      </c>
      <c r="D343" s="2" t="str">
        <f>'Posted Sales Invoice Lines'!E343</f>
        <v>F51343</v>
      </c>
      <c r="E343" s="2" t="str">
        <f>'Posted Sales Invoice Lines'!F343</f>
        <v>Cs. White Bread Pullman 3/4" 10lvs</v>
      </c>
      <c r="F343" s="3">
        <f>'Posted Sales Invoice Lines'!G343</f>
        <v>46063</v>
      </c>
      <c r="G343" s="9">
        <f>'Posted Sales Invoice Lines'!L343</f>
        <v>8</v>
      </c>
      <c r="H343" s="8">
        <f>'Posted Sales Invoice Lines'!N343</f>
        <v>42.22</v>
      </c>
      <c r="I343" s="8">
        <f>'Posted Sales Invoice Lines'!O343</f>
        <v>337.76</v>
      </c>
    </row>
    <row r="344" spans="1:9" x14ac:dyDescent="0.25">
      <c r="A344" s="2" t="str">
        <f>'Posted Sales Invoice Lines'!A344</f>
        <v>PS-INV185009</v>
      </c>
      <c r="B344" s="2" t="str">
        <f>'Posted Sales Invoice Lines'!B344</f>
        <v>10719-6</v>
      </c>
      <c r="C344" s="2" t="str">
        <f>'Posted Sales Invoice Lines'!C344</f>
        <v>US Foods - Alcoa TN.</v>
      </c>
      <c r="D344" s="2" t="str">
        <f>'Posted Sales Invoice Lines'!E344</f>
        <v>F52032</v>
      </c>
      <c r="E344" s="2" t="str">
        <f>'Posted Sales Invoice Lines'!F344</f>
        <v>Cs. 8oz Sour Dough Boule 12-2pk</v>
      </c>
      <c r="F344" s="3">
        <f>'Posted Sales Invoice Lines'!G344</f>
        <v>46063</v>
      </c>
      <c r="G344" s="9">
        <f>'Posted Sales Invoice Lines'!L344</f>
        <v>28</v>
      </c>
      <c r="H344" s="8">
        <f>'Posted Sales Invoice Lines'!N344</f>
        <v>41.25</v>
      </c>
      <c r="I344" s="8">
        <f>'Posted Sales Invoice Lines'!O344</f>
        <v>1155</v>
      </c>
    </row>
    <row r="345" spans="1:9" x14ac:dyDescent="0.25">
      <c r="A345" s="2" t="str">
        <f>'Posted Sales Invoice Lines'!A345</f>
        <v>PS-INV185009</v>
      </c>
      <c r="B345" s="2" t="str">
        <f>'Posted Sales Invoice Lines'!B345</f>
        <v>10719-6</v>
      </c>
      <c r="C345" s="2" t="str">
        <f>'Posted Sales Invoice Lines'!C345</f>
        <v>US Foods - Alcoa TN.</v>
      </c>
      <c r="D345" s="2" t="str">
        <f>'Posted Sales Invoice Lines'!E345</f>
        <v>F53024</v>
      </c>
      <c r="E345" s="2" t="str">
        <f>'Posted Sales Invoice Lines'!F345</f>
        <v>Cs. 4" Challah Kaiser 8-12pk</v>
      </c>
      <c r="F345" s="3">
        <f>'Posted Sales Invoice Lines'!G345</f>
        <v>46063</v>
      </c>
      <c r="G345" s="9">
        <f>'Posted Sales Invoice Lines'!L345</f>
        <v>12</v>
      </c>
      <c r="H345" s="8">
        <f>'Posted Sales Invoice Lines'!N345</f>
        <v>40.22</v>
      </c>
      <c r="I345" s="8">
        <f>'Posted Sales Invoice Lines'!O345</f>
        <v>482.64</v>
      </c>
    </row>
    <row r="346" spans="1:9" x14ac:dyDescent="0.25">
      <c r="A346" s="2" t="str">
        <f>'Posted Sales Invoice Lines'!A346</f>
        <v>PS-INV185009</v>
      </c>
      <c r="B346" s="2" t="str">
        <f>'Posted Sales Invoice Lines'!B346</f>
        <v>10719-6</v>
      </c>
      <c r="C346" s="2" t="str">
        <f>'Posted Sales Invoice Lines'!C346</f>
        <v>US Foods - Alcoa TN.</v>
      </c>
      <c r="D346" s="2" t="str">
        <f>'Posted Sales Invoice Lines'!E346</f>
        <v>F52035</v>
      </c>
      <c r="E346" s="2" t="str">
        <f>'Posted Sales Invoice Lines'!F346</f>
        <v>Cs. French Boule 12-2pk</v>
      </c>
      <c r="F346" s="3">
        <f>'Posted Sales Invoice Lines'!G346</f>
        <v>46063</v>
      </c>
      <c r="G346" s="9">
        <f>'Posted Sales Invoice Lines'!L346</f>
        <v>28</v>
      </c>
      <c r="H346" s="8">
        <f>'Posted Sales Invoice Lines'!N346</f>
        <v>32.549999999999997</v>
      </c>
      <c r="I346" s="8">
        <f>'Posted Sales Invoice Lines'!O346</f>
        <v>911.4</v>
      </c>
    </row>
    <row r="347" spans="1:9" x14ac:dyDescent="0.25">
      <c r="A347" s="2" t="str">
        <f>'Posted Sales Invoice Lines'!A347</f>
        <v>PS-INV185012</v>
      </c>
      <c r="B347" s="2" t="str">
        <f>'Posted Sales Invoice Lines'!B347</f>
        <v>Z10700</v>
      </c>
      <c r="C347" s="2" t="str">
        <f>'Posted Sales Invoice Lines'!C347</f>
        <v>Sysco-Charlotte</v>
      </c>
      <c r="D347" s="2" t="str">
        <f>'Posted Sales Invoice Lines'!E347</f>
        <v>F51384</v>
      </c>
      <c r="E347" s="2" t="str">
        <f>'Posted Sales Invoice Lines'!F347</f>
        <v>Cs. Challah Pullman 7/8"</v>
      </c>
      <c r="F347" s="3">
        <f>'Posted Sales Invoice Lines'!G347</f>
        <v>46056</v>
      </c>
      <c r="G347" s="9">
        <f>'Posted Sales Invoice Lines'!L347</f>
        <v>240</v>
      </c>
      <c r="H347" s="8">
        <f>'Posted Sales Invoice Lines'!N347</f>
        <v>51.38</v>
      </c>
      <c r="I347" s="8">
        <f>'Posted Sales Invoice Lines'!O347</f>
        <v>12331.2</v>
      </c>
    </row>
    <row r="348" spans="1:9" x14ac:dyDescent="0.25">
      <c r="A348" s="2" t="str">
        <f>'Posted Sales Invoice Lines'!A348</f>
        <v>PS-INV185012</v>
      </c>
      <c r="B348" s="2" t="str">
        <f>'Posted Sales Invoice Lines'!B348</f>
        <v>Z10700</v>
      </c>
      <c r="C348" s="2" t="str">
        <f>'Posted Sales Invoice Lines'!C348</f>
        <v>Sysco-Charlotte</v>
      </c>
      <c r="D348" s="2" t="str">
        <f>'Posted Sales Invoice Lines'!E348</f>
        <v>F51077</v>
      </c>
      <c r="E348" s="2" t="str">
        <f>'Posted Sales Invoice Lines'!F348</f>
        <v>Cs. Oatie Multigrain 5/8" 8lvs</v>
      </c>
      <c r="F348" s="3">
        <f>'Posted Sales Invoice Lines'!G348</f>
        <v>46056</v>
      </c>
      <c r="G348" s="9">
        <f>'Posted Sales Invoice Lines'!L348</f>
        <v>12</v>
      </c>
      <c r="H348" s="8">
        <f>'Posted Sales Invoice Lines'!N348</f>
        <v>54.38</v>
      </c>
      <c r="I348" s="8">
        <f>'Posted Sales Invoice Lines'!O348</f>
        <v>652.55999999999995</v>
      </c>
    </row>
    <row r="349" spans="1:9" x14ac:dyDescent="0.25">
      <c r="A349" s="2" t="str">
        <f>'Posted Sales Invoice Lines'!A349</f>
        <v>PS-INV185012</v>
      </c>
      <c r="B349" s="2" t="str">
        <f>'Posted Sales Invoice Lines'!B349</f>
        <v>Z10700</v>
      </c>
      <c r="C349" s="2" t="str">
        <f>'Posted Sales Invoice Lines'!C349</f>
        <v>Sysco-Charlotte</v>
      </c>
      <c r="D349" s="2" t="str">
        <f>'Posted Sales Invoice Lines'!E349</f>
        <v>F52544</v>
      </c>
      <c r="E349" s="2" t="str">
        <f>'Posted Sales Invoice Lines'!F349</f>
        <v>Cs. Sour Dough Batard 5/8" 8lvs</v>
      </c>
      <c r="F349" s="3">
        <f>'Posted Sales Invoice Lines'!G349</f>
        <v>46056</v>
      </c>
      <c r="G349" s="9">
        <f>'Posted Sales Invoice Lines'!L349</f>
        <v>125</v>
      </c>
      <c r="H349" s="8">
        <f>'Posted Sales Invoice Lines'!N349</f>
        <v>61.02</v>
      </c>
      <c r="I349" s="8">
        <f>'Posted Sales Invoice Lines'!O349</f>
        <v>7627.5</v>
      </c>
    </row>
    <row r="350" spans="1:9" x14ac:dyDescent="0.25">
      <c r="A350" s="2" t="str">
        <f>'Posted Sales Invoice Lines'!A350</f>
        <v>PS-INV185012</v>
      </c>
      <c r="B350" s="2" t="str">
        <f>'Posted Sales Invoice Lines'!B350</f>
        <v>Z10700</v>
      </c>
      <c r="C350" s="2" t="str">
        <f>'Posted Sales Invoice Lines'!C350</f>
        <v>Sysco-Charlotte</v>
      </c>
      <c r="D350" s="2" t="str">
        <f>'Posted Sales Invoice Lines'!E350</f>
        <v>F51044</v>
      </c>
      <c r="E350" s="2" t="str">
        <f>'Posted Sales Invoice Lines'!F350</f>
        <v>Cs. Vienna 5/8" 8lvs</v>
      </c>
      <c r="F350" s="3">
        <f>'Posted Sales Invoice Lines'!G350</f>
        <v>46056</v>
      </c>
      <c r="G350" s="9">
        <f>'Posted Sales Invoice Lines'!L350</f>
        <v>84</v>
      </c>
      <c r="H350" s="8">
        <f>'Posted Sales Invoice Lines'!N350</f>
        <v>28.5</v>
      </c>
      <c r="I350" s="8">
        <f>'Posted Sales Invoice Lines'!O350</f>
        <v>2394</v>
      </c>
    </row>
    <row r="351" spans="1:9" x14ac:dyDescent="0.25">
      <c r="A351" s="2" t="str">
        <f>'Posted Sales Invoice Lines'!A351</f>
        <v>PS-INV185015</v>
      </c>
      <c r="B351" s="2" t="str">
        <f>'Posted Sales Invoice Lines'!B351</f>
        <v>20334</v>
      </c>
      <c r="C351" s="2" t="str">
        <f>'Posted Sales Invoice Lines'!C351</f>
        <v>Sysco Atlanta</v>
      </c>
      <c r="D351" s="2" t="str">
        <f>'Posted Sales Invoice Lines'!E351</f>
        <v>F53116</v>
      </c>
      <c r="E351" s="2" t="str">
        <f>'Posted Sales Invoice Lines'!F351</f>
        <v>Cs. 7" French Hinged 12</v>
      </c>
      <c r="F351" s="3">
        <f>'Posted Sales Invoice Lines'!G351</f>
        <v>46058</v>
      </c>
      <c r="G351" s="9">
        <f>'Posted Sales Invoice Lines'!L351</f>
        <v>28</v>
      </c>
      <c r="H351" s="8">
        <f>'Posted Sales Invoice Lines'!N351</f>
        <v>31.42</v>
      </c>
      <c r="I351" s="8">
        <f>'Posted Sales Invoice Lines'!O351</f>
        <v>879.76</v>
      </c>
    </row>
    <row r="352" spans="1:9" x14ac:dyDescent="0.25">
      <c r="A352" s="2" t="str">
        <f>'Posted Sales Invoice Lines'!A352</f>
        <v>PS-INV185015</v>
      </c>
      <c r="B352" s="2" t="str">
        <f>'Posted Sales Invoice Lines'!B352</f>
        <v>20334</v>
      </c>
      <c r="C352" s="2" t="str">
        <f>'Posted Sales Invoice Lines'!C352</f>
        <v>Sysco Atlanta</v>
      </c>
      <c r="D352" s="2" t="str">
        <f>'Posted Sales Invoice Lines'!E352</f>
        <v>F53087</v>
      </c>
      <c r="E352" s="2" t="str">
        <f>'Posted Sales Invoice Lines'!F352</f>
        <v>Cs. 3.5" Challah Bun 8-12 pk</v>
      </c>
      <c r="F352" s="3">
        <f>'Posted Sales Invoice Lines'!G352</f>
        <v>46058</v>
      </c>
      <c r="G352" s="9">
        <f>'Posted Sales Invoice Lines'!L352</f>
        <v>112</v>
      </c>
      <c r="H352" s="8">
        <f>'Posted Sales Invoice Lines'!N352</f>
        <v>34</v>
      </c>
      <c r="I352" s="8">
        <f>'Posted Sales Invoice Lines'!O352</f>
        <v>3808</v>
      </c>
    </row>
    <row r="353" spans="1:9" x14ac:dyDescent="0.25">
      <c r="A353" s="2" t="str">
        <f>'Posted Sales Invoice Lines'!A353</f>
        <v>PS-INV185015</v>
      </c>
      <c r="B353" s="2" t="str">
        <f>'Posted Sales Invoice Lines'!B353</f>
        <v>20334</v>
      </c>
      <c r="C353" s="2" t="str">
        <f>'Posted Sales Invoice Lines'!C353</f>
        <v>Sysco Atlanta</v>
      </c>
      <c r="D353" s="2" t="str">
        <f>'Posted Sales Invoice Lines'!E353</f>
        <v>F53001</v>
      </c>
      <c r="E353" s="2" t="str">
        <f>'Posted Sales Invoice Lines'!F353</f>
        <v>Cs. 4" Brioche Bun 8-12pk</v>
      </c>
      <c r="F353" s="3">
        <f>'Posted Sales Invoice Lines'!G353</f>
        <v>46058</v>
      </c>
      <c r="G353" s="9">
        <f>'Posted Sales Invoice Lines'!L353</f>
        <v>112</v>
      </c>
      <c r="H353" s="8">
        <f>'Posted Sales Invoice Lines'!N353</f>
        <v>43.36</v>
      </c>
      <c r="I353" s="8">
        <f>'Posted Sales Invoice Lines'!O353</f>
        <v>4856.32</v>
      </c>
    </row>
    <row r="354" spans="1:9" x14ac:dyDescent="0.25">
      <c r="A354" s="2" t="str">
        <f>'Posted Sales Invoice Lines'!A354</f>
        <v>PS-INV185015</v>
      </c>
      <c r="B354" s="2" t="str">
        <f>'Posted Sales Invoice Lines'!B354</f>
        <v>20334</v>
      </c>
      <c r="C354" s="2" t="str">
        <f>'Posted Sales Invoice Lines'!C354</f>
        <v>Sysco Atlanta</v>
      </c>
      <c r="D354" s="2" t="str">
        <f>'Posted Sales Invoice Lines'!E354</f>
        <v>F51034</v>
      </c>
      <c r="E354" s="2" t="str">
        <f>'Posted Sales Invoice Lines'!F354</f>
        <v>Cs. Sour Dough Hearth 5/8" 8lvs</v>
      </c>
      <c r="F354" s="3">
        <f>'Posted Sales Invoice Lines'!G354</f>
        <v>46058</v>
      </c>
      <c r="G354" s="9">
        <f>'Posted Sales Invoice Lines'!L354</f>
        <v>20</v>
      </c>
      <c r="H354" s="8">
        <f>'Posted Sales Invoice Lines'!N354</f>
        <v>41.2</v>
      </c>
      <c r="I354" s="8">
        <f>'Posted Sales Invoice Lines'!O354</f>
        <v>824</v>
      </c>
    </row>
    <row r="355" spans="1:9" x14ac:dyDescent="0.25">
      <c r="A355" s="2" t="str">
        <f>'Posted Sales Invoice Lines'!A355</f>
        <v>PS-INV185015</v>
      </c>
      <c r="B355" s="2" t="str">
        <f>'Posted Sales Invoice Lines'!B355</f>
        <v>20334</v>
      </c>
      <c r="C355" s="2" t="str">
        <f>'Posted Sales Invoice Lines'!C355</f>
        <v>Sysco Atlanta</v>
      </c>
      <c r="D355" s="2" t="str">
        <f>'Posted Sales Invoice Lines'!E355</f>
        <v>F53140</v>
      </c>
      <c r="E355" s="2" t="str">
        <f>'Posted Sales Invoice Lines'!F355</f>
        <v>Cs. Knuckies 8" White 12-6pk</v>
      </c>
      <c r="F355" s="3">
        <f>'Posted Sales Invoice Lines'!G355</f>
        <v>46058</v>
      </c>
      <c r="G355" s="9">
        <f>'Posted Sales Invoice Lines'!L355</f>
        <v>40</v>
      </c>
      <c r="H355" s="8">
        <f>'Posted Sales Invoice Lines'!N355</f>
        <v>41</v>
      </c>
      <c r="I355" s="8">
        <f>'Posted Sales Invoice Lines'!O355</f>
        <v>1640</v>
      </c>
    </row>
    <row r="356" spans="1:9" x14ac:dyDescent="0.25">
      <c r="A356" s="2" t="str">
        <f>'Posted Sales Invoice Lines'!A356</f>
        <v>PS-INV185031</v>
      </c>
      <c r="B356" s="2" t="str">
        <f>'Posted Sales Invoice Lines'!B356</f>
        <v>10719-2</v>
      </c>
      <c r="C356" s="2" t="str">
        <f>'Posted Sales Invoice Lines'!C356</f>
        <v>US Foods - Fairburn</v>
      </c>
      <c r="D356" s="2" t="str">
        <f>'Posted Sales Invoice Lines'!E356</f>
        <v>F53005</v>
      </c>
      <c r="E356" s="2" t="str">
        <f>'Posted Sales Invoice Lines'!F356</f>
        <v>Cs. 4" Gourmet PDS Bun 8-12pk</v>
      </c>
      <c r="F356" s="3">
        <f>'Posted Sales Invoice Lines'!G356</f>
        <v>46063</v>
      </c>
      <c r="G356" s="9">
        <f>'Posted Sales Invoice Lines'!L356</f>
        <v>52</v>
      </c>
      <c r="H356" s="8">
        <f>'Posted Sales Invoice Lines'!N356</f>
        <v>40.11</v>
      </c>
      <c r="I356" s="8">
        <f>'Posted Sales Invoice Lines'!O356</f>
        <v>2085.7199999999998</v>
      </c>
    </row>
    <row r="357" spans="1:9" x14ac:dyDescent="0.25">
      <c r="A357" s="2" t="str">
        <f>'Posted Sales Invoice Lines'!A357</f>
        <v>PS-INV185031</v>
      </c>
      <c r="B357" s="2" t="str">
        <f>'Posted Sales Invoice Lines'!B357</f>
        <v>10719-2</v>
      </c>
      <c r="C357" s="2" t="str">
        <f>'Posted Sales Invoice Lines'!C357</f>
        <v>US Foods - Fairburn</v>
      </c>
      <c r="D357" s="2" t="str">
        <f>'Posted Sales Invoice Lines'!E357</f>
        <v>F56560</v>
      </c>
      <c r="E357" s="2" t="str">
        <f>'Posted Sales Invoice Lines'!F357</f>
        <v>Gluten Free 3.5" Hamburger 36ct</v>
      </c>
      <c r="F357" s="3">
        <f>'Posted Sales Invoice Lines'!G357</f>
        <v>46063</v>
      </c>
      <c r="G357" s="9">
        <f>'Posted Sales Invoice Lines'!L357</f>
        <v>12</v>
      </c>
      <c r="H357" s="8">
        <f>'Posted Sales Invoice Lines'!N357</f>
        <v>48.57</v>
      </c>
      <c r="I357" s="8">
        <f>'Posted Sales Invoice Lines'!O357</f>
        <v>582.84</v>
      </c>
    </row>
    <row r="358" spans="1:9" x14ac:dyDescent="0.25">
      <c r="A358" s="2" t="str">
        <f>'Posted Sales Invoice Lines'!A358</f>
        <v>PS-INV185031</v>
      </c>
      <c r="B358" s="2" t="str">
        <f>'Posted Sales Invoice Lines'!B358</f>
        <v>10719-2</v>
      </c>
      <c r="C358" s="2" t="str">
        <f>'Posted Sales Invoice Lines'!C358</f>
        <v>US Foods - Fairburn</v>
      </c>
      <c r="D358" s="2" t="str">
        <f>'Posted Sales Invoice Lines'!E358</f>
        <v>F53010</v>
      </c>
      <c r="E358" s="2" t="str">
        <f>'Posted Sales Invoice Lines'!F358</f>
        <v>Cs. Onion Roll 8-12pk</v>
      </c>
      <c r="F358" s="3">
        <f>'Posted Sales Invoice Lines'!G358</f>
        <v>46063</v>
      </c>
      <c r="G358" s="9">
        <f>'Posted Sales Invoice Lines'!L358</f>
        <v>36</v>
      </c>
      <c r="H358" s="8">
        <f>'Posted Sales Invoice Lines'!N358</f>
        <v>40.85</v>
      </c>
      <c r="I358" s="8">
        <f>'Posted Sales Invoice Lines'!O358</f>
        <v>1470.6</v>
      </c>
    </row>
    <row r="359" spans="1:9" x14ac:dyDescent="0.25">
      <c r="A359" s="2" t="str">
        <f>'Posted Sales Invoice Lines'!A359</f>
        <v>PS-INV185031</v>
      </c>
      <c r="B359" s="2" t="str">
        <f>'Posted Sales Invoice Lines'!B359</f>
        <v>10719-2</v>
      </c>
      <c r="C359" s="2" t="str">
        <f>'Posted Sales Invoice Lines'!C359</f>
        <v>US Foods - Fairburn</v>
      </c>
      <c r="D359" s="2" t="str">
        <f>'Posted Sales Invoice Lines'!E359</f>
        <v>F53122</v>
      </c>
      <c r="E359" s="2" t="str">
        <f>'Posted Sales Invoice Lines'!F359</f>
        <v>Cs. 8" Italian Hinged 12-6pk</v>
      </c>
      <c r="F359" s="3">
        <f>'Posted Sales Invoice Lines'!G359</f>
        <v>46063</v>
      </c>
      <c r="G359" s="9">
        <f>'Posted Sales Invoice Lines'!L359</f>
        <v>140</v>
      </c>
      <c r="H359" s="8">
        <f>'Posted Sales Invoice Lines'!N359</f>
        <v>40.9</v>
      </c>
      <c r="I359" s="8">
        <f>'Posted Sales Invoice Lines'!O359</f>
        <v>5726</v>
      </c>
    </row>
    <row r="360" spans="1:9" x14ac:dyDescent="0.25">
      <c r="A360" s="2" t="str">
        <f>'Posted Sales Invoice Lines'!A360</f>
        <v>PS-INV185031</v>
      </c>
      <c r="B360" s="2" t="str">
        <f>'Posted Sales Invoice Lines'!B360</f>
        <v>10719-2</v>
      </c>
      <c r="C360" s="2" t="str">
        <f>'Posted Sales Invoice Lines'!C360</f>
        <v>US Foods - Fairburn</v>
      </c>
      <c r="D360" s="2" t="str">
        <f>'Posted Sales Invoice Lines'!E360</f>
        <v>F53003</v>
      </c>
      <c r="E360" s="2" t="str">
        <f>'Posted Sales Invoice Lines'!F360</f>
        <v>Cs. 4" Unseeded Challah Bun 8-12pk</v>
      </c>
      <c r="F360" s="3">
        <f>'Posted Sales Invoice Lines'!G360</f>
        <v>46063</v>
      </c>
      <c r="G360" s="9">
        <f>'Posted Sales Invoice Lines'!L360</f>
        <v>36</v>
      </c>
      <c r="H360" s="8">
        <f>'Posted Sales Invoice Lines'!N360</f>
        <v>38.08</v>
      </c>
      <c r="I360" s="8">
        <f>'Posted Sales Invoice Lines'!O360</f>
        <v>1370.88</v>
      </c>
    </row>
    <row r="361" spans="1:9" x14ac:dyDescent="0.25">
      <c r="A361" s="2" t="str">
        <f>'Posted Sales Invoice Lines'!A361</f>
        <v>PS-INV185031</v>
      </c>
      <c r="B361" s="2" t="str">
        <f>'Posted Sales Invoice Lines'!B361</f>
        <v>10719-2</v>
      </c>
      <c r="C361" s="2" t="str">
        <f>'Posted Sales Invoice Lines'!C361</f>
        <v>US Foods - Fairburn</v>
      </c>
      <c r="D361" s="2" t="str">
        <f>'Posted Sales Invoice Lines'!E361</f>
        <v>F53024</v>
      </c>
      <c r="E361" s="2" t="str">
        <f>'Posted Sales Invoice Lines'!F361</f>
        <v>Cs. 4" Challah Kaiser 8-12pk</v>
      </c>
      <c r="F361" s="3">
        <f>'Posted Sales Invoice Lines'!G361</f>
        <v>46063</v>
      </c>
      <c r="G361" s="9">
        <f>'Posted Sales Invoice Lines'!L361</f>
        <v>72</v>
      </c>
      <c r="H361" s="8">
        <f>'Posted Sales Invoice Lines'!N361</f>
        <v>40.22</v>
      </c>
      <c r="I361" s="8">
        <f>'Posted Sales Invoice Lines'!O361</f>
        <v>2895.84</v>
      </c>
    </row>
    <row r="362" spans="1:9" x14ac:dyDescent="0.25">
      <c r="A362" s="2" t="str">
        <f>'Posted Sales Invoice Lines'!A362</f>
        <v>PS-INV185051</v>
      </c>
      <c r="B362" s="2" t="str">
        <f>'Posted Sales Invoice Lines'!B362</f>
        <v>13128</v>
      </c>
      <c r="C362" s="2" t="str">
        <f>'Posted Sales Invoice Lines'!C362</f>
        <v>Gordon Food Service - Shepherdsville</v>
      </c>
      <c r="D362" s="2" t="str">
        <f>'Posted Sales Invoice Lines'!E362</f>
        <v>F51084</v>
      </c>
      <c r="E362" s="2" t="str">
        <f>'Posted Sales Invoice Lines'!F362</f>
        <v>Cs. Wheatberry Hearth</v>
      </c>
      <c r="F362" s="3">
        <f>'Posted Sales Invoice Lines'!G362</f>
        <v>46057</v>
      </c>
      <c r="G362" s="9">
        <f>'Posted Sales Invoice Lines'!L362</f>
        <v>80</v>
      </c>
      <c r="H362" s="8">
        <f>'Posted Sales Invoice Lines'!N362</f>
        <v>33.299999999999997</v>
      </c>
      <c r="I362" s="8">
        <f>'Posted Sales Invoice Lines'!O362</f>
        <v>2664</v>
      </c>
    </row>
    <row r="363" spans="1:9" x14ac:dyDescent="0.25">
      <c r="A363" s="2" t="str">
        <f>'Posted Sales Invoice Lines'!A363</f>
        <v>PS-INV185051</v>
      </c>
      <c r="B363" s="2" t="str">
        <f>'Posted Sales Invoice Lines'!B363</f>
        <v>13128</v>
      </c>
      <c r="C363" s="2" t="str">
        <f>'Posted Sales Invoice Lines'!C363</f>
        <v>Gordon Food Service - Shepherdsville</v>
      </c>
      <c r="D363" s="2" t="str">
        <f>'Posted Sales Invoice Lines'!E363</f>
        <v>F53001</v>
      </c>
      <c r="E363" s="2" t="str">
        <f>'Posted Sales Invoice Lines'!F363</f>
        <v>Cs. 4" Brioche Bun 8-12pk</v>
      </c>
      <c r="F363" s="3">
        <f>'Posted Sales Invoice Lines'!G363</f>
        <v>46057</v>
      </c>
      <c r="G363" s="9">
        <f>'Posted Sales Invoice Lines'!L363</f>
        <v>224</v>
      </c>
      <c r="H363" s="8">
        <f>'Posted Sales Invoice Lines'!N363</f>
        <v>36.82</v>
      </c>
      <c r="I363" s="8">
        <f>'Posted Sales Invoice Lines'!O363</f>
        <v>8247.68</v>
      </c>
    </row>
    <row r="364" spans="1:9" x14ac:dyDescent="0.25">
      <c r="A364" s="2" t="str">
        <f>'Posted Sales Invoice Lines'!A364</f>
        <v>PS-INV185051</v>
      </c>
      <c r="B364" s="2" t="str">
        <f>'Posted Sales Invoice Lines'!B364</f>
        <v>13128</v>
      </c>
      <c r="C364" s="2" t="str">
        <f>'Posted Sales Invoice Lines'!C364</f>
        <v>Gordon Food Service - Shepherdsville</v>
      </c>
      <c r="D364" s="2" t="str">
        <f>'Posted Sales Invoice Lines'!E364</f>
        <v>F51114</v>
      </c>
      <c r="E364" s="2" t="str">
        <f>'Posted Sales Invoice Lines'!F364</f>
        <v>Cs. Old Fashioned Hearth 5/8" 8lvs</v>
      </c>
      <c r="F364" s="3">
        <f>'Posted Sales Invoice Lines'!G364</f>
        <v>46057</v>
      </c>
      <c r="G364" s="9">
        <f>'Posted Sales Invoice Lines'!L364</f>
        <v>96</v>
      </c>
      <c r="H364" s="8">
        <f>'Posted Sales Invoice Lines'!N364</f>
        <v>39.700000000000003</v>
      </c>
      <c r="I364" s="8">
        <f>'Posted Sales Invoice Lines'!O364</f>
        <v>3811.2</v>
      </c>
    </row>
    <row r="365" spans="1:9" x14ac:dyDescent="0.25">
      <c r="A365" s="2" t="str">
        <f>'Posted Sales Invoice Lines'!A365</f>
        <v>PS-INV185051</v>
      </c>
      <c r="B365" s="2" t="str">
        <f>'Posted Sales Invoice Lines'!B365</f>
        <v>13128</v>
      </c>
      <c r="C365" s="2" t="str">
        <f>'Posted Sales Invoice Lines'!C365</f>
        <v>Gordon Food Service - Shepherdsville</v>
      </c>
      <c r="D365" s="2" t="str">
        <f>'Posted Sales Invoice Lines'!E365</f>
        <v>F56251</v>
      </c>
      <c r="E365" s="2" t="str">
        <f>'Posted Sales Invoice Lines'!F365</f>
        <v>Cs. Challah Sliders Sliced 18-12pks</v>
      </c>
      <c r="F365" s="3">
        <f>'Posted Sales Invoice Lines'!G365</f>
        <v>46057</v>
      </c>
      <c r="G365" s="9">
        <f>'Posted Sales Invoice Lines'!L365</f>
        <v>448</v>
      </c>
      <c r="H365" s="8">
        <f>'Posted Sales Invoice Lines'!N365</f>
        <v>39.700000000000003</v>
      </c>
      <c r="I365" s="8">
        <f>'Posted Sales Invoice Lines'!O365</f>
        <v>17785.599999999999</v>
      </c>
    </row>
    <row r="366" spans="1:9" x14ac:dyDescent="0.25">
      <c r="A366" s="2" t="str">
        <f>'Posted Sales Invoice Lines'!A366</f>
        <v>PS-INV185065</v>
      </c>
      <c r="B366" s="2" t="str">
        <f>'Posted Sales Invoice Lines'!B366</f>
        <v>11394</v>
      </c>
      <c r="C366" s="2" t="str">
        <f>'Posted Sales Invoice Lines'!C366</f>
        <v>La Cosecha Food Service</v>
      </c>
      <c r="D366" s="2" t="str">
        <f>'Posted Sales Invoice Lines'!E366</f>
        <v>F53003</v>
      </c>
      <c r="E366" s="2" t="str">
        <f>'Posted Sales Invoice Lines'!F366</f>
        <v>Cs. 4" Unseeded Challah Bun 8-12pk</v>
      </c>
      <c r="F366" s="3">
        <f>'Posted Sales Invoice Lines'!G366</f>
        <v>46055</v>
      </c>
      <c r="G366" s="9">
        <f>'Posted Sales Invoice Lines'!L366</f>
        <v>0</v>
      </c>
      <c r="H366" s="8">
        <f>'Posted Sales Invoice Lines'!N366</f>
        <v>30.32</v>
      </c>
      <c r="I366" s="8">
        <f>'Posted Sales Invoice Lines'!O366</f>
        <v>0</v>
      </c>
    </row>
    <row r="367" spans="1:9" x14ac:dyDescent="0.25">
      <c r="A367" s="2" t="str">
        <f>'Posted Sales Invoice Lines'!A367</f>
        <v>PS-INV185065</v>
      </c>
      <c r="B367" s="2" t="str">
        <f>'Posted Sales Invoice Lines'!B367</f>
        <v>11394</v>
      </c>
      <c r="C367" s="2" t="str">
        <f>'Posted Sales Invoice Lines'!C367</f>
        <v>La Cosecha Food Service</v>
      </c>
      <c r="D367" s="2" t="str">
        <f>'Posted Sales Invoice Lines'!E367</f>
        <v>F53127</v>
      </c>
      <c r="E367" s="2" t="str">
        <f>'Posted Sales Invoice Lines'!F367</f>
        <v>Cs. 8" Philly 10-6pks</v>
      </c>
      <c r="F367" s="3">
        <f>'Posted Sales Invoice Lines'!G367</f>
        <v>46055</v>
      </c>
      <c r="G367" s="9">
        <f>'Posted Sales Invoice Lines'!L367</f>
        <v>10</v>
      </c>
      <c r="H367" s="8">
        <f>'Posted Sales Invoice Lines'!N367</f>
        <v>53.2</v>
      </c>
      <c r="I367" s="8">
        <f>'Posted Sales Invoice Lines'!O367</f>
        <v>532</v>
      </c>
    </row>
    <row r="368" spans="1:9" x14ac:dyDescent="0.25">
      <c r="A368" s="2" t="str">
        <f>'Posted Sales Invoice Lines'!A368</f>
        <v>PS-INV185074</v>
      </c>
      <c r="B368" s="2" t="str">
        <f>'Posted Sales Invoice Lines'!B368</f>
        <v>13092</v>
      </c>
      <c r="C368" s="2" t="str">
        <f>'Posted Sales Invoice Lines'!C368</f>
        <v>Sysco WEST COAST</v>
      </c>
      <c r="D368" s="2" t="str">
        <f>'Posted Sales Invoice Lines'!E368</f>
        <v>F51137</v>
      </c>
      <c r="E368" s="2" t="str">
        <f>'Posted Sales Invoice Lines'!F368</f>
        <v>Cs. Texas Toast 3/4" 12lvs</v>
      </c>
      <c r="F368" s="3">
        <f>'Posted Sales Invoice Lines'!G368</f>
        <v>46063</v>
      </c>
      <c r="G368" s="9">
        <f>'Posted Sales Invoice Lines'!L368</f>
        <v>392</v>
      </c>
      <c r="H368" s="8">
        <f>'Posted Sales Invoice Lines'!N368</f>
        <v>35</v>
      </c>
      <c r="I368" s="8">
        <f>'Posted Sales Invoice Lines'!O368</f>
        <v>13720</v>
      </c>
    </row>
    <row r="369" spans="1:9" x14ac:dyDescent="0.25">
      <c r="A369" s="2" t="str">
        <f>'Posted Sales Invoice Lines'!A369</f>
        <v>PS-INV185074</v>
      </c>
      <c r="B369" s="2" t="str">
        <f>'Posted Sales Invoice Lines'!B369</f>
        <v>13092</v>
      </c>
      <c r="C369" s="2" t="str">
        <f>'Posted Sales Invoice Lines'!C369</f>
        <v>Sysco WEST COAST</v>
      </c>
      <c r="D369" s="2" t="str">
        <f>'Posted Sales Invoice Lines'!E369</f>
        <v>F530491</v>
      </c>
      <c r="E369" s="2" t="str">
        <f>'Posted Sales Invoice Lines'!F369</f>
        <v>Cs. 4.5 Brioche Bun 6-12pk</v>
      </c>
      <c r="F369" s="3">
        <f>'Posted Sales Invoice Lines'!G369</f>
        <v>46063</v>
      </c>
      <c r="G369" s="9">
        <f>'Posted Sales Invoice Lines'!L369</f>
        <v>56</v>
      </c>
      <c r="H369" s="8">
        <f>'Posted Sales Invoice Lines'!N369</f>
        <v>39.65</v>
      </c>
      <c r="I369" s="8">
        <f>'Posted Sales Invoice Lines'!O369</f>
        <v>2220.4</v>
      </c>
    </row>
    <row r="370" spans="1:9" x14ac:dyDescent="0.25">
      <c r="A370" s="2" t="str">
        <f>'Posted Sales Invoice Lines'!A370</f>
        <v>PS-INV185396</v>
      </c>
      <c r="B370" s="2" t="str">
        <f>'Posted Sales Invoice Lines'!B370</f>
        <v>1-4</v>
      </c>
      <c r="C370" s="2" t="str">
        <f>'Posted Sales Invoice Lines'!C370</f>
        <v>Heath West</v>
      </c>
      <c r="D370" s="2" t="str">
        <f>'Posted Sales Invoice Lines'!E370</f>
        <v>F56251</v>
      </c>
      <c r="E370" s="2" t="str">
        <f>'Posted Sales Invoice Lines'!F370</f>
        <v>Cs. Challah Sliders Sliced 18-12pks</v>
      </c>
      <c r="F370" s="3">
        <f>'Posted Sales Invoice Lines'!G370</f>
        <v>46045</v>
      </c>
      <c r="G370" s="9">
        <f>'Posted Sales Invoice Lines'!L370</f>
        <v>2</v>
      </c>
      <c r="H370" s="8">
        <f>'Posted Sales Invoice Lines'!N370</f>
        <v>0</v>
      </c>
      <c r="I370" s="8">
        <f>'Posted Sales Invoice Lines'!O370</f>
        <v>0</v>
      </c>
    </row>
    <row r="371" spans="1:9" x14ac:dyDescent="0.25">
      <c r="A371" s="2" t="str">
        <f>'Posted Sales Invoice Lines'!A371</f>
        <v>PS-INV185598</v>
      </c>
      <c r="B371" s="2" t="str">
        <f>'Posted Sales Invoice Lines'!B371</f>
        <v>10155-45</v>
      </c>
      <c r="C371" s="2" t="str">
        <f>'Posted Sales Invoice Lines'!C371</f>
        <v>Hammer and Spoon MTWTHF</v>
      </c>
      <c r="D371" s="2" t="str">
        <f>'Posted Sales Invoice Lines'!E371</f>
        <v>F56251</v>
      </c>
      <c r="E371" s="2" t="str">
        <f>'Posted Sales Invoice Lines'!F371</f>
        <v>Cs. Challah Sliders Sliced 18-12pks</v>
      </c>
      <c r="F371" s="3">
        <f>'Posted Sales Invoice Lines'!G371</f>
        <v>46049</v>
      </c>
      <c r="G371" s="9">
        <f>'Posted Sales Invoice Lines'!L371</f>
        <v>0</v>
      </c>
      <c r="H371" s="8">
        <f>'Posted Sales Invoice Lines'!N371</f>
        <v>0</v>
      </c>
      <c r="I371" s="8">
        <f>'Posted Sales Invoice Lines'!O371</f>
        <v>0</v>
      </c>
    </row>
    <row r="372" spans="1:9" x14ac:dyDescent="0.25">
      <c r="A372" s="2" t="str">
        <f>'Posted Sales Invoice Lines'!A372</f>
        <v>PS-INV185598</v>
      </c>
      <c r="B372" s="2" t="str">
        <f>'Posted Sales Invoice Lines'!B372</f>
        <v>10155-45</v>
      </c>
      <c r="C372" s="2" t="str">
        <f>'Posted Sales Invoice Lines'!C372</f>
        <v>Hammer and Spoon MTWTHF</v>
      </c>
      <c r="D372" s="2" t="str">
        <f>'Posted Sales Invoice Lines'!E372</f>
        <v>F56560</v>
      </c>
      <c r="E372" s="2" t="str">
        <f>'Posted Sales Invoice Lines'!F372</f>
        <v>Gluten Free 3.5" Hamburger 36ct</v>
      </c>
      <c r="F372" s="3">
        <f>'Posted Sales Invoice Lines'!G372</f>
        <v>46049</v>
      </c>
      <c r="G372" s="9">
        <f>'Posted Sales Invoice Lines'!L372</f>
        <v>0</v>
      </c>
      <c r="H372" s="8">
        <f>'Posted Sales Invoice Lines'!N372</f>
        <v>0</v>
      </c>
      <c r="I372" s="8">
        <f>'Posted Sales Invoice Lines'!O372</f>
        <v>0</v>
      </c>
    </row>
    <row r="373" spans="1:9" x14ac:dyDescent="0.25">
      <c r="A373" s="2" t="str">
        <f>'Posted Sales Invoice Lines'!A373</f>
        <v>PS-INV185598</v>
      </c>
      <c r="B373" s="2" t="str">
        <f>'Posted Sales Invoice Lines'!B373</f>
        <v>10155-45</v>
      </c>
      <c r="C373" s="2" t="str">
        <f>'Posted Sales Invoice Lines'!C373</f>
        <v>Hammer and Spoon MTWTHF</v>
      </c>
      <c r="D373" s="2" t="str">
        <f>'Posted Sales Invoice Lines'!E373</f>
        <v>F56255</v>
      </c>
      <c r="E373" s="2" t="str">
        <f>'Posted Sales Invoice Lines'!F373</f>
        <v>Cs. English Muffin 30-6pk</v>
      </c>
      <c r="F373" s="3">
        <f>'Posted Sales Invoice Lines'!G373</f>
        <v>46049</v>
      </c>
      <c r="G373" s="9">
        <f>'Posted Sales Invoice Lines'!L373</f>
        <v>0</v>
      </c>
      <c r="H373" s="8">
        <f>'Posted Sales Invoice Lines'!N373</f>
        <v>0</v>
      </c>
      <c r="I373" s="8">
        <f>'Posted Sales Invoice Lines'!O373</f>
        <v>0</v>
      </c>
    </row>
    <row r="374" spans="1:9" x14ac:dyDescent="0.25">
      <c r="A374" s="2" t="str">
        <f>'Posted Sales Invoice Lines'!A374</f>
        <v>PS-INV185779</v>
      </c>
      <c r="B374" s="2" t="str">
        <f>'Posted Sales Invoice Lines'!B374</f>
        <v>11005</v>
      </c>
      <c r="C374" s="2" t="str">
        <f>'Posted Sales Invoice Lines'!C374</f>
        <v>Dot Foods Inc.</v>
      </c>
      <c r="D374" s="2" t="str">
        <f>'Posted Sales Invoice Lines'!E374</f>
        <v>F530142</v>
      </c>
      <c r="E374" s="2" t="str">
        <f>'Posted Sales Invoice Lines'!F374</f>
        <v>Cs. Knot Roll 8-12pk</v>
      </c>
      <c r="F374" s="3">
        <f>'Posted Sales Invoice Lines'!G374</f>
        <v>46065</v>
      </c>
      <c r="G374" s="9">
        <f>'Posted Sales Invoice Lines'!L374</f>
        <v>480</v>
      </c>
      <c r="H374" s="8">
        <f>'Posted Sales Invoice Lines'!N374</f>
        <v>33.42</v>
      </c>
      <c r="I374" s="8">
        <f>'Posted Sales Invoice Lines'!O374</f>
        <v>16041.6</v>
      </c>
    </row>
    <row r="375" spans="1:9" x14ac:dyDescent="0.25">
      <c r="A375" s="2" t="str">
        <f>'Posted Sales Invoice Lines'!A375</f>
        <v>PS-INV185779</v>
      </c>
      <c r="B375" s="2" t="str">
        <f>'Posted Sales Invoice Lines'!B375</f>
        <v>11005</v>
      </c>
      <c r="C375" s="2" t="str">
        <f>'Posted Sales Invoice Lines'!C375</f>
        <v>Dot Foods Inc.</v>
      </c>
      <c r="D375" s="2" t="str">
        <f>'Posted Sales Invoice Lines'!E375</f>
        <v>F540212</v>
      </c>
      <c r="E375" s="2" t="str">
        <f>'Posted Sales Invoice Lines'!F375</f>
        <v>Cs. HBH White Mountain Roll</v>
      </c>
      <c r="F375" s="3">
        <f>'Posted Sales Invoice Lines'!G375</f>
        <v>46065</v>
      </c>
      <c r="G375" s="9">
        <f>'Posted Sales Invoice Lines'!L375</f>
        <v>96</v>
      </c>
      <c r="H375" s="8">
        <f>'Posted Sales Invoice Lines'!N375</f>
        <v>26.96</v>
      </c>
      <c r="I375" s="8">
        <f>'Posted Sales Invoice Lines'!O375</f>
        <v>2588.16</v>
      </c>
    </row>
    <row r="376" spans="1:9" x14ac:dyDescent="0.25">
      <c r="A376" s="2" t="str">
        <f>'Posted Sales Invoice Lines'!A376</f>
        <v>PS-INV185779</v>
      </c>
      <c r="B376" s="2" t="str">
        <f>'Posted Sales Invoice Lines'!B376</f>
        <v>11005</v>
      </c>
      <c r="C376" s="2" t="str">
        <f>'Posted Sales Invoice Lines'!C376</f>
        <v>Dot Foods Inc.</v>
      </c>
      <c r="D376" s="2" t="str">
        <f>'Posted Sales Invoice Lines'!E376</f>
        <v>F540222</v>
      </c>
      <c r="E376" s="2" t="str">
        <f>'Posted Sales Invoice Lines'!F376</f>
        <v>Cs. HBH Mini Twist</v>
      </c>
      <c r="F376" s="3">
        <f>'Posted Sales Invoice Lines'!G376</f>
        <v>46065</v>
      </c>
      <c r="G376" s="9">
        <f>'Posted Sales Invoice Lines'!L376</f>
        <v>128</v>
      </c>
      <c r="H376" s="8">
        <f>'Posted Sales Invoice Lines'!N376</f>
        <v>29.53</v>
      </c>
      <c r="I376" s="8">
        <f>'Posted Sales Invoice Lines'!O376</f>
        <v>3779.84</v>
      </c>
    </row>
    <row r="377" spans="1:9" x14ac:dyDescent="0.25">
      <c r="A377" s="2" t="str">
        <f>'Posted Sales Invoice Lines'!A377</f>
        <v>PS-INV185779</v>
      </c>
      <c r="B377" s="2" t="str">
        <f>'Posted Sales Invoice Lines'!B377</f>
        <v>11005</v>
      </c>
      <c r="C377" s="2" t="str">
        <f>'Posted Sales Invoice Lines'!C377</f>
        <v>Dot Foods Inc.</v>
      </c>
      <c r="D377" s="2" t="str">
        <f>'Posted Sales Invoice Lines'!E377</f>
        <v>F540202</v>
      </c>
      <c r="E377" s="2" t="str">
        <f>'Posted Sales Invoice Lines'!F377</f>
        <v>Cs. HBH Wheat Roll</v>
      </c>
      <c r="F377" s="3">
        <f>'Posted Sales Invoice Lines'!G377</f>
        <v>46065</v>
      </c>
      <c r="G377" s="9">
        <f>'Posted Sales Invoice Lines'!L377</f>
        <v>32</v>
      </c>
      <c r="H377" s="8">
        <f>'Posted Sales Invoice Lines'!N377</f>
        <v>26.22</v>
      </c>
      <c r="I377" s="8">
        <f>'Posted Sales Invoice Lines'!O377</f>
        <v>839.04</v>
      </c>
    </row>
    <row r="378" spans="1:9" x14ac:dyDescent="0.25">
      <c r="A378" s="2" t="str">
        <f>'Posted Sales Invoice Lines'!A378</f>
        <v>PS-INV185785</v>
      </c>
      <c r="B378" s="2" t="str">
        <f>'Posted Sales Invoice Lines'!B378</f>
        <v>12438</v>
      </c>
      <c r="C378" s="2" t="str">
        <f>'Posted Sales Invoice Lines'!C378</f>
        <v>SGC Foodservice</v>
      </c>
      <c r="D378" s="2" t="str">
        <f>'Posted Sales Invoice Lines'!E378</f>
        <v>F530142</v>
      </c>
      <c r="E378" s="2" t="str">
        <f>'Posted Sales Invoice Lines'!F378</f>
        <v>Cs. Knot Roll 8-12pk</v>
      </c>
      <c r="F378" s="3">
        <f>'Posted Sales Invoice Lines'!G378</f>
        <v>46063</v>
      </c>
      <c r="G378" s="9">
        <f>'Posted Sales Invoice Lines'!L378</f>
        <v>256</v>
      </c>
      <c r="H378" s="8">
        <f>'Posted Sales Invoice Lines'!N378</f>
        <v>33.42</v>
      </c>
      <c r="I378" s="8">
        <f>'Posted Sales Invoice Lines'!O378</f>
        <v>8555.52</v>
      </c>
    </row>
    <row r="379" spans="1:9" x14ac:dyDescent="0.25">
      <c r="A379" s="2" t="str">
        <f>'Posted Sales Invoice Lines'!A379</f>
        <v>PS-INV185853</v>
      </c>
      <c r="B379" s="2" t="str">
        <f>'Posted Sales Invoice Lines'!B379</f>
        <v>1-4</v>
      </c>
      <c r="C379" s="2" t="str">
        <f>'Posted Sales Invoice Lines'!C379</f>
        <v>Heath West</v>
      </c>
      <c r="D379" s="2" t="str">
        <f>'Posted Sales Invoice Lines'!E379</f>
        <v>F51381</v>
      </c>
      <c r="E379" s="2" t="str">
        <f>'Posted Sales Invoice Lines'!F379</f>
        <v>Cs. Challah Pullman Unsliced 10lvs</v>
      </c>
      <c r="F379" s="3">
        <f>'Posted Sales Invoice Lines'!G379</f>
        <v>46051</v>
      </c>
      <c r="G379" s="9">
        <f>'Posted Sales Invoice Lines'!L379</f>
        <v>3</v>
      </c>
      <c r="H379" s="8">
        <f>'Posted Sales Invoice Lines'!N379</f>
        <v>0</v>
      </c>
      <c r="I379" s="8">
        <f>'Posted Sales Invoice Lines'!O379</f>
        <v>0</v>
      </c>
    </row>
    <row r="380" spans="1:9" x14ac:dyDescent="0.25">
      <c r="A380" s="2" t="str">
        <f>'Posted Sales Invoice Lines'!A380</f>
        <v>PS-INV186185</v>
      </c>
      <c r="B380" s="2" t="str">
        <f>'Posted Sales Invoice Lines'!B380</f>
        <v>10547</v>
      </c>
      <c r="C380" s="2" t="str">
        <f>'Posted Sales Invoice Lines'!C380</f>
        <v>PFG Hale TN</v>
      </c>
      <c r="D380" s="2" t="str">
        <f>'Posted Sales Invoice Lines'!E380</f>
        <v>F51024</v>
      </c>
      <c r="E380" s="2" t="str">
        <f>'Posted Sales Invoice Lines'!F380</f>
        <v>Cs. Marble Rye 5/8" 8lvs</v>
      </c>
      <c r="F380" s="3">
        <f>'Posted Sales Invoice Lines'!G380</f>
        <v>46071</v>
      </c>
      <c r="G380" s="9">
        <f>'Posted Sales Invoice Lines'!L380</f>
        <v>28</v>
      </c>
      <c r="H380" s="8">
        <f>'Posted Sales Invoice Lines'!N380</f>
        <v>46.25</v>
      </c>
      <c r="I380" s="8">
        <f>'Posted Sales Invoice Lines'!O380</f>
        <v>1295</v>
      </c>
    </row>
    <row r="381" spans="1:9" x14ac:dyDescent="0.25">
      <c r="A381" s="2" t="str">
        <f>'Posted Sales Invoice Lines'!A381</f>
        <v>PS-INV186185</v>
      </c>
      <c r="B381" s="2" t="str">
        <f>'Posted Sales Invoice Lines'!B381</f>
        <v>10547</v>
      </c>
      <c r="C381" s="2" t="str">
        <f>'Posted Sales Invoice Lines'!C381</f>
        <v>PFG Hale TN</v>
      </c>
      <c r="D381" s="2" t="str">
        <f>'Posted Sales Invoice Lines'!E381</f>
        <v>F53001</v>
      </c>
      <c r="E381" s="2" t="str">
        <f>'Posted Sales Invoice Lines'!F381</f>
        <v>Cs. 4" Brioche Bun 8-12pk</v>
      </c>
      <c r="F381" s="3">
        <f>'Posted Sales Invoice Lines'!G381</f>
        <v>46071</v>
      </c>
      <c r="G381" s="9">
        <f>'Posted Sales Invoice Lines'!L381</f>
        <v>108</v>
      </c>
      <c r="H381" s="8">
        <f>'Posted Sales Invoice Lines'!N381</f>
        <v>42</v>
      </c>
      <c r="I381" s="8">
        <f>'Posted Sales Invoice Lines'!O381</f>
        <v>4536</v>
      </c>
    </row>
    <row r="382" spans="1:9" x14ac:dyDescent="0.25">
      <c r="A382" s="2" t="str">
        <f>'Posted Sales Invoice Lines'!A382</f>
        <v>PS-INV186185</v>
      </c>
      <c r="B382" s="2" t="str">
        <f>'Posted Sales Invoice Lines'!B382</f>
        <v>10547</v>
      </c>
      <c r="C382" s="2" t="str">
        <f>'Posted Sales Invoice Lines'!C382</f>
        <v>PFG Hale TN</v>
      </c>
      <c r="D382" s="2" t="str">
        <f>'Posted Sales Invoice Lines'!E382</f>
        <v>F530421</v>
      </c>
      <c r="E382" s="2" t="str">
        <f>'Posted Sales Invoice Lines'!F382</f>
        <v>Cs. 4.5" Challah Buns 6-12pk.</v>
      </c>
      <c r="F382" s="3">
        <f>'Posted Sales Invoice Lines'!G382</f>
        <v>46071</v>
      </c>
      <c r="G382" s="9">
        <f>'Posted Sales Invoice Lines'!L382</f>
        <v>336</v>
      </c>
      <c r="H382" s="8">
        <f>'Posted Sales Invoice Lines'!N382</f>
        <v>38.299999999999997</v>
      </c>
      <c r="I382" s="8">
        <f>'Posted Sales Invoice Lines'!O382</f>
        <v>12868.8</v>
      </c>
    </row>
    <row r="383" spans="1:9" x14ac:dyDescent="0.25">
      <c r="A383" s="2" t="str">
        <f>'Posted Sales Invoice Lines'!A383</f>
        <v>PS-INV186185</v>
      </c>
      <c r="B383" s="2" t="str">
        <f>'Posted Sales Invoice Lines'!B383</f>
        <v>10547</v>
      </c>
      <c r="C383" s="2" t="str">
        <f>'Posted Sales Invoice Lines'!C383</f>
        <v>PFG Hale TN</v>
      </c>
      <c r="D383" s="2" t="str">
        <f>'Posted Sales Invoice Lines'!E383</f>
        <v>F53094</v>
      </c>
      <c r="E383" s="2" t="str">
        <f>'Posted Sales Invoice Lines'!F383</f>
        <v>Cs. 6" Italian 12-6pks</v>
      </c>
      <c r="F383" s="3">
        <f>'Posted Sales Invoice Lines'!G383</f>
        <v>46071</v>
      </c>
      <c r="G383" s="9">
        <f>'Posted Sales Invoice Lines'!L383</f>
        <v>56</v>
      </c>
      <c r="H383" s="8">
        <f>'Posted Sales Invoice Lines'!N383</f>
        <v>36.47</v>
      </c>
      <c r="I383" s="8">
        <f>'Posted Sales Invoice Lines'!O383</f>
        <v>2042.32</v>
      </c>
    </row>
    <row r="384" spans="1:9" x14ac:dyDescent="0.25">
      <c r="A384" s="2" t="str">
        <f>'Posted Sales Invoice Lines'!A384</f>
        <v>PS-INV186185</v>
      </c>
      <c r="B384" s="2" t="str">
        <f>'Posted Sales Invoice Lines'!B384</f>
        <v>10547</v>
      </c>
      <c r="C384" s="2" t="str">
        <f>'Posted Sales Invoice Lines'!C384</f>
        <v>PFG Hale TN</v>
      </c>
      <c r="D384" s="2" t="str">
        <f>'Posted Sales Invoice Lines'!E384</f>
        <v>F53098</v>
      </c>
      <c r="E384" s="2" t="str">
        <f>'Posted Sales Invoice Lines'!F384</f>
        <v>Cs. Onion Club 12-6pk</v>
      </c>
      <c r="F384" s="3">
        <f>'Posted Sales Invoice Lines'!G384</f>
        <v>46071</v>
      </c>
      <c r="G384" s="9">
        <f>'Posted Sales Invoice Lines'!L384</f>
        <v>60</v>
      </c>
      <c r="H384" s="8">
        <f>'Posted Sales Invoice Lines'!N384</f>
        <v>35.75</v>
      </c>
      <c r="I384" s="8">
        <f>'Posted Sales Invoice Lines'!O384</f>
        <v>2145</v>
      </c>
    </row>
    <row r="385" spans="1:9" x14ac:dyDescent="0.25">
      <c r="A385" s="2" t="str">
        <f>'Posted Sales Invoice Lines'!A385</f>
        <v>PS-INV186185</v>
      </c>
      <c r="B385" s="2" t="str">
        <f>'Posted Sales Invoice Lines'!B385</f>
        <v>10547</v>
      </c>
      <c r="C385" s="2" t="str">
        <f>'Posted Sales Invoice Lines'!C385</f>
        <v>PFG Hale TN</v>
      </c>
      <c r="D385" s="2" t="str">
        <f>'Posted Sales Invoice Lines'!E385</f>
        <v>F53000</v>
      </c>
      <c r="E385" s="2" t="str">
        <f>'Posted Sales Invoice Lines'!F385</f>
        <v>Cs. 4" Hamburger Bun 8-12pk</v>
      </c>
      <c r="F385" s="3">
        <f>'Posted Sales Invoice Lines'!G385</f>
        <v>46071</v>
      </c>
      <c r="G385" s="9">
        <f>'Posted Sales Invoice Lines'!L385</f>
        <v>12</v>
      </c>
      <c r="H385" s="8">
        <f>'Posted Sales Invoice Lines'!N385</f>
        <v>33.25</v>
      </c>
      <c r="I385" s="8">
        <f>'Posted Sales Invoice Lines'!O385</f>
        <v>399</v>
      </c>
    </row>
    <row r="386" spans="1:9" x14ac:dyDescent="0.25">
      <c r="A386" s="2" t="str">
        <f>'Posted Sales Invoice Lines'!A386</f>
        <v>PS-INV186185</v>
      </c>
      <c r="B386" s="2" t="str">
        <f>'Posted Sales Invoice Lines'!B386</f>
        <v>10547</v>
      </c>
      <c r="C386" s="2" t="str">
        <f>'Posted Sales Invoice Lines'!C386</f>
        <v>PFG Hale TN</v>
      </c>
      <c r="D386" s="2" t="str">
        <f>'Posted Sales Invoice Lines'!E386</f>
        <v>F530041</v>
      </c>
      <c r="E386" s="2" t="str">
        <f>'Posted Sales Invoice Lines'!F386</f>
        <v>Cs. 4" S&amp;P Brioche Bun 8-12pk</v>
      </c>
      <c r="F386" s="3">
        <f>'Posted Sales Invoice Lines'!G386</f>
        <v>46071</v>
      </c>
      <c r="G386" s="9">
        <f>'Posted Sales Invoice Lines'!L386</f>
        <v>14</v>
      </c>
      <c r="H386" s="8">
        <f>'Posted Sales Invoice Lines'!N386</f>
        <v>46</v>
      </c>
      <c r="I386" s="8">
        <f>'Posted Sales Invoice Lines'!O386</f>
        <v>644</v>
      </c>
    </row>
    <row r="387" spans="1:9" x14ac:dyDescent="0.25">
      <c r="A387" s="2" t="str">
        <f>'Posted Sales Invoice Lines'!A387</f>
        <v>PS-INV186232</v>
      </c>
      <c r="B387" s="2" t="str">
        <f>'Posted Sales Invoice Lines'!B387</f>
        <v>Z11655</v>
      </c>
      <c r="C387" s="2" t="str">
        <f>'Posted Sales Invoice Lines'!C387</f>
        <v>PFG Hickory NC</v>
      </c>
      <c r="D387" s="2" t="str">
        <f>'Posted Sales Invoice Lines'!E387</f>
        <v>F53001</v>
      </c>
      <c r="E387" s="2" t="str">
        <f>'Posted Sales Invoice Lines'!F387</f>
        <v>Cs. 4" Brioche Bun 8-12pk</v>
      </c>
      <c r="F387" s="3">
        <f>'Posted Sales Invoice Lines'!G387</f>
        <v>46062</v>
      </c>
      <c r="G387" s="9">
        <f>'Posted Sales Invoice Lines'!L387</f>
        <v>644</v>
      </c>
      <c r="H387" s="8">
        <f>'Posted Sales Invoice Lines'!N387</f>
        <v>44</v>
      </c>
      <c r="I387" s="8">
        <f>'Posted Sales Invoice Lines'!O387</f>
        <v>28336</v>
      </c>
    </row>
    <row r="388" spans="1:9" x14ac:dyDescent="0.25">
      <c r="A388" s="2" t="str">
        <f>'Posted Sales Invoice Lines'!A388</f>
        <v>PS-INV186408</v>
      </c>
      <c r="B388" s="2" t="str">
        <f>'Posted Sales Invoice Lines'!B388</f>
        <v>10155-45</v>
      </c>
      <c r="C388" s="2" t="str">
        <f>'Posted Sales Invoice Lines'!C388</f>
        <v>Hammer and Spoon MTWTHF</v>
      </c>
      <c r="D388" s="2" t="str">
        <f>'Posted Sales Invoice Lines'!E388</f>
        <v>F56251</v>
      </c>
      <c r="E388" s="2" t="str">
        <f>'Posted Sales Invoice Lines'!F388</f>
        <v>Cs. Challah Sliders Sliced 18-12pks</v>
      </c>
      <c r="F388" s="3">
        <f>'Posted Sales Invoice Lines'!G388</f>
        <v>46051</v>
      </c>
      <c r="G388" s="9">
        <f>'Posted Sales Invoice Lines'!L388</f>
        <v>0</v>
      </c>
      <c r="H388" s="8">
        <f>'Posted Sales Invoice Lines'!N388</f>
        <v>0</v>
      </c>
      <c r="I388" s="8">
        <f>'Posted Sales Invoice Lines'!O388</f>
        <v>0</v>
      </c>
    </row>
    <row r="389" spans="1:9" x14ac:dyDescent="0.25">
      <c r="A389" s="2" t="str">
        <f>'Posted Sales Invoice Lines'!A389</f>
        <v>PS-INV186408</v>
      </c>
      <c r="B389" s="2" t="str">
        <f>'Posted Sales Invoice Lines'!B389</f>
        <v>10155-45</v>
      </c>
      <c r="C389" s="2" t="str">
        <f>'Posted Sales Invoice Lines'!C389</f>
        <v>Hammer and Spoon MTWTHF</v>
      </c>
      <c r="D389" s="2" t="str">
        <f>'Posted Sales Invoice Lines'!E389</f>
        <v>F56560</v>
      </c>
      <c r="E389" s="2" t="str">
        <f>'Posted Sales Invoice Lines'!F389</f>
        <v>Gluten Free 3.5" Hamburger 36ct</v>
      </c>
      <c r="F389" s="3">
        <f>'Posted Sales Invoice Lines'!G389</f>
        <v>46051</v>
      </c>
      <c r="G389" s="9">
        <f>'Posted Sales Invoice Lines'!L389</f>
        <v>0</v>
      </c>
      <c r="H389" s="8">
        <f>'Posted Sales Invoice Lines'!N389</f>
        <v>0</v>
      </c>
      <c r="I389" s="8">
        <f>'Posted Sales Invoice Lines'!O389</f>
        <v>0</v>
      </c>
    </row>
    <row r="390" spans="1:9" x14ac:dyDescent="0.25">
      <c r="A390" s="2" t="str">
        <f>'Posted Sales Invoice Lines'!A390</f>
        <v>PS-INV186408</v>
      </c>
      <c r="B390" s="2" t="str">
        <f>'Posted Sales Invoice Lines'!B390</f>
        <v>10155-45</v>
      </c>
      <c r="C390" s="2" t="str">
        <f>'Posted Sales Invoice Lines'!C390</f>
        <v>Hammer and Spoon MTWTHF</v>
      </c>
      <c r="D390" s="2" t="str">
        <f>'Posted Sales Invoice Lines'!E390</f>
        <v>F56255</v>
      </c>
      <c r="E390" s="2" t="str">
        <f>'Posted Sales Invoice Lines'!F390</f>
        <v>Cs. English Muffin 30-6pk</v>
      </c>
      <c r="F390" s="3">
        <f>'Posted Sales Invoice Lines'!G390</f>
        <v>46051</v>
      </c>
      <c r="G390" s="9">
        <f>'Posted Sales Invoice Lines'!L390</f>
        <v>0</v>
      </c>
      <c r="H390" s="8">
        <f>'Posted Sales Invoice Lines'!N390</f>
        <v>0</v>
      </c>
      <c r="I390" s="8">
        <f>'Posted Sales Invoice Lines'!O390</f>
        <v>0</v>
      </c>
    </row>
    <row r="391" spans="1:9" x14ac:dyDescent="0.25">
      <c r="A391" s="2" t="str">
        <f>'Posted Sales Invoice Lines'!A391</f>
        <v>PS-INV186518</v>
      </c>
      <c r="B391" s="2" t="str">
        <f>'Posted Sales Invoice Lines'!B391</f>
        <v>10711</v>
      </c>
      <c r="C391" s="2" t="str">
        <f>'Posted Sales Invoice Lines'!C391</f>
        <v>Cheney Bros Statesville</v>
      </c>
      <c r="D391" s="2" t="str">
        <f>'Posted Sales Invoice Lines'!E391</f>
        <v>F530142</v>
      </c>
      <c r="E391" s="2" t="str">
        <f>'Posted Sales Invoice Lines'!F391</f>
        <v>Cs. Knot Roll 8-12pk</v>
      </c>
      <c r="F391" s="3">
        <f>'Posted Sales Invoice Lines'!G391</f>
        <v>46085</v>
      </c>
      <c r="G391" s="9">
        <f>'Posted Sales Invoice Lines'!L391</f>
        <v>392</v>
      </c>
      <c r="H391" s="8">
        <f>'Posted Sales Invoice Lines'!N391</f>
        <v>33.42</v>
      </c>
      <c r="I391" s="8">
        <f>'Posted Sales Invoice Lines'!O391</f>
        <v>13100.64</v>
      </c>
    </row>
    <row r="392" spans="1:9" x14ac:dyDescent="0.25">
      <c r="A392" s="2" t="str">
        <f>'Posted Sales Invoice Lines'!A392</f>
        <v>PS-INV186526</v>
      </c>
      <c r="B392" s="2" t="str">
        <f>'Posted Sales Invoice Lines'!B392</f>
        <v>20334</v>
      </c>
      <c r="C392" s="2" t="str">
        <f>'Posted Sales Invoice Lines'!C392</f>
        <v>Sysco Atlanta</v>
      </c>
      <c r="D392" s="2" t="str">
        <f>'Posted Sales Invoice Lines'!E392</f>
        <v>F53116</v>
      </c>
      <c r="E392" s="2" t="str">
        <f>'Posted Sales Invoice Lines'!F392</f>
        <v>Cs. 7" French Hinged 12</v>
      </c>
      <c r="F392" s="3">
        <f>'Posted Sales Invoice Lines'!G392</f>
        <v>46065</v>
      </c>
      <c r="G392" s="9">
        <f>'Posted Sales Invoice Lines'!L392</f>
        <v>84</v>
      </c>
      <c r="H392" s="8">
        <f>'Posted Sales Invoice Lines'!N392</f>
        <v>31.42</v>
      </c>
      <c r="I392" s="8">
        <f>'Posted Sales Invoice Lines'!O392</f>
        <v>2639.28</v>
      </c>
    </row>
    <row r="393" spans="1:9" x14ac:dyDescent="0.25">
      <c r="A393" s="2" t="str">
        <f>'Posted Sales Invoice Lines'!A393</f>
        <v>PS-INV186526</v>
      </c>
      <c r="B393" s="2" t="str">
        <f>'Posted Sales Invoice Lines'!B393</f>
        <v>20334</v>
      </c>
      <c r="C393" s="2" t="str">
        <f>'Posted Sales Invoice Lines'!C393</f>
        <v>Sysco Atlanta</v>
      </c>
      <c r="D393" s="2" t="str">
        <f>'Posted Sales Invoice Lines'!E393</f>
        <v>F53087</v>
      </c>
      <c r="E393" s="2" t="str">
        <f>'Posted Sales Invoice Lines'!F393</f>
        <v>Cs. 3.5" Challah Bun 8-12 pk</v>
      </c>
      <c r="F393" s="3">
        <f>'Posted Sales Invoice Lines'!G393</f>
        <v>46065</v>
      </c>
      <c r="G393" s="9">
        <f>'Posted Sales Invoice Lines'!L393</f>
        <v>112</v>
      </c>
      <c r="H393" s="8">
        <f>'Posted Sales Invoice Lines'!N393</f>
        <v>34</v>
      </c>
      <c r="I393" s="8">
        <f>'Posted Sales Invoice Lines'!O393</f>
        <v>3808</v>
      </c>
    </row>
    <row r="394" spans="1:9" x14ac:dyDescent="0.25">
      <c r="A394" s="2" t="str">
        <f>'Posted Sales Invoice Lines'!A394</f>
        <v>PS-INV186526</v>
      </c>
      <c r="B394" s="2" t="str">
        <f>'Posted Sales Invoice Lines'!B394</f>
        <v>20334</v>
      </c>
      <c r="C394" s="2" t="str">
        <f>'Posted Sales Invoice Lines'!C394</f>
        <v>Sysco Atlanta</v>
      </c>
      <c r="D394" s="2" t="str">
        <f>'Posted Sales Invoice Lines'!E394</f>
        <v>F51024</v>
      </c>
      <c r="E394" s="2" t="str">
        <f>'Posted Sales Invoice Lines'!F394</f>
        <v>Cs. Marble Rye 5/8" 8lvs</v>
      </c>
      <c r="F394" s="3">
        <f>'Posted Sales Invoice Lines'!G394</f>
        <v>46065</v>
      </c>
      <c r="G394" s="9">
        <f>'Posted Sales Invoice Lines'!L394</f>
        <v>24</v>
      </c>
      <c r="H394" s="8">
        <f>'Posted Sales Invoice Lines'!N394</f>
        <v>43.26</v>
      </c>
      <c r="I394" s="8">
        <f>'Posted Sales Invoice Lines'!O394</f>
        <v>1038.24</v>
      </c>
    </row>
    <row r="395" spans="1:9" x14ac:dyDescent="0.25">
      <c r="A395" s="2" t="str">
        <f>'Posted Sales Invoice Lines'!A395</f>
        <v>PS-INV186526</v>
      </c>
      <c r="B395" s="2" t="str">
        <f>'Posted Sales Invoice Lines'!B395</f>
        <v>20334</v>
      </c>
      <c r="C395" s="2" t="str">
        <f>'Posted Sales Invoice Lines'!C395</f>
        <v>Sysco Atlanta</v>
      </c>
      <c r="D395" s="2" t="str">
        <f>'Posted Sales Invoice Lines'!E395</f>
        <v>F51127</v>
      </c>
      <c r="E395" s="2" t="str">
        <f>'Posted Sales Invoice Lines'!F395</f>
        <v>Cs. Challah 3-Braid 8</v>
      </c>
      <c r="F395" s="3">
        <f>'Posted Sales Invoice Lines'!G395</f>
        <v>46065</v>
      </c>
      <c r="G395" s="9">
        <f>'Posted Sales Invoice Lines'!L395</f>
        <v>20</v>
      </c>
      <c r="H395" s="8">
        <f>'Posted Sales Invoice Lines'!N395</f>
        <v>43.26</v>
      </c>
      <c r="I395" s="8">
        <f>'Posted Sales Invoice Lines'!O395</f>
        <v>865.2</v>
      </c>
    </row>
    <row r="396" spans="1:9" x14ac:dyDescent="0.25">
      <c r="A396" s="2" t="str">
        <f>'Posted Sales Invoice Lines'!A396</f>
        <v>PS-INV186526</v>
      </c>
      <c r="B396" s="2" t="str">
        <f>'Posted Sales Invoice Lines'!B396</f>
        <v>20334</v>
      </c>
      <c r="C396" s="2" t="str">
        <f>'Posted Sales Invoice Lines'!C396</f>
        <v>Sysco Atlanta</v>
      </c>
      <c r="D396" s="2" t="str">
        <f>'Posted Sales Invoice Lines'!E396</f>
        <v>F53001</v>
      </c>
      <c r="E396" s="2" t="str">
        <f>'Posted Sales Invoice Lines'!F396</f>
        <v>Cs. 4" Brioche Bun 8-12pk</v>
      </c>
      <c r="F396" s="3">
        <f>'Posted Sales Invoice Lines'!G396</f>
        <v>46065</v>
      </c>
      <c r="G396" s="9">
        <f>'Posted Sales Invoice Lines'!L396</f>
        <v>56</v>
      </c>
      <c r="H396" s="8">
        <f>'Posted Sales Invoice Lines'!N396</f>
        <v>43.36</v>
      </c>
      <c r="I396" s="8">
        <f>'Posted Sales Invoice Lines'!O396</f>
        <v>2428.16</v>
      </c>
    </row>
    <row r="397" spans="1:9" x14ac:dyDescent="0.25">
      <c r="A397" s="2" t="str">
        <f>'Posted Sales Invoice Lines'!A397</f>
        <v>PS-INV186526</v>
      </c>
      <c r="B397" s="2" t="str">
        <f>'Posted Sales Invoice Lines'!B397</f>
        <v>20334</v>
      </c>
      <c r="C397" s="2" t="str">
        <f>'Posted Sales Invoice Lines'!C397</f>
        <v>Sysco Atlanta</v>
      </c>
      <c r="D397" s="2" t="str">
        <f>'Posted Sales Invoice Lines'!E397</f>
        <v>F54044</v>
      </c>
      <c r="E397" s="2" t="str">
        <f>'Posted Sales Invoice Lines'!F397</f>
        <v>Cs. Buttons Parker House 12-12pk</v>
      </c>
      <c r="F397" s="3">
        <f>'Posted Sales Invoice Lines'!G397</f>
        <v>46065</v>
      </c>
      <c r="G397" s="9">
        <f>'Posted Sales Invoice Lines'!L397</f>
        <v>16</v>
      </c>
      <c r="H397" s="8">
        <f>'Posted Sales Invoice Lines'!N397</f>
        <v>36.979999999999997</v>
      </c>
      <c r="I397" s="8">
        <f>'Posted Sales Invoice Lines'!O397</f>
        <v>591.67999999999995</v>
      </c>
    </row>
    <row r="398" spans="1:9" x14ac:dyDescent="0.25">
      <c r="A398" s="2" t="str">
        <f>'Posted Sales Invoice Lines'!A398</f>
        <v>PS-INV186526</v>
      </c>
      <c r="B398" s="2" t="str">
        <f>'Posted Sales Invoice Lines'!B398</f>
        <v>20334</v>
      </c>
      <c r="C398" s="2" t="str">
        <f>'Posted Sales Invoice Lines'!C398</f>
        <v>Sysco Atlanta</v>
      </c>
      <c r="D398" s="2" t="str">
        <f>'Posted Sales Invoice Lines'!E398</f>
        <v>F51034</v>
      </c>
      <c r="E398" s="2" t="str">
        <f>'Posted Sales Invoice Lines'!F398</f>
        <v>Cs. Sour Dough Hearth 5/8" 8lvs</v>
      </c>
      <c r="F398" s="3">
        <f>'Posted Sales Invoice Lines'!G398</f>
        <v>46065</v>
      </c>
      <c r="G398" s="9">
        <f>'Posted Sales Invoice Lines'!L398</f>
        <v>20</v>
      </c>
      <c r="H398" s="8">
        <f>'Posted Sales Invoice Lines'!N398</f>
        <v>41.2</v>
      </c>
      <c r="I398" s="8">
        <f>'Posted Sales Invoice Lines'!O398</f>
        <v>824</v>
      </c>
    </row>
    <row r="399" spans="1:9" x14ac:dyDescent="0.25">
      <c r="A399" s="2" t="str">
        <f>'Posted Sales Invoice Lines'!A399</f>
        <v>PS-INV186526</v>
      </c>
      <c r="B399" s="2" t="str">
        <f>'Posted Sales Invoice Lines'!B399</f>
        <v>20334</v>
      </c>
      <c r="C399" s="2" t="str">
        <f>'Posted Sales Invoice Lines'!C399</f>
        <v>Sysco Atlanta</v>
      </c>
      <c r="D399" s="2" t="str">
        <f>'Posted Sales Invoice Lines'!E399</f>
        <v>F53140</v>
      </c>
      <c r="E399" s="2" t="str">
        <f>'Posted Sales Invoice Lines'!F399</f>
        <v>Cs. Knuckies 8" White 12-6pk</v>
      </c>
      <c r="F399" s="3">
        <f>'Posted Sales Invoice Lines'!G399</f>
        <v>46065</v>
      </c>
      <c r="G399" s="9">
        <f>'Posted Sales Invoice Lines'!L399</f>
        <v>20</v>
      </c>
      <c r="H399" s="8">
        <f>'Posted Sales Invoice Lines'!N399</f>
        <v>41</v>
      </c>
      <c r="I399" s="8">
        <f>'Posted Sales Invoice Lines'!O399</f>
        <v>820</v>
      </c>
    </row>
    <row r="400" spans="1:9" x14ac:dyDescent="0.25">
      <c r="A400" s="2" t="str">
        <f>'Posted Sales Invoice Lines'!A400</f>
        <v>PS-INV186533</v>
      </c>
      <c r="B400" s="2" t="str">
        <f>'Posted Sales Invoice Lines'!B400</f>
        <v>10711</v>
      </c>
      <c r="C400" s="2" t="str">
        <f>'Posted Sales Invoice Lines'!C400</f>
        <v>Cheney Bros Statesville</v>
      </c>
      <c r="D400" s="2" t="str">
        <f>'Posted Sales Invoice Lines'!E400</f>
        <v>F530142</v>
      </c>
      <c r="E400" s="2" t="str">
        <f>'Posted Sales Invoice Lines'!F400</f>
        <v>Cs. Knot Roll 8-12pk</v>
      </c>
      <c r="F400" s="3">
        <f>'Posted Sales Invoice Lines'!G400</f>
        <v>46065</v>
      </c>
      <c r="G400" s="9">
        <f>'Posted Sales Invoice Lines'!L400</f>
        <v>336</v>
      </c>
      <c r="H400" s="8">
        <f>'Posted Sales Invoice Lines'!N400</f>
        <v>33.42</v>
      </c>
      <c r="I400" s="8">
        <f>'Posted Sales Invoice Lines'!O400</f>
        <v>11229.12</v>
      </c>
    </row>
    <row r="401" spans="1:9" x14ac:dyDescent="0.25">
      <c r="A401" s="2" t="str">
        <f>'Posted Sales Invoice Lines'!A401</f>
        <v>PS-INV186534</v>
      </c>
      <c r="B401" s="2" t="str">
        <f>'Posted Sales Invoice Lines'!B401</f>
        <v>13128</v>
      </c>
      <c r="C401" s="2" t="str">
        <f>'Posted Sales Invoice Lines'!C401</f>
        <v>Gordon Food Service - Shepherdsville</v>
      </c>
      <c r="D401" s="2" t="str">
        <f>'Posted Sales Invoice Lines'!E401</f>
        <v>F51084</v>
      </c>
      <c r="E401" s="2" t="str">
        <f>'Posted Sales Invoice Lines'!F401</f>
        <v>Cs. Wheatberry Hearth</v>
      </c>
      <c r="F401" s="3">
        <f>'Posted Sales Invoice Lines'!G401</f>
        <v>46070</v>
      </c>
      <c r="G401" s="9">
        <f>'Posted Sales Invoice Lines'!L401</f>
        <v>128</v>
      </c>
      <c r="H401" s="8">
        <f>'Posted Sales Invoice Lines'!N401</f>
        <v>33.299999999999997</v>
      </c>
      <c r="I401" s="8">
        <f>'Posted Sales Invoice Lines'!O401</f>
        <v>4262.3999999999996</v>
      </c>
    </row>
    <row r="402" spans="1:9" x14ac:dyDescent="0.25">
      <c r="A402" s="2" t="str">
        <f>'Posted Sales Invoice Lines'!A402</f>
        <v>PS-INV186534</v>
      </c>
      <c r="B402" s="2" t="str">
        <f>'Posted Sales Invoice Lines'!B402</f>
        <v>13128</v>
      </c>
      <c r="C402" s="2" t="str">
        <f>'Posted Sales Invoice Lines'!C402</f>
        <v>Gordon Food Service - Shepherdsville</v>
      </c>
      <c r="D402" s="2" t="str">
        <f>'Posted Sales Invoice Lines'!E402</f>
        <v>F53001</v>
      </c>
      <c r="E402" s="2" t="str">
        <f>'Posted Sales Invoice Lines'!F402</f>
        <v>Cs. 4" Brioche Bun 8-12pk</v>
      </c>
      <c r="F402" s="3">
        <f>'Posted Sales Invoice Lines'!G402</f>
        <v>46070</v>
      </c>
      <c r="G402" s="9">
        <f>'Posted Sales Invoice Lines'!L402</f>
        <v>320</v>
      </c>
      <c r="H402" s="8">
        <f>'Posted Sales Invoice Lines'!N402</f>
        <v>36.82</v>
      </c>
      <c r="I402" s="8">
        <f>'Posted Sales Invoice Lines'!O402</f>
        <v>11782.4</v>
      </c>
    </row>
    <row r="403" spans="1:9" x14ac:dyDescent="0.25">
      <c r="A403" s="2" t="str">
        <f>'Posted Sales Invoice Lines'!A403</f>
        <v>PS-INV186534</v>
      </c>
      <c r="B403" s="2" t="str">
        <f>'Posted Sales Invoice Lines'!B403</f>
        <v>13128</v>
      </c>
      <c r="C403" s="2" t="str">
        <f>'Posted Sales Invoice Lines'!C403</f>
        <v>Gordon Food Service - Shepherdsville</v>
      </c>
      <c r="D403" s="2" t="str">
        <f>'Posted Sales Invoice Lines'!E403</f>
        <v>F51114</v>
      </c>
      <c r="E403" s="2" t="str">
        <f>'Posted Sales Invoice Lines'!F403</f>
        <v>Cs. Old Fashioned Hearth 5/8" 8lvs</v>
      </c>
      <c r="F403" s="3">
        <f>'Posted Sales Invoice Lines'!G403</f>
        <v>46070</v>
      </c>
      <c r="G403" s="9">
        <f>'Posted Sales Invoice Lines'!L403</f>
        <v>144</v>
      </c>
      <c r="H403" s="8">
        <f>'Posted Sales Invoice Lines'!N403</f>
        <v>39.700000000000003</v>
      </c>
      <c r="I403" s="8">
        <f>'Posted Sales Invoice Lines'!O403</f>
        <v>5716.8</v>
      </c>
    </row>
    <row r="404" spans="1:9" x14ac:dyDescent="0.25">
      <c r="A404" s="2" t="str">
        <f>'Posted Sales Invoice Lines'!A404</f>
        <v>PS-INV186534</v>
      </c>
      <c r="B404" s="2" t="str">
        <f>'Posted Sales Invoice Lines'!B404</f>
        <v>13128</v>
      </c>
      <c r="C404" s="2" t="str">
        <f>'Posted Sales Invoice Lines'!C404</f>
        <v>Gordon Food Service - Shepherdsville</v>
      </c>
      <c r="D404" s="2" t="str">
        <f>'Posted Sales Invoice Lines'!E404</f>
        <v>F56251</v>
      </c>
      <c r="E404" s="2" t="str">
        <f>'Posted Sales Invoice Lines'!F404</f>
        <v>Cs. Challah Sliders Sliced 18-12pks</v>
      </c>
      <c r="F404" s="3">
        <f>'Posted Sales Invoice Lines'!G404</f>
        <v>46070</v>
      </c>
      <c r="G404" s="9">
        <f>'Posted Sales Invoice Lines'!L404</f>
        <v>240</v>
      </c>
      <c r="H404" s="8">
        <f>'Posted Sales Invoice Lines'!N404</f>
        <v>39.700000000000003</v>
      </c>
      <c r="I404" s="8">
        <f>'Posted Sales Invoice Lines'!O404</f>
        <v>9528</v>
      </c>
    </row>
    <row r="405" spans="1:9" x14ac:dyDescent="0.25">
      <c r="A405" s="2" t="str">
        <f>'Posted Sales Invoice Lines'!A405</f>
        <v>PS-INV186948</v>
      </c>
      <c r="B405" s="2" t="str">
        <f>'Posted Sales Invoice Lines'!B405</f>
        <v>10540-03</v>
      </c>
      <c r="C405" s="2" t="str">
        <f>'Posted Sales Invoice Lines'!C405</f>
        <v>PFG Louisville TN</v>
      </c>
      <c r="D405" s="2" t="str">
        <f>'Posted Sales Invoice Lines'!E405</f>
        <v>F53001</v>
      </c>
      <c r="E405" s="2" t="str">
        <f>'Posted Sales Invoice Lines'!F405</f>
        <v>Cs. 4" Brioche Bun 8-12pk</v>
      </c>
      <c r="F405" s="3">
        <f>'Posted Sales Invoice Lines'!G405</f>
        <v>46065</v>
      </c>
      <c r="G405" s="9">
        <f>'Posted Sales Invoice Lines'!L405</f>
        <v>364</v>
      </c>
      <c r="H405" s="8">
        <f>'Posted Sales Invoice Lines'!N405</f>
        <v>42.6</v>
      </c>
      <c r="I405" s="8">
        <f>'Posted Sales Invoice Lines'!O405</f>
        <v>15506.4</v>
      </c>
    </row>
    <row r="406" spans="1:9" x14ac:dyDescent="0.25">
      <c r="A406" s="2" t="str">
        <f>'Posted Sales Invoice Lines'!A406</f>
        <v>PS-INV186948</v>
      </c>
      <c r="B406" s="2" t="str">
        <f>'Posted Sales Invoice Lines'!B406</f>
        <v>10540-03</v>
      </c>
      <c r="C406" s="2" t="str">
        <f>'Posted Sales Invoice Lines'!C406</f>
        <v>PFG Louisville TN</v>
      </c>
      <c r="D406" s="2" t="str">
        <f>'Posted Sales Invoice Lines'!E406</f>
        <v>F51137</v>
      </c>
      <c r="E406" s="2" t="str">
        <f>'Posted Sales Invoice Lines'!F406</f>
        <v>Cs. Texas Toast 3/4" 12lvs</v>
      </c>
      <c r="F406" s="3">
        <f>'Posted Sales Invoice Lines'!G406</f>
        <v>46065</v>
      </c>
      <c r="G406" s="9">
        <f>'Posted Sales Invoice Lines'!L406</f>
        <v>28</v>
      </c>
      <c r="H406" s="8">
        <f>'Posted Sales Invoice Lines'!N406</f>
        <v>40.619999999999997</v>
      </c>
      <c r="I406" s="8">
        <f>'Posted Sales Invoice Lines'!O406</f>
        <v>1137.3599999999999</v>
      </c>
    </row>
    <row r="407" spans="1:9" x14ac:dyDescent="0.25">
      <c r="A407" s="2" t="str">
        <f>'Posted Sales Invoice Lines'!A407</f>
        <v>PS-INV186948</v>
      </c>
      <c r="B407" s="2" t="str">
        <f>'Posted Sales Invoice Lines'!B407</f>
        <v>10540-03</v>
      </c>
      <c r="C407" s="2" t="str">
        <f>'Posted Sales Invoice Lines'!C407</f>
        <v>PFG Louisville TN</v>
      </c>
      <c r="D407" s="2" t="str">
        <f>'Posted Sales Invoice Lines'!E407</f>
        <v>F53110</v>
      </c>
      <c r="E407" s="2" t="str">
        <f>'Posted Sales Invoice Lines'!F407</f>
        <v>Cs. Foot Long Challah Hot Dog Buns 10-6pk</v>
      </c>
      <c r="F407" s="3">
        <f>'Posted Sales Invoice Lines'!G407</f>
        <v>46065</v>
      </c>
      <c r="G407" s="9">
        <f>'Posted Sales Invoice Lines'!L407</f>
        <v>56</v>
      </c>
      <c r="H407" s="8">
        <f>'Posted Sales Invoice Lines'!N407</f>
        <v>39.25</v>
      </c>
      <c r="I407" s="8">
        <f>'Posted Sales Invoice Lines'!O407</f>
        <v>2198</v>
      </c>
    </row>
    <row r="408" spans="1:9" x14ac:dyDescent="0.25">
      <c r="A408" s="2" t="str">
        <f>'Posted Sales Invoice Lines'!A408</f>
        <v>PS-INV186948</v>
      </c>
      <c r="B408" s="2" t="str">
        <f>'Posted Sales Invoice Lines'!B408</f>
        <v>10540-03</v>
      </c>
      <c r="C408" s="2" t="str">
        <f>'Posted Sales Invoice Lines'!C408</f>
        <v>PFG Louisville TN</v>
      </c>
      <c r="D408" s="2" t="str">
        <f>'Posted Sales Invoice Lines'!E408</f>
        <v>F53105</v>
      </c>
      <c r="E408" s="2" t="str">
        <f>'Posted Sales Invoice Lines'!F408</f>
        <v>Cs. 6" White Hot Dog 16-8pk</v>
      </c>
      <c r="F408" s="3">
        <f>'Posted Sales Invoice Lines'!G408</f>
        <v>46065</v>
      </c>
      <c r="G408" s="9">
        <f>'Posted Sales Invoice Lines'!L408</f>
        <v>0</v>
      </c>
      <c r="H408" s="8">
        <f>'Posted Sales Invoice Lines'!N408</f>
        <v>34.5</v>
      </c>
      <c r="I408" s="8">
        <f>'Posted Sales Invoice Lines'!O408</f>
        <v>0</v>
      </c>
    </row>
    <row r="409" spans="1:9" x14ac:dyDescent="0.25">
      <c r="A409" s="2" t="str">
        <f>'Posted Sales Invoice Lines'!A409</f>
        <v>PS-INV186948</v>
      </c>
      <c r="B409" s="2" t="str">
        <f>'Posted Sales Invoice Lines'!B409</f>
        <v>10540-03</v>
      </c>
      <c r="C409" s="2" t="str">
        <f>'Posted Sales Invoice Lines'!C409</f>
        <v>PFG Louisville TN</v>
      </c>
      <c r="D409" s="2" t="str">
        <f>'Posted Sales Invoice Lines'!E409</f>
        <v>F53094</v>
      </c>
      <c r="E409" s="2" t="str">
        <f>'Posted Sales Invoice Lines'!F409</f>
        <v>Cs. 6" Italian 12-6pks</v>
      </c>
      <c r="F409" s="3">
        <f>'Posted Sales Invoice Lines'!G409</f>
        <v>46065</v>
      </c>
      <c r="G409" s="9">
        <f>'Posted Sales Invoice Lines'!L409</f>
        <v>112</v>
      </c>
      <c r="H409" s="8">
        <f>'Posted Sales Invoice Lines'!N409</f>
        <v>35</v>
      </c>
      <c r="I409" s="8">
        <f>'Posted Sales Invoice Lines'!O409</f>
        <v>3920</v>
      </c>
    </row>
    <row r="410" spans="1:9" x14ac:dyDescent="0.25">
      <c r="A410" s="2" t="str">
        <f>'Posted Sales Invoice Lines'!A410</f>
        <v>PS-INV186948</v>
      </c>
      <c r="B410" s="2" t="str">
        <f>'Posted Sales Invoice Lines'!B410</f>
        <v>10540-03</v>
      </c>
      <c r="C410" s="2" t="str">
        <f>'Posted Sales Invoice Lines'!C410</f>
        <v>PFG Louisville TN</v>
      </c>
      <c r="D410" s="2" t="str">
        <f>'Posted Sales Invoice Lines'!E410</f>
        <v>F51034</v>
      </c>
      <c r="E410" s="2" t="str">
        <f>'Posted Sales Invoice Lines'!F410</f>
        <v>Cs. Sour Dough Hearth 5/8" 8lvs</v>
      </c>
      <c r="F410" s="3">
        <f>'Posted Sales Invoice Lines'!G410</f>
        <v>46065</v>
      </c>
      <c r="G410" s="9">
        <f>'Posted Sales Invoice Lines'!L410</f>
        <v>16</v>
      </c>
      <c r="H410" s="8">
        <f>'Posted Sales Invoice Lines'!N410</f>
        <v>43.82</v>
      </c>
      <c r="I410" s="8">
        <f>'Posted Sales Invoice Lines'!O410</f>
        <v>701.12</v>
      </c>
    </row>
    <row r="411" spans="1:9" x14ac:dyDescent="0.25">
      <c r="A411" s="2" t="str">
        <f>'Posted Sales Invoice Lines'!A411</f>
        <v>PS-INV186948</v>
      </c>
      <c r="B411" s="2" t="str">
        <f>'Posted Sales Invoice Lines'!B411</f>
        <v>10540-03</v>
      </c>
      <c r="C411" s="2" t="str">
        <f>'Posted Sales Invoice Lines'!C411</f>
        <v>PFG Louisville TN</v>
      </c>
      <c r="D411" s="2" t="str">
        <f>'Posted Sales Invoice Lines'!E411</f>
        <v>F530421</v>
      </c>
      <c r="E411" s="2" t="str">
        <f>'Posted Sales Invoice Lines'!F411</f>
        <v>Cs. 4.5" Challah Buns 6-12pk.</v>
      </c>
      <c r="F411" s="3">
        <f>'Posted Sales Invoice Lines'!G411</f>
        <v>46065</v>
      </c>
      <c r="G411" s="9">
        <f>'Posted Sales Invoice Lines'!L411</f>
        <v>24</v>
      </c>
      <c r="H411" s="8">
        <f>'Posted Sales Invoice Lines'!N411</f>
        <v>38.299999999999997</v>
      </c>
      <c r="I411" s="8">
        <f>'Posted Sales Invoice Lines'!O411</f>
        <v>919.2</v>
      </c>
    </row>
    <row r="412" spans="1:9" x14ac:dyDescent="0.25">
      <c r="A412" s="2" t="str">
        <f>'Posted Sales Invoice Lines'!A412</f>
        <v>PS-INV187533</v>
      </c>
      <c r="B412" s="2" t="str">
        <f>'Posted Sales Invoice Lines'!B412</f>
        <v>1-4</v>
      </c>
      <c r="C412" s="2" t="str">
        <f>'Posted Sales Invoice Lines'!C412</f>
        <v>Heath West</v>
      </c>
      <c r="D412" s="2" t="str">
        <f>'Posted Sales Invoice Lines'!E412</f>
        <v>F56251</v>
      </c>
      <c r="E412" s="2" t="str">
        <f>'Posted Sales Invoice Lines'!F412</f>
        <v>Cs. Challah Sliders Sliced 18-12pks</v>
      </c>
      <c r="F412" s="3">
        <f>'Posted Sales Invoice Lines'!G412</f>
        <v>46062</v>
      </c>
      <c r="G412" s="9">
        <f>'Posted Sales Invoice Lines'!L412</f>
        <v>9</v>
      </c>
      <c r="H412" s="8">
        <f>'Posted Sales Invoice Lines'!N412</f>
        <v>0.01</v>
      </c>
      <c r="I412" s="8">
        <f>'Posted Sales Invoice Lines'!O412</f>
        <v>0</v>
      </c>
    </row>
    <row r="413" spans="1:9" x14ac:dyDescent="0.25">
      <c r="A413" s="2" t="str">
        <f>'Posted Sales Invoice Lines'!A413</f>
        <v>PS-INV187533</v>
      </c>
      <c r="B413" s="2" t="str">
        <f>'Posted Sales Invoice Lines'!B413</f>
        <v>1-4</v>
      </c>
      <c r="C413" s="2" t="str">
        <f>'Posted Sales Invoice Lines'!C413</f>
        <v>Heath West</v>
      </c>
      <c r="D413" s="2" t="str">
        <f>'Posted Sales Invoice Lines'!E413</f>
        <v>F52007</v>
      </c>
      <c r="E413" s="2" t="str">
        <f>'Posted Sales Invoice Lines'!F413</f>
        <v>Cs. 22" 17oz French 10</v>
      </c>
      <c r="F413" s="3">
        <f>'Posted Sales Invoice Lines'!G413</f>
        <v>46062</v>
      </c>
      <c r="G413" s="9">
        <f>'Posted Sales Invoice Lines'!L413</f>
        <v>4</v>
      </c>
      <c r="H413" s="8">
        <f>'Posted Sales Invoice Lines'!N413</f>
        <v>0</v>
      </c>
      <c r="I413" s="8">
        <f>'Posted Sales Invoice Lines'!O413</f>
        <v>0</v>
      </c>
    </row>
    <row r="414" spans="1:9" x14ac:dyDescent="0.25">
      <c r="A414" s="2" t="str">
        <f>'Posted Sales Invoice Lines'!A414</f>
        <v>PS-INV187664</v>
      </c>
      <c r="B414" s="2" t="str">
        <f>'Posted Sales Invoice Lines'!B414</f>
        <v>10155-45</v>
      </c>
      <c r="C414" s="2" t="str">
        <f>'Posted Sales Invoice Lines'!C414</f>
        <v>Hammer and Spoon MTWTHF</v>
      </c>
      <c r="D414" s="2" t="str">
        <f>'Posted Sales Invoice Lines'!E414</f>
        <v>F56251</v>
      </c>
      <c r="E414" s="2" t="str">
        <f>'Posted Sales Invoice Lines'!F414</f>
        <v>Cs. Challah Sliders Sliced 18-12pks</v>
      </c>
      <c r="F414" s="3">
        <f>'Posted Sales Invoice Lines'!G414</f>
        <v>46056</v>
      </c>
      <c r="G414" s="9">
        <f>'Posted Sales Invoice Lines'!L414</f>
        <v>0</v>
      </c>
      <c r="H414" s="8">
        <f>'Posted Sales Invoice Lines'!N414</f>
        <v>0</v>
      </c>
      <c r="I414" s="8">
        <f>'Posted Sales Invoice Lines'!O414</f>
        <v>0</v>
      </c>
    </row>
    <row r="415" spans="1:9" x14ac:dyDescent="0.25">
      <c r="A415" s="2" t="str">
        <f>'Posted Sales Invoice Lines'!A415</f>
        <v>PS-INV187664</v>
      </c>
      <c r="B415" s="2" t="str">
        <f>'Posted Sales Invoice Lines'!B415</f>
        <v>10155-45</v>
      </c>
      <c r="C415" s="2" t="str">
        <f>'Posted Sales Invoice Lines'!C415</f>
        <v>Hammer and Spoon MTWTHF</v>
      </c>
      <c r="D415" s="2" t="str">
        <f>'Posted Sales Invoice Lines'!E415</f>
        <v>F56255</v>
      </c>
      <c r="E415" s="2" t="str">
        <f>'Posted Sales Invoice Lines'!F415</f>
        <v>Cs. English Muffin 30-6pk</v>
      </c>
      <c r="F415" s="3">
        <f>'Posted Sales Invoice Lines'!G415</f>
        <v>46056</v>
      </c>
      <c r="G415" s="9">
        <f>'Posted Sales Invoice Lines'!L415</f>
        <v>0</v>
      </c>
      <c r="H415" s="8">
        <f>'Posted Sales Invoice Lines'!N415</f>
        <v>0</v>
      </c>
      <c r="I415" s="8">
        <f>'Posted Sales Invoice Lines'!O415</f>
        <v>0</v>
      </c>
    </row>
    <row r="416" spans="1:9" x14ac:dyDescent="0.25">
      <c r="A416" s="2" t="str">
        <f>'Posted Sales Invoice Lines'!A416</f>
        <v>PS-INV187737</v>
      </c>
      <c r="B416" s="2" t="str">
        <f>'Posted Sales Invoice Lines'!B416</f>
        <v>10899-01</v>
      </c>
      <c r="C416" s="2" t="str">
        <f>'Posted Sales Invoice Lines'!C416</f>
        <v xml:space="preserve">Wood Fruitticher *HBH* (USE MASTER FOR PO's) </v>
      </c>
      <c r="D416" s="2" t="str">
        <f>'Posted Sales Invoice Lines'!E416</f>
        <v>F53115</v>
      </c>
      <c r="E416" s="2" t="str">
        <f>'Posted Sales Invoice Lines'!F416</f>
        <v>Cs. 7" French Unsliced 12-6pk</v>
      </c>
      <c r="F416" s="3">
        <f>'Posted Sales Invoice Lines'!G416</f>
        <v>46072</v>
      </c>
      <c r="G416" s="9">
        <f>'Posted Sales Invoice Lines'!L416</f>
        <v>24</v>
      </c>
      <c r="H416" s="8">
        <f>'Posted Sales Invoice Lines'!N416</f>
        <v>28.88</v>
      </c>
      <c r="I416" s="8">
        <f>'Posted Sales Invoice Lines'!O416</f>
        <v>693.12</v>
      </c>
    </row>
    <row r="417" spans="1:9" x14ac:dyDescent="0.25">
      <c r="A417" s="2" t="str">
        <f>'Posted Sales Invoice Lines'!A417</f>
        <v>PS-INV187737</v>
      </c>
      <c r="B417" s="2" t="str">
        <f>'Posted Sales Invoice Lines'!B417</f>
        <v>10899-01</v>
      </c>
      <c r="C417" s="2" t="str">
        <f>'Posted Sales Invoice Lines'!C417</f>
        <v xml:space="preserve">Wood Fruitticher *HBH* (USE MASTER FOR PO's) </v>
      </c>
      <c r="D417" s="2" t="str">
        <f>'Posted Sales Invoice Lines'!E417</f>
        <v>F53000</v>
      </c>
      <c r="E417" s="2" t="str">
        <f>'Posted Sales Invoice Lines'!F417</f>
        <v>Cs. 4" Hamburger Bun 8-12pk</v>
      </c>
      <c r="F417" s="3">
        <f>'Posted Sales Invoice Lines'!G417</f>
        <v>46072</v>
      </c>
      <c r="G417" s="9">
        <f>'Posted Sales Invoice Lines'!L417</f>
        <v>196</v>
      </c>
      <c r="H417" s="8">
        <f>'Posted Sales Invoice Lines'!N417</f>
        <v>28.33</v>
      </c>
      <c r="I417" s="8">
        <f>'Posted Sales Invoice Lines'!O417</f>
        <v>5552.68</v>
      </c>
    </row>
    <row r="418" spans="1:9" x14ac:dyDescent="0.25">
      <c r="A418" s="2" t="str">
        <f>'Posted Sales Invoice Lines'!A418</f>
        <v>PS-INV187737</v>
      </c>
      <c r="B418" s="2" t="str">
        <f>'Posted Sales Invoice Lines'!B418</f>
        <v>10899-01</v>
      </c>
      <c r="C418" s="2" t="str">
        <f>'Posted Sales Invoice Lines'!C418</f>
        <v xml:space="preserve">Wood Fruitticher *HBH* (USE MASTER FOR PO's) </v>
      </c>
      <c r="D418" s="2" t="str">
        <f>'Posted Sales Invoice Lines'!E418</f>
        <v>F51137</v>
      </c>
      <c r="E418" s="2" t="str">
        <f>'Posted Sales Invoice Lines'!F418</f>
        <v>Cs. Texas Toast 3/4" 12lvs</v>
      </c>
      <c r="F418" s="3">
        <f>'Posted Sales Invoice Lines'!G418</f>
        <v>46072</v>
      </c>
      <c r="G418" s="9">
        <f>'Posted Sales Invoice Lines'!L418</f>
        <v>240</v>
      </c>
      <c r="H418" s="8">
        <f>'Posted Sales Invoice Lines'!N418</f>
        <v>28.49</v>
      </c>
      <c r="I418" s="8">
        <f>'Posted Sales Invoice Lines'!O418</f>
        <v>6837.6</v>
      </c>
    </row>
    <row r="419" spans="1:9" x14ac:dyDescent="0.25">
      <c r="A419" s="2" t="str">
        <f>'Posted Sales Invoice Lines'!A419</f>
        <v>PS-INV187737</v>
      </c>
      <c r="B419" s="2" t="str">
        <f>'Posted Sales Invoice Lines'!B419</f>
        <v>10899-01</v>
      </c>
      <c r="C419" s="2" t="str">
        <f>'Posted Sales Invoice Lines'!C419</f>
        <v xml:space="preserve">Wood Fruitticher *HBH* (USE MASTER FOR PO's) </v>
      </c>
      <c r="D419" s="2" t="str">
        <f>'Posted Sales Invoice Lines'!E419</f>
        <v>F51136</v>
      </c>
      <c r="E419" s="2" t="str">
        <f>'Posted Sales Invoice Lines'!F419</f>
        <v>Cs. Texas Toast 1" 12lvs</v>
      </c>
      <c r="F419" s="3">
        <f>'Posted Sales Invoice Lines'!G419</f>
        <v>46072</v>
      </c>
      <c r="G419" s="9">
        <f>'Posted Sales Invoice Lines'!L419</f>
        <v>84</v>
      </c>
      <c r="H419" s="8">
        <f>'Posted Sales Invoice Lines'!N419</f>
        <v>28.49</v>
      </c>
      <c r="I419" s="8">
        <f>'Posted Sales Invoice Lines'!O419</f>
        <v>2393.16</v>
      </c>
    </row>
    <row r="420" spans="1:9" x14ac:dyDescent="0.25">
      <c r="A420" s="2" t="str">
        <f>'Posted Sales Invoice Lines'!A420</f>
        <v>PS-INV187737</v>
      </c>
      <c r="B420" s="2" t="str">
        <f>'Posted Sales Invoice Lines'!B420</f>
        <v>10899-01</v>
      </c>
      <c r="C420" s="2" t="str">
        <f>'Posted Sales Invoice Lines'!C420</f>
        <v xml:space="preserve">Wood Fruitticher *HBH* (USE MASTER FOR PO's) </v>
      </c>
      <c r="D420" s="2" t="str">
        <f>'Posted Sales Invoice Lines'!E420</f>
        <v>F51134</v>
      </c>
      <c r="E420" s="2" t="str">
        <f>'Posted Sales Invoice Lines'!F420</f>
        <v>Cs. Club Wheat 12lvs</v>
      </c>
      <c r="F420" s="3">
        <f>'Posted Sales Invoice Lines'!G420</f>
        <v>46072</v>
      </c>
      <c r="G420" s="9">
        <f>'Posted Sales Invoice Lines'!L420</f>
        <v>32</v>
      </c>
      <c r="H420" s="8">
        <f>'Posted Sales Invoice Lines'!N420</f>
        <v>28.49</v>
      </c>
      <c r="I420" s="8">
        <f>'Posted Sales Invoice Lines'!O420</f>
        <v>911.68</v>
      </c>
    </row>
    <row r="421" spans="1:9" x14ac:dyDescent="0.25">
      <c r="A421" s="2" t="str">
        <f>'Posted Sales Invoice Lines'!A421</f>
        <v>PS-INV187737</v>
      </c>
      <c r="B421" s="2" t="str">
        <f>'Posted Sales Invoice Lines'!B421</f>
        <v>10899-01</v>
      </c>
      <c r="C421" s="2" t="str">
        <f>'Posted Sales Invoice Lines'!C421</f>
        <v xml:space="preserve">Wood Fruitticher *HBH* (USE MASTER FOR PO's) </v>
      </c>
      <c r="D421" s="2" t="str">
        <f>'Posted Sales Invoice Lines'!E421</f>
        <v>F51130</v>
      </c>
      <c r="E421" s="2" t="str">
        <f>'Posted Sales Invoice Lines'!F421</f>
        <v>Cs. Club White 12lvs</v>
      </c>
      <c r="F421" s="3">
        <f>'Posted Sales Invoice Lines'!G421</f>
        <v>46072</v>
      </c>
      <c r="G421" s="9">
        <f>'Posted Sales Invoice Lines'!L421</f>
        <v>64</v>
      </c>
      <c r="H421" s="8">
        <f>'Posted Sales Invoice Lines'!N421</f>
        <v>28.49</v>
      </c>
      <c r="I421" s="8">
        <f>'Posted Sales Invoice Lines'!O421</f>
        <v>1823.36</v>
      </c>
    </row>
    <row r="422" spans="1:9" x14ac:dyDescent="0.25">
      <c r="A422" s="2" t="str">
        <f>'Posted Sales Invoice Lines'!A422</f>
        <v>PS-INV187737</v>
      </c>
      <c r="B422" s="2" t="str">
        <f>'Posted Sales Invoice Lines'!B422</f>
        <v>10899-01</v>
      </c>
      <c r="C422" s="2" t="str">
        <f>'Posted Sales Invoice Lines'!C422</f>
        <v xml:space="preserve">Wood Fruitticher *HBH* (USE MASTER FOR PO's) </v>
      </c>
      <c r="D422" s="2" t="str">
        <f>'Posted Sales Invoice Lines'!E422</f>
        <v>F53094</v>
      </c>
      <c r="E422" s="2" t="str">
        <f>'Posted Sales Invoice Lines'!F422</f>
        <v>Cs. 6" Italian 12-6pks</v>
      </c>
      <c r="F422" s="3">
        <f>'Posted Sales Invoice Lines'!G422</f>
        <v>46072</v>
      </c>
      <c r="G422" s="9">
        <f>'Posted Sales Invoice Lines'!L422</f>
        <v>168</v>
      </c>
      <c r="H422" s="8">
        <f>'Posted Sales Invoice Lines'!N422</f>
        <v>25.25</v>
      </c>
      <c r="I422" s="8">
        <f>'Posted Sales Invoice Lines'!O422</f>
        <v>4242</v>
      </c>
    </row>
    <row r="423" spans="1:9" x14ac:dyDescent="0.25">
      <c r="A423" s="2" t="str">
        <f>'Posted Sales Invoice Lines'!A423</f>
        <v>PS-INV187737</v>
      </c>
      <c r="B423" s="2" t="str">
        <f>'Posted Sales Invoice Lines'!B423</f>
        <v>10899-01</v>
      </c>
      <c r="C423" s="2" t="str">
        <f>'Posted Sales Invoice Lines'!C423</f>
        <v xml:space="preserve">Wood Fruitticher *HBH* (USE MASTER FOR PO's) </v>
      </c>
      <c r="D423" s="2" t="str">
        <f>'Posted Sales Invoice Lines'!E423</f>
        <v>F51034</v>
      </c>
      <c r="E423" s="2" t="str">
        <f>'Posted Sales Invoice Lines'!F423</f>
        <v>Cs. Sour Dough Hearth 5/8" 8lvs</v>
      </c>
      <c r="F423" s="3">
        <f>'Posted Sales Invoice Lines'!G423</f>
        <v>46072</v>
      </c>
      <c r="G423" s="9">
        <f>'Posted Sales Invoice Lines'!L423</f>
        <v>24</v>
      </c>
      <c r="H423" s="8">
        <f>'Posted Sales Invoice Lines'!N423</f>
        <v>37.950000000000003</v>
      </c>
      <c r="I423" s="8">
        <f>'Posted Sales Invoice Lines'!O423</f>
        <v>910.8</v>
      </c>
    </row>
    <row r="424" spans="1:9" x14ac:dyDescent="0.25">
      <c r="A424" s="2" t="str">
        <f>'Posted Sales Invoice Lines'!A424</f>
        <v>PS-INV187788</v>
      </c>
      <c r="B424" s="2" t="str">
        <f>'Posted Sales Invoice Lines'!B424</f>
        <v>10719-4</v>
      </c>
      <c r="C424" s="2" t="str">
        <f>'Posted Sales Invoice Lines'!C424</f>
        <v>US Foods - Columbia/Lexington</v>
      </c>
      <c r="D424" s="2" t="str">
        <f>'Posted Sales Invoice Lines'!E424</f>
        <v>F53005</v>
      </c>
      <c r="E424" s="2" t="str">
        <f>'Posted Sales Invoice Lines'!F424</f>
        <v>Cs. 4" Gourmet PDS Bun 8-12pk</v>
      </c>
      <c r="F424" s="3">
        <f>'Posted Sales Invoice Lines'!G424</f>
        <v>46064</v>
      </c>
      <c r="G424" s="9">
        <f>'Posted Sales Invoice Lines'!L424</f>
        <v>76</v>
      </c>
      <c r="H424" s="8">
        <f>'Posted Sales Invoice Lines'!N424</f>
        <v>39</v>
      </c>
      <c r="I424" s="8">
        <f>'Posted Sales Invoice Lines'!O424</f>
        <v>2964</v>
      </c>
    </row>
    <row r="425" spans="1:9" x14ac:dyDescent="0.25">
      <c r="A425" s="2" t="str">
        <f>'Posted Sales Invoice Lines'!A425</f>
        <v>PS-INV187788</v>
      </c>
      <c r="B425" s="2" t="str">
        <f>'Posted Sales Invoice Lines'!B425</f>
        <v>10719-4</v>
      </c>
      <c r="C425" s="2" t="str">
        <f>'Posted Sales Invoice Lines'!C425</f>
        <v>US Foods - Columbia/Lexington</v>
      </c>
      <c r="D425" s="2" t="str">
        <f>'Posted Sales Invoice Lines'!E425</f>
        <v>F51414</v>
      </c>
      <c r="E425" s="2" t="str">
        <f>'Posted Sales Invoice Lines'!F425</f>
        <v>Cs. Cranberry 9 Grain Hearth 5/8" 8lvs</v>
      </c>
      <c r="F425" s="3">
        <f>'Posted Sales Invoice Lines'!G425</f>
        <v>46064</v>
      </c>
      <c r="G425" s="9">
        <f>'Posted Sales Invoice Lines'!L425</f>
        <v>12</v>
      </c>
      <c r="H425" s="8">
        <f>'Posted Sales Invoice Lines'!N425</f>
        <v>64</v>
      </c>
      <c r="I425" s="8">
        <f>'Posted Sales Invoice Lines'!O425</f>
        <v>768</v>
      </c>
    </row>
    <row r="426" spans="1:9" x14ac:dyDescent="0.25">
      <c r="A426" s="2" t="str">
        <f>'Posted Sales Invoice Lines'!A426</f>
        <v>PS-INV187788</v>
      </c>
      <c r="B426" s="2" t="str">
        <f>'Posted Sales Invoice Lines'!B426</f>
        <v>10719-4</v>
      </c>
      <c r="C426" s="2" t="str">
        <f>'Posted Sales Invoice Lines'!C426</f>
        <v>US Foods - Columbia/Lexington</v>
      </c>
      <c r="D426" s="2" t="str">
        <f>'Posted Sales Invoice Lines'!E426</f>
        <v>F51077</v>
      </c>
      <c r="E426" s="2" t="str">
        <f>'Posted Sales Invoice Lines'!F426</f>
        <v>Cs. Oatie Multigrain 5/8" 8lvs</v>
      </c>
      <c r="F426" s="3">
        <f>'Posted Sales Invoice Lines'!G426</f>
        <v>46064</v>
      </c>
      <c r="G426" s="9">
        <f>'Posted Sales Invoice Lines'!L426</f>
        <v>48</v>
      </c>
      <c r="H426" s="8">
        <f>'Posted Sales Invoice Lines'!N426</f>
        <v>56</v>
      </c>
      <c r="I426" s="8">
        <f>'Posted Sales Invoice Lines'!O426</f>
        <v>2688</v>
      </c>
    </row>
    <row r="427" spans="1:9" x14ac:dyDescent="0.25">
      <c r="A427" s="2" t="str">
        <f>'Posted Sales Invoice Lines'!A427</f>
        <v>PS-INV187788</v>
      </c>
      <c r="B427" s="2" t="str">
        <f>'Posted Sales Invoice Lines'!B427</f>
        <v>10719-4</v>
      </c>
      <c r="C427" s="2" t="str">
        <f>'Posted Sales Invoice Lines'!C427</f>
        <v>US Foods - Columbia/Lexington</v>
      </c>
      <c r="D427" s="2" t="str">
        <f>'Posted Sales Invoice Lines'!E427</f>
        <v>F53094</v>
      </c>
      <c r="E427" s="2" t="str">
        <f>'Posted Sales Invoice Lines'!F427</f>
        <v>Cs. 6" Italian 12-6pks</v>
      </c>
      <c r="F427" s="3">
        <f>'Posted Sales Invoice Lines'!G427</f>
        <v>46064</v>
      </c>
      <c r="G427" s="9">
        <f>'Posted Sales Invoice Lines'!L427</f>
        <v>16</v>
      </c>
      <c r="H427" s="8">
        <f>'Posted Sales Invoice Lines'!N427</f>
        <v>39</v>
      </c>
      <c r="I427" s="8">
        <f>'Posted Sales Invoice Lines'!O427</f>
        <v>624</v>
      </c>
    </row>
    <row r="428" spans="1:9" x14ac:dyDescent="0.25">
      <c r="A428" s="2" t="str">
        <f>'Posted Sales Invoice Lines'!A428</f>
        <v>PS-INV187788</v>
      </c>
      <c r="B428" s="2" t="str">
        <f>'Posted Sales Invoice Lines'!B428</f>
        <v>10719-4</v>
      </c>
      <c r="C428" s="2" t="str">
        <f>'Posted Sales Invoice Lines'!C428</f>
        <v>US Foods - Columbia/Lexington</v>
      </c>
      <c r="D428" s="2" t="str">
        <f>'Posted Sales Invoice Lines'!E428</f>
        <v>F530041</v>
      </c>
      <c r="E428" s="2" t="str">
        <f>'Posted Sales Invoice Lines'!F428</f>
        <v>Cs. 4" S&amp;P Brioche Bun 8-12pk</v>
      </c>
      <c r="F428" s="3">
        <f>'Posted Sales Invoice Lines'!G428</f>
        <v>46064</v>
      </c>
      <c r="G428" s="9">
        <f>'Posted Sales Invoice Lines'!L428</f>
        <v>60</v>
      </c>
      <c r="H428" s="8">
        <f>'Posted Sales Invoice Lines'!N428</f>
        <v>46</v>
      </c>
      <c r="I428" s="8">
        <f>'Posted Sales Invoice Lines'!O428</f>
        <v>2760</v>
      </c>
    </row>
    <row r="429" spans="1:9" x14ac:dyDescent="0.25">
      <c r="A429" s="2" t="str">
        <f>'Posted Sales Invoice Lines'!A429</f>
        <v>PS-INV187788</v>
      </c>
      <c r="B429" s="2" t="str">
        <f>'Posted Sales Invoice Lines'!B429</f>
        <v>10719-4</v>
      </c>
      <c r="C429" s="2" t="str">
        <f>'Posted Sales Invoice Lines'!C429</f>
        <v>US Foods - Columbia/Lexington</v>
      </c>
      <c r="D429" s="2" t="str">
        <f>'Posted Sales Invoice Lines'!E429</f>
        <v>F53310</v>
      </c>
      <c r="E429" s="2" t="str">
        <f>'Posted Sales Invoice Lines'!F429</f>
        <v>Cs. LobsterRoll 12-12</v>
      </c>
      <c r="F429" s="3">
        <f>'Posted Sales Invoice Lines'!G429</f>
        <v>46064</v>
      </c>
      <c r="G429" s="9">
        <f>'Posted Sales Invoice Lines'!L429</f>
        <v>16</v>
      </c>
      <c r="H429" s="8">
        <f>'Posted Sales Invoice Lines'!N429</f>
        <v>48.06</v>
      </c>
      <c r="I429" s="8">
        <f>'Posted Sales Invoice Lines'!O429</f>
        <v>768.96</v>
      </c>
    </row>
    <row r="430" spans="1:9" x14ac:dyDescent="0.25">
      <c r="A430" s="2" t="str">
        <f>'Posted Sales Invoice Lines'!A430</f>
        <v>PS-INV187788</v>
      </c>
      <c r="B430" s="2" t="str">
        <f>'Posted Sales Invoice Lines'!B430</f>
        <v>10719-4</v>
      </c>
      <c r="C430" s="2" t="str">
        <f>'Posted Sales Invoice Lines'!C430</f>
        <v>US Foods - Columbia/Lexington</v>
      </c>
      <c r="D430" s="2" t="str">
        <f>'Posted Sales Invoice Lines'!E430</f>
        <v>F56251</v>
      </c>
      <c r="E430" s="2" t="str">
        <f>'Posted Sales Invoice Lines'!F430</f>
        <v>Cs. Challah Sliders Sliced 18-12pks</v>
      </c>
      <c r="F430" s="3">
        <f>'Posted Sales Invoice Lines'!G430</f>
        <v>46064</v>
      </c>
      <c r="G430" s="9">
        <f>'Posted Sales Invoice Lines'!L430</f>
        <v>60</v>
      </c>
      <c r="H430" s="8">
        <f>'Posted Sales Invoice Lines'!N430</f>
        <v>44</v>
      </c>
      <c r="I430" s="8">
        <f>'Posted Sales Invoice Lines'!O430</f>
        <v>2640</v>
      </c>
    </row>
    <row r="431" spans="1:9" x14ac:dyDescent="0.25">
      <c r="A431" s="2" t="str">
        <f>'Posted Sales Invoice Lines'!A431</f>
        <v>PS-INV187788</v>
      </c>
      <c r="B431" s="2" t="str">
        <f>'Posted Sales Invoice Lines'!B431</f>
        <v>10719-4</v>
      </c>
      <c r="C431" s="2" t="str">
        <f>'Posted Sales Invoice Lines'!C431</f>
        <v>US Foods - Columbia/Lexington</v>
      </c>
      <c r="D431" s="2" t="str">
        <f>'Posted Sales Invoice Lines'!E431</f>
        <v>F53001</v>
      </c>
      <c r="E431" s="2" t="str">
        <f>'Posted Sales Invoice Lines'!F431</f>
        <v>Cs. 4" Brioche Bun 8-12pk</v>
      </c>
      <c r="F431" s="3">
        <f>'Posted Sales Invoice Lines'!G431</f>
        <v>46064</v>
      </c>
      <c r="G431" s="9">
        <f>'Posted Sales Invoice Lines'!L431</f>
        <v>24</v>
      </c>
      <c r="H431" s="8">
        <f>'Posted Sales Invoice Lines'!N431</f>
        <v>43.5</v>
      </c>
      <c r="I431" s="8">
        <f>'Posted Sales Invoice Lines'!O431</f>
        <v>1044</v>
      </c>
    </row>
    <row r="432" spans="1:9" x14ac:dyDescent="0.25">
      <c r="A432" s="2" t="str">
        <f>'Posted Sales Invoice Lines'!A432</f>
        <v>PS-INV187788</v>
      </c>
      <c r="B432" s="2" t="str">
        <f>'Posted Sales Invoice Lines'!B432</f>
        <v>10719-4</v>
      </c>
      <c r="C432" s="2" t="str">
        <f>'Posted Sales Invoice Lines'!C432</f>
        <v>US Foods - Columbia/Lexington</v>
      </c>
      <c r="D432" s="2" t="str">
        <f>'Posted Sales Invoice Lines'!E432</f>
        <v>F51024</v>
      </c>
      <c r="E432" s="2" t="str">
        <f>'Posted Sales Invoice Lines'!F432</f>
        <v>Cs. Marble Rye 5/8" 8lvs</v>
      </c>
      <c r="F432" s="3">
        <f>'Posted Sales Invoice Lines'!G432</f>
        <v>46064</v>
      </c>
      <c r="G432" s="9">
        <f>'Posted Sales Invoice Lines'!L432</f>
        <v>12</v>
      </c>
      <c r="H432" s="8">
        <f>'Posted Sales Invoice Lines'!N432</f>
        <v>54</v>
      </c>
      <c r="I432" s="8">
        <f>'Posted Sales Invoice Lines'!O432</f>
        <v>648</v>
      </c>
    </row>
    <row r="433" spans="1:9" x14ac:dyDescent="0.25">
      <c r="A433" s="2" t="str">
        <f>'Posted Sales Invoice Lines'!A433</f>
        <v>PS-INV187788</v>
      </c>
      <c r="B433" s="2" t="str">
        <f>'Posted Sales Invoice Lines'!B433</f>
        <v>10719-4</v>
      </c>
      <c r="C433" s="2" t="str">
        <f>'Posted Sales Invoice Lines'!C433</f>
        <v>US Foods - Columbia/Lexington</v>
      </c>
      <c r="D433" s="2" t="str">
        <f>'Posted Sales Invoice Lines'!E433</f>
        <v>F54005</v>
      </c>
      <c r="E433" s="2" t="str">
        <f>'Posted Sales Invoice Lines'!F433</f>
        <v>Cs. Potato Roll 12-16pk</v>
      </c>
      <c r="F433" s="3">
        <f>'Posted Sales Invoice Lines'!G433</f>
        <v>46064</v>
      </c>
      <c r="G433" s="9">
        <f>'Posted Sales Invoice Lines'!L433</f>
        <v>48</v>
      </c>
      <c r="H433" s="8">
        <f>'Posted Sales Invoice Lines'!N433</f>
        <v>50.05</v>
      </c>
      <c r="I433" s="8">
        <f>'Posted Sales Invoice Lines'!O433</f>
        <v>2402.4</v>
      </c>
    </row>
    <row r="434" spans="1:9" x14ac:dyDescent="0.25">
      <c r="A434" s="2" t="str">
        <f>'Posted Sales Invoice Lines'!A434</f>
        <v>PS-INV187790</v>
      </c>
      <c r="B434" s="2" t="str">
        <f>'Posted Sales Invoice Lines'!B434</f>
        <v>11005</v>
      </c>
      <c r="C434" s="2" t="str">
        <f>'Posted Sales Invoice Lines'!C434</f>
        <v>Dot Foods Inc.</v>
      </c>
      <c r="D434" s="2" t="str">
        <f>'Posted Sales Invoice Lines'!E434</f>
        <v>F530142</v>
      </c>
      <c r="E434" s="2" t="str">
        <f>'Posted Sales Invoice Lines'!F434</f>
        <v>Cs. Knot Roll 8-12pk</v>
      </c>
      <c r="F434" s="3">
        <f>'Posted Sales Invoice Lines'!G434</f>
        <v>46072</v>
      </c>
      <c r="G434" s="9">
        <f>'Posted Sales Invoice Lines'!L434</f>
        <v>576</v>
      </c>
      <c r="H434" s="8">
        <f>'Posted Sales Invoice Lines'!N434</f>
        <v>33.42</v>
      </c>
      <c r="I434" s="8">
        <f>'Posted Sales Invoice Lines'!O434</f>
        <v>19249.919999999998</v>
      </c>
    </row>
    <row r="435" spans="1:9" x14ac:dyDescent="0.25">
      <c r="A435" s="2" t="str">
        <f>'Posted Sales Invoice Lines'!A435</f>
        <v>PS-INV187790</v>
      </c>
      <c r="B435" s="2" t="str">
        <f>'Posted Sales Invoice Lines'!B435</f>
        <v>11005</v>
      </c>
      <c r="C435" s="2" t="str">
        <f>'Posted Sales Invoice Lines'!C435</f>
        <v>Dot Foods Inc.</v>
      </c>
      <c r="D435" s="2" t="str">
        <f>'Posted Sales Invoice Lines'!E435</f>
        <v>F540212</v>
      </c>
      <c r="E435" s="2" t="str">
        <f>'Posted Sales Invoice Lines'!F435</f>
        <v>Cs. HBH White Mountain Roll</v>
      </c>
      <c r="F435" s="3">
        <f>'Posted Sales Invoice Lines'!G435</f>
        <v>46072</v>
      </c>
      <c r="G435" s="9">
        <f>'Posted Sales Invoice Lines'!L435</f>
        <v>32</v>
      </c>
      <c r="H435" s="8">
        <f>'Posted Sales Invoice Lines'!N435</f>
        <v>26.96</v>
      </c>
      <c r="I435" s="8">
        <f>'Posted Sales Invoice Lines'!O435</f>
        <v>862.72</v>
      </c>
    </row>
    <row r="436" spans="1:9" x14ac:dyDescent="0.25">
      <c r="A436" s="2" t="str">
        <f>'Posted Sales Invoice Lines'!A436</f>
        <v>PS-INV187790</v>
      </c>
      <c r="B436" s="2" t="str">
        <f>'Posted Sales Invoice Lines'!B436</f>
        <v>11005</v>
      </c>
      <c r="C436" s="2" t="str">
        <f>'Posted Sales Invoice Lines'!C436</f>
        <v>Dot Foods Inc.</v>
      </c>
      <c r="D436" s="2" t="str">
        <f>'Posted Sales Invoice Lines'!E436</f>
        <v>F540222</v>
      </c>
      <c r="E436" s="2" t="str">
        <f>'Posted Sales Invoice Lines'!F436</f>
        <v>Cs. HBH Mini Twist</v>
      </c>
      <c r="F436" s="3">
        <f>'Posted Sales Invoice Lines'!G436</f>
        <v>46072</v>
      </c>
      <c r="G436" s="9">
        <f>'Posted Sales Invoice Lines'!L436</f>
        <v>64</v>
      </c>
      <c r="H436" s="8">
        <f>'Posted Sales Invoice Lines'!N436</f>
        <v>29.53</v>
      </c>
      <c r="I436" s="8">
        <f>'Posted Sales Invoice Lines'!O436</f>
        <v>1889.92</v>
      </c>
    </row>
    <row r="437" spans="1:9" x14ac:dyDescent="0.25">
      <c r="A437" s="2" t="str">
        <f>'Posted Sales Invoice Lines'!A437</f>
        <v>PS-INV187790</v>
      </c>
      <c r="B437" s="2" t="str">
        <f>'Posted Sales Invoice Lines'!B437</f>
        <v>11005</v>
      </c>
      <c r="C437" s="2" t="str">
        <f>'Posted Sales Invoice Lines'!C437</f>
        <v>Dot Foods Inc.</v>
      </c>
      <c r="D437" s="2" t="str">
        <f>'Posted Sales Invoice Lines'!E437</f>
        <v>F540202</v>
      </c>
      <c r="E437" s="2" t="str">
        <f>'Posted Sales Invoice Lines'!F437</f>
        <v>Cs. HBH Wheat Roll</v>
      </c>
      <c r="F437" s="3">
        <f>'Posted Sales Invoice Lines'!G437</f>
        <v>46072</v>
      </c>
      <c r="G437" s="9">
        <f>'Posted Sales Invoice Lines'!L437</f>
        <v>32</v>
      </c>
      <c r="H437" s="8">
        <f>'Posted Sales Invoice Lines'!N437</f>
        <v>26.22</v>
      </c>
      <c r="I437" s="8">
        <f>'Posted Sales Invoice Lines'!O437</f>
        <v>839.04</v>
      </c>
    </row>
    <row r="438" spans="1:9" x14ac:dyDescent="0.25">
      <c r="A438" s="2" t="str">
        <f>'Posted Sales Invoice Lines'!A438</f>
        <v>PS-INV187811</v>
      </c>
      <c r="B438" s="2" t="str">
        <f>'Posted Sales Invoice Lines'!B438</f>
        <v>12692</v>
      </c>
      <c r="C438" s="2" t="str">
        <f>'Posted Sales Invoice Lines'!C438</f>
        <v>United Food Service</v>
      </c>
      <c r="D438" s="2" t="str">
        <f>'Posted Sales Invoice Lines'!E438</f>
        <v>F53116</v>
      </c>
      <c r="E438" s="2" t="str">
        <f>'Posted Sales Invoice Lines'!F438</f>
        <v>Cs. 7" French Hinged 12</v>
      </c>
      <c r="F438" s="3">
        <f>'Posted Sales Invoice Lines'!G438</f>
        <v>46057</v>
      </c>
      <c r="G438" s="9">
        <f>'Posted Sales Invoice Lines'!L438</f>
        <v>248</v>
      </c>
      <c r="H438" s="8">
        <f>'Posted Sales Invoice Lines'!N438</f>
        <v>32.5</v>
      </c>
      <c r="I438" s="8">
        <f>'Posted Sales Invoice Lines'!O438</f>
        <v>8060</v>
      </c>
    </row>
    <row r="439" spans="1:9" x14ac:dyDescent="0.25">
      <c r="A439" s="2" t="str">
        <f>'Posted Sales Invoice Lines'!A439</f>
        <v>PS-INV187811</v>
      </c>
      <c r="B439" s="2" t="str">
        <f>'Posted Sales Invoice Lines'!B439</f>
        <v>12692</v>
      </c>
      <c r="C439" s="2" t="str">
        <f>'Posted Sales Invoice Lines'!C439</f>
        <v>United Food Service</v>
      </c>
      <c r="D439" s="2" t="str">
        <f>'Posted Sales Invoice Lines'!E439</f>
        <v>F53122</v>
      </c>
      <c r="E439" s="2" t="str">
        <f>'Posted Sales Invoice Lines'!F439</f>
        <v>Cs. 8" Italian Hinged 12-6pk</v>
      </c>
      <c r="F439" s="3">
        <f>'Posted Sales Invoice Lines'!G439</f>
        <v>46057</v>
      </c>
      <c r="G439" s="9">
        <f>'Posted Sales Invoice Lines'!L439</f>
        <v>28</v>
      </c>
      <c r="H439" s="8">
        <f>'Posted Sales Invoice Lines'!N439</f>
        <v>42.75</v>
      </c>
      <c r="I439" s="8">
        <f>'Posted Sales Invoice Lines'!O439</f>
        <v>1197</v>
      </c>
    </row>
    <row r="440" spans="1:9" x14ac:dyDescent="0.25">
      <c r="A440" s="2" t="str">
        <f>'Posted Sales Invoice Lines'!A440</f>
        <v>PS-INV187849</v>
      </c>
      <c r="B440" s="2" t="str">
        <f>'Posted Sales Invoice Lines'!B440</f>
        <v>13077</v>
      </c>
      <c r="C440" s="2" t="str">
        <f>'Posted Sales Invoice Lines'!C440</f>
        <v>Ben E Keith - Little Rock, AR</v>
      </c>
      <c r="D440" s="2" t="str">
        <f>'Posted Sales Invoice Lines'!E440</f>
        <v>F53122</v>
      </c>
      <c r="E440" s="2" t="str">
        <f>'Posted Sales Invoice Lines'!F440</f>
        <v>Cs. 8" Italian Hinged 12-6pk</v>
      </c>
      <c r="F440" s="3">
        <f>'Posted Sales Invoice Lines'!G440</f>
        <v>46070</v>
      </c>
      <c r="G440" s="9">
        <f>'Posted Sales Invoice Lines'!L440</f>
        <v>224</v>
      </c>
      <c r="H440" s="8">
        <f>'Posted Sales Invoice Lines'!N440</f>
        <v>30</v>
      </c>
      <c r="I440" s="8">
        <f>'Posted Sales Invoice Lines'!O440</f>
        <v>6720</v>
      </c>
    </row>
    <row r="441" spans="1:9" x14ac:dyDescent="0.25">
      <c r="A441" s="2" t="str">
        <f>'Posted Sales Invoice Lines'!A441</f>
        <v>PS-INV187859</v>
      </c>
      <c r="B441" s="2" t="str">
        <f>'Posted Sales Invoice Lines'!B441</f>
        <v>12707</v>
      </c>
      <c r="C441" s="2" t="str">
        <f>'Posted Sales Invoice Lines'!C441</f>
        <v>PFG Florence SC</v>
      </c>
      <c r="D441" s="2" t="str">
        <f>'Posted Sales Invoice Lines'!E441</f>
        <v>F53001</v>
      </c>
      <c r="E441" s="2" t="str">
        <f>'Posted Sales Invoice Lines'!F441</f>
        <v>Cs. 4" Brioche Bun 8-12pk</v>
      </c>
      <c r="F441" s="3">
        <f>'Posted Sales Invoice Lines'!G441</f>
        <v>46076</v>
      </c>
      <c r="G441" s="9">
        <f>'Posted Sales Invoice Lines'!L441</f>
        <v>168</v>
      </c>
      <c r="H441" s="8">
        <f>'Posted Sales Invoice Lines'!N441</f>
        <v>46.6</v>
      </c>
      <c r="I441" s="8">
        <f>'Posted Sales Invoice Lines'!O441</f>
        <v>7828.8</v>
      </c>
    </row>
    <row r="442" spans="1:9" x14ac:dyDescent="0.25">
      <c r="A442" s="2" t="str">
        <f>'Posted Sales Invoice Lines'!A442</f>
        <v>PS-INV188154</v>
      </c>
      <c r="B442" s="2" t="str">
        <f>'Posted Sales Invoice Lines'!B442</f>
        <v>10719-4</v>
      </c>
      <c r="C442" s="2" t="str">
        <f>'Posted Sales Invoice Lines'!C442</f>
        <v>US Foods - Columbia/Lexington</v>
      </c>
      <c r="D442" s="2" t="str">
        <f>'Posted Sales Invoice Lines'!E442</f>
        <v>F53093</v>
      </c>
      <c r="E442" s="2" t="str">
        <f>'Posted Sales Invoice Lines'!F442</f>
        <v>Cs. 6" Philly Unsliced</v>
      </c>
      <c r="F442" s="3">
        <f>'Posted Sales Invoice Lines'!G442</f>
        <v>46071</v>
      </c>
      <c r="G442" s="9">
        <f>'Posted Sales Invoice Lines'!L442</f>
        <v>8</v>
      </c>
      <c r="H442" s="8">
        <f>'Posted Sales Invoice Lines'!N442</f>
        <v>47.2</v>
      </c>
      <c r="I442" s="8">
        <f>'Posted Sales Invoice Lines'!O442</f>
        <v>377.6</v>
      </c>
    </row>
    <row r="443" spans="1:9" x14ac:dyDescent="0.25">
      <c r="A443" s="2" t="str">
        <f>'Posted Sales Invoice Lines'!A443</f>
        <v>PS-INV188154</v>
      </c>
      <c r="B443" s="2" t="str">
        <f>'Posted Sales Invoice Lines'!B443</f>
        <v>10719-4</v>
      </c>
      <c r="C443" s="2" t="str">
        <f>'Posted Sales Invoice Lines'!C443</f>
        <v>US Foods - Columbia/Lexington</v>
      </c>
      <c r="D443" s="2" t="str">
        <f>'Posted Sales Invoice Lines'!E443</f>
        <v>F51026</v>
      </c>
      <c r="E443" s="2" t="str">
        <f>'Posted Sales Invoice Lines'!F443</f>
        <v>Cs. Marble Rye 3/4" 8lvs</v>
      </c>
      <c r="F443" s="3">
        <f>'Posted Sales Invoice Lines'!G443</f>
        <v>46071</v>
      </c>
      <c r="G443" s="9">
        <f>'Posted Sales Invoice Lines'!L443</f>
        <v>48</v>
      </c>
      <c r="H443" s="8">
        <f>'Posted Sales Invoice Lines'!N443</f>
        <v>52</v>
      </c>
      <c r="I443" s="8">
        <f>'Posted Sales Invoice Lines'!O443</f>
        <v>2496</v>
      </c>
    </row>
    <row r="444" spans="1:9" x14ac:dyDescent="0.25">
      <c r="A444" s="2" t="str">
        <f>'Posted Sales Invoice Lines'!A444</f>
        <v>PS-INV188154</v>
      </c>
      <c r="B444" s="2" t="str">
        <f>'Posted Sales Invoice Lines'!B444</f>
        <v>10719-4</v>
      </c>
      <c r="C444" s="2" t="str">
        <f>'Posted Sales Invoice Lines'!C444</f>
        <v>US Foods - Columbia/Lexington</v>
      </c>
      <c r="D444" s="2" t="str">
        <f>'Posted Sales Invoice Lines'!E444</f>
        <v>F53001</v>
      </c>
      <c r="E444" s="2" t="str">
        <f>'Posted Sales Invoice Lines'!F444</f>
        <v>Cs. 4" Brioche Bun 8-12pk</v>
      </c>
      <c r="F444" s="3">
        <f>'Posted Sales Invoice Lines'!G444</f>
        <v>46071</v>
      </c>
      <c r="G444" s="9">
        <f>'Posted Sales Invoice Lines'!L444</f>
        <v>52</v>
      </c>
      <c r="H444" s="8">
        <f>'Posted Sales Invoice Lines'!N444</f>
        <v>43.5</v>
      </c>
      <c r="I444" s="8">
        <f>'Posted Sales Invoice Lines'!O444</f>
        <v>2262</v>
      </c>
    </row>
    <row r="445" spans="1:9" x14ac:dyDescent="0.25">
      <c r="A445" s="2" t="str">
        <f>'Posted Sales Invoice Lines'!A445</f>
        <v>PS-INV188154</v>
      </c>
      <c r="B445" s="2" t="str">
        <f>'Posted Sales Invoice Lines'!B445</f>
        <v>10719-4</v>
      </c>
      <c r="C445" s="2" t="str">
        <f>'Posted Sales Invoice Lines'!C445</f>
        <v>US Foods - Columbia/Lexington</v>
      </c>
      <c r="D445" s="2" t="str">
        <f>'Posted Sales Invoice Lines'!E445</f>
        <v>F51020</v>
      </c>
      <c r="E445" s="2" t="str">
        <f>'Posted Sales Invoice Lines'!F445</f>
        <v>Cs. Marble Rye 1/2" 8lvs</v>
      </c>
      <c r="F445" s="3">
        <f>'Posted Sales Invoice Lines'!G445</f>
        <v>46071</v>
      </c>
      <c r="G445" s="9">
        <f>'Posted Sales Invoice Lines'!L445</f>
        <v>16</v>
      </c>
      <c r="H445" s="8">
        <f>'Posted Sales Invoice Lines'!N445</f>
        <v>52</v>
      </c>
      <c r="I445" s="8">
        <f>'Posted Sales Invoice Lines'!O445</f>
        <v>832</v>
      </c>
    </row>
    <row r="446" spans="1:9" x14ac:dyDescent="0.25">
      <c r="A446" s="2" t="str">
        <f>'Posted Sales Invoice Lines'!A446</f>
        <v>PS-INV188154</v>
      </c>
      <c r="B446" s="2" t="str">
        <f>'Posted Sales Invoice Lines'!B446</f>
        <v>10719-4</v>
      </c>
      <c r="C446" s="2" t="str">
        <f>'Posted Sales Invoice Lines'!C446</f>
        <v>US Foods - Columbia/Lexington</v>
      </c>
      <c r="D446" s="2" t="str">
        <f>'Posted Sales Invoice Lines'!E446</f>
        <v>F53024</v>
      </c>
      <c r="E446" s="2" t="str">
        <f>'Posted Sales Invoice Lines'!F446</f>
        <v>Cs. 4" Challah Kaiser 8-12pk</v>
      </c>
      <c r="F446" s="3">
        <f>'Posted Sales Invoice Lines'!G446</f>
        <v>46071</v>
      </c>
      <c r="G446" s="9">
        <f>'Posted Sales Invoice Lines'!L446</f>
        <v>16</v>
      </c>
      <c r="H446" s="8">
        <f>'Posted Sales Invoice Lines'!N446</f>
        <v>38.25</v>
      </c>
      <c r="I446" s="8">
        <f>'Posted Sales Invoice Lines'!O446</f>
        <v>612</v>
      </c>
    </row>
    <row r="447" spans="1:9" x14ac:dyDescent="0.25">
      <c r="A447" s="2" t="str">
        <f>'Posted Sales Invoice Lines'!A447</f>
        <v>PS-INV188154</v>
      </c>
      <c r="B447" s="2" t="str">
        <f>'Posted Sales Invoice Lines'!B447</f>
        <v>10719-4</v>
      </c>
      <c r="C447" s="2" t="str">
        <f>'Posted Sales Invoice Lines'!C447</f>
        <v>US Foods - Columbia/Lexington</v>
      </c>
      <c r="D447" s="2" t="str">
        <f>'Posted Sales Invoice Lines'!E447</f>
        <v>F53010</v>
      </c>
      <c r="E447" s="2" t="str">
        <f>'Posted Sales Invoice Lines'!F447</f>
        <v>Cs. Onion Roll 8-12pk</v>
      </c>
      <c r="F447" s="3">
        <f>'Posted Sales Invoice Lines'!G447</f>
        <v>46071</v>
      </c>
      <c r="G447" s="9">
        <f>'Posted Sales Invoice Lines'!L447</f>
        <v>4</v>
      </c>
      <c r="H447" s="8">
        <f>'Posted Sales Invoice Lines'!N447</f>
        <v>41.85</v>
      </c>
      <c r="I447" s="8">
        <f>'Posted Sales Invoice Lines'!O447</f>
        <v>167.4</v>
      </c>
    </row>
    <row r="448" spans="1:9" x14ac:dyDescent="0.25">
      <c r="A448" s="2" t="str">
        <f>'Posted Sales Invoice Lines'!A448</f>
        <v>PS-INV188599</v>
      </c>
      <c r="B448" s="2" t="str">
        <f>'Posted Sales Invoice Lines'!B448</f>
        <v>20334</v>
      </c>
      <c r="C448" s="2" t="str">
        <f>'Posted Sales Invoice Lines'!C448</f>
        <v>Sysco Atlanta</v>
      </c>
      <c r="D448" s="2" t="str">
        <f>'Posted Sales Invoice Lines'!E448</f>
        <v>F53116</v>
      </c>
      <c r="E448" s="2" t="str">
        <f>'Posted Sales Invoice Lines'!F448</f>
        <v>Cs. 7" French Hinged 12</v>
      </c>
      <c r="F448" s="3">
        <f>'Posted Sales Invoice Lines'!G448</f>
        <v>46072</v>
      </c>
      <c r="G448" s="9">
        <f>'Posted Sales Invoice Lines'!L448</f>
        <v>56</v>
      </c>
      <c r="H448" s="8">
        <f>'Posted Sales Invoice Lines'!N448</f>
        <v>31.42</v>
      </c>
      <c r="I448" s="8">
        <f>'Posted Sales Invoice Lines'!O448</f>
        <v>1759.52</v>
      </c>
    </row>
    <row r="449" spans="1:9" x14ac:dyDescent="0.25">
      <c r="A449" s="2" t="str">
        <f>'Posted Sales Invoice Lines'!A449</f>
        <v>PS-INV188599</v>
      </c>
      <c r="B449" s="2" t="str">
        <f>'Posted Sales Invoice Lines'!B449</f>
        <v>20334</v>
      </c>
      <c r="C449" s="2" t="str">
        <f>'Posted Sales Invoice Lines'!C449</f>
        <v>Sysco Atlanta</v>
      </c>
      <c r="D449" s="2" t="str">
        <f>'Posted Sales Invoice Lines'!E449</f>
        <v>F53087</v>
      </c>
      <c r="E449" s="2" t="str">
        <f>'Posted Sales Invoice Lines'!F449</f>
        <v>Cs. 3.5" Challah Bun 8-12 pk</v>
      </c>
      <c r="F449" s="3">
        <f>'Posted Sales Invoice Lines'!G449</f>
        <v>46072</v>
      </c>
      <c r="G449" s="9">
        <f>'Posted Sales Invoice Lines'!L449</f>
        <v>112</v>
      </c>
      <c r="H449" s="8">
        <f>'Posted Sales Invoice Lines'!N449</f>
        <v>34</v>
      </c>
      <c r="I449" s="8">
        <f>'Posted Sales Invoice Lines'!O449</f>
        <v>3808</v>
      </c>
    </row>
    <row r="450" spans="1:9" x14ac:dyDescent="0.25">
      <c r="A450" s="2" t="str">
        <f>'Posted Sales Invoice Lines'!A450</f>
        <v>PS-INV188599</v>
      </c>
      <c r="B450" s="2" t="str">
        <f>'Posted Sales Invoice Lines'!B450</f>
        <v>20334</v>
      </c>
      <c r="C450" s="2" t="str">
        <f>'Posted Sales Invoice Lines'!C450</f>
        <v>Sysco Atlanta</v>
      </c>
      <c r="D450" s="2" t="str">
        <f>'Posted Sales Invoice Lines'!E450</f>
        <v>F51024</v>
      </c>
      <c r="E450" s="2" t="str">
        <f>'Posted Sales Invoice Lines'!F450</f>
        <v>Cs. Marble Rye 5/8" 8lvs</v>
      </c>
      <c r="F450" s="3">
        <f>'Posted Sales Invoice Lines'!G450</f>
        <v>46072</v>
      </c>
      <c r="G450" s="9">
        <f>'Posted Sales Invoice Lines'!L450</f>
        <v>12</v>
      </c>
      <c r="H450" s="8">
        <f>'Posted Sales Invoice Lines'!N450</f>
        <v>43.26</v>
      </c>
      <c r="I450" s="8">
        <f>'Posted Sales Invoice Lines'!O450</f>
        <v>519.12</v>
      </c>
    </row>
    <row r="451" spans="1:9" x14ac:dyDescent="0.25">
      <c r="A451" s="2" t="str">
        <f>'Posted Sales Invoice Lines'!A451</f>
        <v>PS-INV188599</v>
      </c>
      <c r="B451" s="2" t="str">
        <f>'Posted Sales Invoice Lines'!B451</f>
        <v>20334</v>
      </c>
      <c r="C451" s="2" t="str">
        <f>'Posted Sales Invoice Lines'!C451</f>
        <v>Sysco Atlanta</v>
      </c>
      <c r="D451" s="2" t="str">
        <f>'Posted Sales Invoice Lines'!E451</f>
        <v>F51127</v>
      </c>
      <c r="E451" s="2" t="str">
        <f>'Posted Sales Invoice Lines'!F451</f>
        <v>Cs. Challah 3-Braid 8</v>
      </c>
      <c r="F451" s="3">
        <f>'Posted Sales Invoice Lines'!G451</f>
        <v>46072</v>
      </c>
      <c r="G451" s="9">
        <f>'Posted Sales Invoice Lines'!L451</f>
        <v>20</v>
      </c>
      <c r="H451" s="8">
        <f>'Posted Sales Invoice Lines'!N451</f>
        <v>43.26</v>
      </c>
      <c r="I451" s="8">
        <f>'Posted Sales Invoice Lines'!O451</f>
        <v>865.2</v>
      </c>
    </row>
    <row r="452" spans="1:9" x14ac:dyDescent="0.25">
      <c r="A452" s="2" t="str">
        <f>'Posted Sales Invoice Lines'!A452</f>
        <v>PS-INV188599</v>
      </c>
      <c r="B452" s="2" t="str">
        <f>'Posted Sales Invoice Lines'!B452</f>
        <v>20334</v>
      </c>
      <c r="C452" s="2" t="str">
        <f>'Posted Sales Invoice Lines'!C452</f>
        <v>Sysco Atlanta</v>
      </c>
      <c r="D452" s="2" t="str">
        <f>'Posted Sales Invoice Lines'!E452</f>
        <v>F53001</v>
      </c>
      <c r="E452" s="2" t="str">
        <f>'Posted Sales Invoice Lines'!F452</f>
        <v>Cs. 4" Brioche Bun 8-12pk</v>
      </c>
      <c r="F452" s="3">
        <f>'Posted Sales Invoice Lines'!G452</f>
        <v>46072</v>
      </c>
      <c r="G452" s="9">
        <f>'Posted Sales Invoice Lines'!L452</f>
        <v>56</v>
      </c>
      <c r="H452" s="8">
        <f>'Posted Sales Invoice Lines'!N452</f>
        <v>43.36</v>
      </c>
      <c r="I452" s="8">
        <f>'Posted Sales Invoice Lines'!O452</f>
        <v>2428.16</v>
      </c>
    </row>
    <row r="453" spans="1:9" x14ac:dyDescent="0.25">
      <c r="A453" s="2" t="str">
        <f>'Posted Sales Invoice Lines'!A453</f>
        <v>PS-INV188599</v>
      </c>
      <c r="B453" s="2" t="str">
        <f>'Posted Sales Invoice Lines'!B453</f>
        <v>20334</v>
      </c>
      <c r="C453" s="2" t="str">
        <f>'Posted Sales Invoice Lines'!C453</f>
        <v>Sysco Atlanta</v>
      </c>
      <c r="D453" s="2" t="str">
        <f>'Posted Sales Invoice Lines'!E453</f>
        <v>F53004</v>
      </c>
      <c r="E453" s="2" t="str">
        <f>'Posted Sales Invoice Lines'!F453</f>
        <v>Cs. 4" Sesame Brioche 8-12pk</v>
      </c>
      <c r="F453" s="3">
        <f>'Posted Sales Invoice Lines'!G453</f>
        <v>46072</v>
      </c>
      <c r="G453" s="9">
        <f>'Posted Sales Invoice Lines'!L453</f>
        <v>5</v>
      </c>
      <c r="H453" s="8">
        <f>'Posted Sales Invoice Lines'!N453</f>
        <v>44.77</v>
      </c>
      <c r="I453" s="8">
        <f>'Posted Sales Invoice Lines'!O453</f>
        <v>223.85</v>
      </c>
    </row>
    <row r="454" spans="1:9" x14ac:dyDescent="0.25">
      <c r="A454" s="2" t="str">
        <f>'Posted Sales Invoice Lines'!A454</f>
        <v>PS-INV188599</v>
      </c>
      <c r="B454" s="2" t="str">
        <f>'Posted Sales Invoice Lines'!B454</f>
        <v>20334</v>
      </c>
      <c r="C454" s="2" t="str">
        <f>'Posted Sales Invoice Lines'!C454</f>
        <v>Sysco Atlanta</v>
      </c>
      <c r="D454" s="2" t="str">
        <f>'Posted Sales Invoice Lines'!E454</f>
        <v>F51034</v>
      </c>
      <c r="E454" s="2" t="str">
        <f>'Posted Sales Invoice Lines'!F454</f>
        <v>Cs. Sour Dough Hearth 5/8" 8lvs</v>
      </c>
      <c r="F454" s="3">
        <f>'Posted Sales Invoice Lines'!G454</f>
        <v>46072</v>
      </c>
      <c r="G454" s="9">
        <f>'Posted Sales Invoice Lines'!L454</f>
        <v>20</v>
      </c>
      <c r="H454" s="8">
        <f>'Posted Sales Invoice Lines'!N454</f>
        <v>41.2</v>
      </c>
      <c r="I454" s="8">
        <f>'Posted Sales Invoice Lines'!O454</f>
        <v>824</v>
      </c>
    </row>
    <row r="455" spans="1:9" x14ac:dyDescent="0.25">
      <c r="A455" s="2" t="str">
        <f>'Posted Sales Invoice Lines'!A455</f>
        <v>PS-INV188599</v>
      </c>
      <c r="B455" s="2" t="str">
        <f>'Posted Sales Invoice Lines'!B455</f>
        <v>20334</v>
      </c>
      <c r="C455" s="2" t="str">
        <f>'Posted Sales Invoice Lines'!C455</f>
        <v>Sysco Atlanta</v>
      </c>
      <c r="D455" s="2" t="str">
        <f>'Posted Sales Invoice Lines'!E455</f>
        <v>F53007</v>
      </c>
      <c r="E455" s="2" t="str">
        <f>'Posted Sales Invoice Lines'!F455</f>
        <v>Cs. 4" Cracked Wheat 8-12pk</v>
      </c>
      <c r="F455" s="3">
        <f>'Posted Sales Invoice Lines'!G455</f>
        <v>46072</v>
      </c>
      <c r="G455" s="9">
        <f>'Posted Sales Invoice Lines'!L455</f>
        <v>1</v>
      </c>
      <c r="H455" s="8">
        <f>'Posted Sales Invoice Lines'!N455</f>
        <v>39.869999999999997</v>
      </c>
      <c r="I455" s="8">
        <f>'Posted Sales Invoice Lines'!O455</f>
        <v>39.869999999999997</v>
      </c>
    </row>
    <row r="456" spans="1:9" x14ac:dyDescent="0.25">
      <c r="A456" s="2" t="str">
        <f>'Posted Sales Invoice Lines'!A456</f>
        <v>PS-INV188599</v>
      </c>
      <c r="B456" s="2" t="str">
        <f>'Posted Sales Invoice Lines'!B456</f>
        <v>20334</v>
      </c>
      <c r="C456" s="2" t="str">
        <f>'Posted Sales Invoice Lines'!C456</f>
        <v>Sysco Atlanta</v>
      </c>
      <c r="D456" s="2" t="str">
        <f>'Posted Sales Invoice Lines'!E456</f>
        <v>F53140</v>
      </c>
      <c r="E456" s="2" t="str">
        <f>'Posted Sales Invoice Lines'!F456</f>
        <v>Cs. Knuckies 8" White 12-6pk</v>
      </c>
      <c r="F456" s="3">
        <f>'Posted Sales Invoice Lines'!G456</f>
        <v>46072</v>
      </c>
      <c r="G456" s="9">
        <f>'Posted Sales Invoice Lines'!L456</f>
        <v>20</v>
      </c>
      <c r="H456" s="8">
        <f>'Posted Sales Invoice Lines'!N456</f>
        <v>41</v>
      </c>
      <c r="I456" s="8">
        <f>'Posted Sales Invoice Lines'!O456</f>
        <v>820</v>
      </c>
    </row>
    <row r="457" spans="1:9" x14ac:dyDescent="0.25">
      <c r="A457" s="2" t="str">
        <f>'Posted Sales Invoice Lines'!A457</f>
        <v>PS-INV188774</v>
      </c>
      <c r="B457" s="2" t="str">
        <f>'Posted Sales Invoice Lines'!B457</f>
        <v>10719-13</v>
      </c>
      <c r="C457" s="2" t="str">
        <f>'Posted Sales Invoice Lines'!C457</f>
        <v>US Foods - Montgomery</v>
      </c>
      <c r="D457" s="2" t="str">
        <f>'Posted Sales Invoice Lines'!E457</f>
        <v>F53005</v>
      </c>
      <c r="E457" s="2" t="str">
        <f>'Posted Sales Invoice Lines'!F457</f>
        <v>Cs. 4" Gourmet PDS Bun 8-12pk</v>
      </c>
      <c r="F457" s="3">
        <f>'Posted Sales Invoice Lines'!G457</f>
        <v>46085</v>
      </c>
      <c r="G457" s="9">
        <f>'Posted Sales Invoice Lines'!L457</f>
        <v>112</v>
      </c>
      <c r="H457" s="8">
        <f>'Posted Sales Invoice Lines'!N457</f>
        <v>37</v>
      </c>
      <c r="I457" s="8">
        <f>'Posted Sales Invoice Lines'!O457</f>
        <v>4144</v>
      </c>
    </row>
    <row r="458" spans="1:9" x14ac:dyDescent="0.25">
      <c r="A458" s="2" t="str">
        <f>'Posted Sales Invoice Lines'!A458</f>
        <v>PS-INV188774</v>
      </c>
      <c r="B458" s="2" t="str">
        <f>'Posted Sales Invoice Lines'!B458</f>
        <v>10719-13</v>
      </c>
      <c r="C458" s="2" t="str">
        <f>'Posted Sales Invoice Lines'!C458</f>
        <v>US Foods - Montgomery</v>
      </c>
      <c r="D458" s="2" t="str">
        <f>'Posted Sales Invoice Lines'!E458</f>
        <v>F53010</v>
      </c>
      <c r="E458" s="2" t="str">
        <f>'Posted Sales Invoice Lines'!F458</f>
        <v>Cs. Onion Roll 8-12pk</v>
      </c>
      <c r="F458" s="3">
        <f>'Posted Sales Invoice Lines'!G458</f>
        <v>46085</v>
      </c>
      <c r="G458" s="9">
        <f>'Posted Sales Invoice Lines'!L458</f>
        <v>28</v>
      </c>
      <c r="H458" s="8">
        <f>'Posted Sales Invoice Lines'!N458</f>
        <v>42</v>
      </c>
      <c r="I458" s="8">
        <f>'Posted Sales Invoice Lines'!O458</f>
        <v>1176</v>
      </c>
    </row>
    <row r="459" spans="1:9" x14ac:dyDescent="0.25">
      <c r="A459" s="2" t="str">
        <f>'Posted Sales Invoice Lines'!A459</f>
        <v>PS-INV188774</v>
      </c>
      <c r="B459" s="2" t="str">
        <f>'Posted Sales Invoice Lines'!B459</f>
        <v>10719-13</v>
      </c>
      <c r="C459" s="2" t="str">
        <f>'Posted Sales Invoice Lines'!C459</f>
        <v>US Foods - Montgomery</v>
      </c>
      <c r="D459" s="2" t="str">
        <f>'Posted Sales Invoice Lines'!E459</f>
        <v>F53001</v>
      </c>
      <c r="E459" s="2" t="str">
        <f>'Posted Sales Invoice Lines'!F459</f>
        <v>Cs. 4" Brioche Bun 8-12pk</v>
      </c>
      <c r="F459" s="3">
        <f>'Posted Sales Invoice Lines'!G459</f>
        <v>46085</v>
      </c>
      <c r="G459" s="9">
        <f>'Posted Sales Invoice Lines'!L459</f>
        <v>140</v>
      </c>
      <c r="H459" s="8">
        <f>'Posted Sales Invoice Lines'!N459</f>
        <v>42</v>
      </c>
      <c r="I459" s="8">
        <f>'Posted Sales Invoice Lines'!O459</f>
        <v>5880</v>
      </c>
    </row>
    <row r="460" spans="1:9" x14ac:dyDescent="0.25">
      <c r="A460" s="2" t="str">
        <f>'Posted Sales Invoice Lines'!A460</f>
        <v>PS-INV188774</v>
      </c>
      <c r="B460" s="2" t="str">
        <f>'Posted Sales Invoice Lines'!B460</f>
        <v>10719-13</v>
      </c>
      <c r="C460" s="2" t="str">
        <f>'Posted Sales Invoice Lines'!C460</f>
        <v>US Foods - Montgomery</v>
      </c>
      <c r="D460" s="2" t="str">
        <f>'Posted Sales Invoice Lines'!E460</f>
        <v>F53003</v>
      </c>
      <c r="E460" s="2" t="str">
        <f>'Posted Sales Invoice Lines'!F460</f>
        <v>Cs. 4" Unseeded Challah Bun 8-12pk</v>
      </c>
      <c r="F460" s="3">
        <f>'Posted Sales Invoice Lines'!G460</f>
        <v>46085</v>
      </c>
      <c r="G460" s="9">
        <f>'Posted Sales Invoice Lines'!L460</f>
        <v>280</v>
      </c>
      <c r="H460" s="8">
        <f>'Posted Sales Invoice Lines'!N460</f>
        <v>38.08</v>
      </c>
      <c r="I460" s="8">
        <f>'Posted Sales Invoice Lines'!O460</f>
        <v>10662.4</v>
      </c>
    </row>
    <row r="461" spans="1:9" x14ac:dyDescent="0.25">
      <c r="A461" s="2" t="str">
        <f>'Posted Sales Invoice Lines'!A461</f>
        <v>PS-INV188775</v>
      </c>
      <c r="B461" s="2" t="str">
        <f>'Posted Sales Invoice Lines'!B461</f>
        <v>10540-03</v>
      </c>
      <c r="C461" s="2" t="str">
        <f>'Posted Sales Invoice Lines'!C461</f>
        <v>PFG Louisville TN</v>
      </c>
      <c r="D461" s="2" t="str">
        <f>'Posted Sales Invoice Lines'!E461</f>
        <v>F53001</v>
      </c>
      <c r="E461" s="2" t="str">
        <f>'Posted Sales Invoice Lines'!F461</f>
        <v>Cs. 4" Brioche Bun 8-12pk</v>
      </c>
      <c r="F461" s="3">
        <f>'Posted Sales Invoice Lines'!G461</f>
        <v>46072</v>
      </c>
      <c r="G461" s="9">
        <f>'Posted Sales Invoice Lines'!L461</f>
        <v>196</v>
      </c>
      <c r="H461" s="8">
        <f>'Posted Sales Invoice Lines'!N461</f>
        <v>42.6</v>
      </c>
      <c r="I461" s="8">
        <f>'Posted Sales Invoice Lines'!O461</f>
        <v>8349.6</v>
      </c>
    </row>
    <row r="462" spans="1:9" x14ac:dyDescent="0.25">
      <c r="A462" s="2" t="str">
        <f>'Posted Sales Invoice Lines'!A462</f>
        <v>PS-INV188775</v>
      </c>
      <c r="B462" s="2" t="str">
        <f>'Posted Sales Invoice Lines'!B462</f>
        <v>10540-03</v>
      </c>
      <c r="C462" s="2" t="str">
        <f>'Posted Sales Invoice Lines'!C462</f>
        <v>PFG Louisville TN</v>
      </c>
      <c r="D462" s="2" t="str">
        <f>'Posted Sales Invoice Lines'!E462</f>
        <v>F51137</v>
      </c>
      <c r="E462" s="2" t="str">
        <f>'Posted Sales Invoice Lines'!F462</f>
        <v>Cs. Texas Toast 3/4" 12lvs</v>
      </c>
      <c r="F462" s="3">
        <f>'Posted Sales Invoice Lines'!G462</f>
        <v>46072</v>
      </c>
      <c r="G462" s="9">
        <f>'Posted Sales Invoice Lines'!L462</f>
        <v>28</v>
      </c>
      <c r="H462" s="8">
        <f>'Posted Sales Invoice Lines'!N462</f>
        <v>40.619999999999997</v>
      </c>
      <c r="I462" s="8">
        <f>'Posted Sales Invoice Lines'!O462</f>
        <v>1137.3599999999999</v>
      </c>
    </row>
    <row r="463" spans="1:9" x14ac:dyDescent="0.25">
      <c r="A463" s="2" t="str">
        <f>'Posted Sales Invoice Lines'!A463</f>
        <v>PS-INV188775</v>
      </c>
      <c r="B463" s="2" t="str">
        <f>'Posted Sales Invoice Lines'!B463</f>
        <v>10540-03</v>
      </c>
      <c r="C463" s="2" t="str">
        <f>'Posted Sales Invoice Lines'!C463</f>
        <v>PFG Louisville TN</v>
      </c>
      <c r="D463" s="2" t="str">
        <f>'Posted Sales Invoice Lines'!E463</f>
        <v>F53110</v>
      </c>
      <c r="E463" s="2" t="str">
        <f>'Posted Sales Invoice Lines'!F463</f>
        <v>Cs. Foot Long Challah Hot Dog Buns 10-6pk</v>
      </c>
      <c r="F463" s="3">
        <f>'Posted Sales Invoice Lines'!G463</f>
        <v>46072</v>
      </c>
      <c r="G463" s="9">
        <f>'Posted Sales Invoice Lines'!L463</f>
        <v>28</v>
      </c>
      <c r="H463" s="8">
        <f>'Posted Sales Invoice Lines'!N463</f>
        <v>39.25</v>
      </c>
      <c r="I463" s="8">
        <f>'Posted Sales Invoice Lines'!O463</f>
        <v>1099</v>
      </c>
    </row>
    <row r="464" spans="1:9" x14ac:dyDescent="0.25">
      <c r="A464" s="2" t="str">
        <f>'Posted Sales Invoice Lines'!A464</f>
        <v>PS-INV188775</v>
      </c>
      <c r="B464" s="2" t="str">
        <f>'Posted Sales Invoice Lines'!B464</f>
        <v>10540-03</v>
      </c>
      <c r="C464" s="2" t="str">
        <f>'Posted Sales Invoice Lines'!C464</f>
        <v>PFG Louisville TN</v>
      </c>
      <c r="D464" s="2" t="str">
        <f>'Posted Sales Invoice Lines'!E464</f>
        <v>F530421</v>
      </c>
      <c r="E464" s="2" t="str">
        <f>'Posted Sales Invoice Lines'!F464</f>
        <v>Cs. 4.5" Challah Buns 6-12pk.</v>
      </c>
      <c r="F464" s="3">
        <f>'Posted Sales Invoice Lines'!G464</f>
        <v>46072</v>
      </c>
      <c r="G464" s="9">
        <f>'Posted Sales Invoice Lines'!L464</f>
        <v>8</v>
      </c>
      <c r="H464" s="8">
        <f>'Posted Sales Invoice Lines'!N464</f>
        <v>38.299999999999997</v>
      </c>
      <c r="I464" s="8">
        <f>'Posted Sales Invoice Lines'!O464</f>
        <v>306.39999999999998</v>
      </c>
    </row>
    <row r="465" spans="1:9" x14ac:dyDescent="0.25">
      <c r="A465" s="2" t="str">
        <f>'Posted Sales Invoice Lines'!A465</f>
        <v>PS-INV188775</v>
      </c>
      <c r="B465" s="2" t="str">
        <f>'Posted Sales Invoice Lines'!B465</f>
        <v>10540-03</v>
      </c>
      <c r="C465" s="2" t="str">
        <f>'Posted Sales Invoice Lines'!C465</f>
        <v>PFG Louisville TN</v>
      </c>
      <c r="D465" s="2" t="str">
        <f>'Posted Sales Invoice Lines'!E465</f>
        <v>F53105</v>
      </c>
      <c r="E465" s="2" t="str">
        <f>'Posted Sales Invoice Lines'!F465</f>
        <v>Cs. 6" White Hot Dog 16-8pk</v>
      </c>
      <c r="F465" s="3">
        <f>'Posted Sales Invoice Lines'!G465</f>
        <v>46072</v>
      </c>
      <c r="G465" s="9">
        <f>'Posted Sales Invoice Lines'!L465</f>
        <v>116</v>
      </c>
      <c r="H465" s="8">
        <f>'Posted Sales Invoice Lines'!N465</f>
        <v>34.5</v>
      </c>
      <c r="I465" s="8">
        <f>'Posted Sales Invoice Lines'!O465</f>
        <v>4002</v>
      </c>
    </row>
    <row r="466" spans="1:9" x14ac:dyDescent="0.25">
      <c r="A466" s="2" t="str">
        <f>'Posted Sales Invoice Lines'!A466</f>
        <v>PS-INV188775</v>
      </c>
      <c r="B466" s="2" t="str">
        <f>'Posted Sales Invoice Lines'!B466</f>
        <v>10540-03</v>
      </c>
      <c r="C466" s="2" t="str">
        <f>'Posted Sales Invoice Lines'!C466</f>
        <v>PFG Louisville TN</v>
      </c>
      <c r="D466" s="2" t="str">
        <f>'Posted Sales Invoice Lines'!E466</f>
        <v>F53094</v>
      </c>
      <c r="E466" s="2" t="str">
        <f>'Posted Sales Invoice Lines'!F466</f>
        <v>Cs. 6" Italian 12-6pks</v>
      </c>
      <c r="F466" s="3">
        <f>'Posted Sales Invoice Lines'!G466</f>
        <v>46072</v>
      </c>
      <c r="G466" s="9">
        <f>'Posted Sales Invoice Lines'!L466</f>
        <v>28</v>
      </c>
      <c r="H466" s="8">
        <f>'Posted Sales Invoice Lines'!N466</f>
        <v>35</v>
      </c>
      <c r="I466" s="8">
        <f>'Posted Sales Invoice Lines'!O466</f>
        <v>980</v>
      </c>
    </row>
    <row r="467" spans="1:9" x14ac:dyDescent="0.25">
      <c r="A467" s="2" t="str">
        <f>'Posted Sales Invoice Lines'!A467</f>
        <v>PS-INV188775</v>
      </c>
      <c r="B467" s="2" t="str">
        <f>'Posted Sales Invoice Lines'!B467</f>
        <v>10540-03</v>
      </c>
      <c r="C467" s="2" t="str">
        <f>'Posted Sales Invoice Lines'!C467</f>
        <v>PFG Louisville TN</v>
      </c>
      <c r="D467" s="2" t="str">
        <f>'Posted Sales Invoice Lines'!E467</f>
        <v>F53106</v>
      </c>
      <c r="E467" s="2" t="str">
        <f>'Posted Sales Invoice Lines'!F467</f>
        <v>Cs. Large Hot Dog 12-6pk</v>
      </c>
      <c r="F467" s="3">
        <f>'Posted Sales Invoice Lines'!G467</f>
        <v>46072</v>
      </c>
      <c r="G467" s="9">
        <f>'Posted Sales Invoice Lines'!L467</f>
        <v>8</v>
      </c>
      <c r="H467" s="8">
        <f>'Posted Sales Invoice Lines'!N467</f>
        <v>36.07</v>
      </c>
      <c r="I467" s="8">
        <f>'Posted Sales Invoice Lines'!O467</f>
        <v>288.56</v>
      </c>
    </row>
    <row r="468" spans="1:9" x14ac:dyDescent="0.25">
      <c r="A468" s="2" t="str">
        <f>'Posted Sales Invoice Lines'!A468</f>
        <v>PS-INV189080</v>
      </c>
      <c r="B468" s="2" t="str">
        <f>'Posted Sales Invoice Lines'!B468</f>
        <v>12988</v>
      </c>
      <c r="C468" s="2" t="str">
        <f>'Posted Sales Invoice Lines'!C468</f>
        <v>Sysco Norman OK</v>
      </c>
      <c r="D468" s="2" t="str">
        <f>'Posted Sales Invoice Lines'!E468</f>
        <v>F53140</v>
      </c>
      <c r="E468" s="2" t="str">
        <f>'Posted Sales Invoice Lines'!F468</f>
        <v>Cs. Knuckies 8" White 12-6pk</v>
      </c>
      <c r="F468" s="3">
        <f>'Posted Sales Invoice Lines'!G468</f>
        <v>46079</v>
      </c>
      <c r="G468" s="9">
        <f>'Posted Sales Invoice Lines'!L468</f>
        <v>252</v>
      </c>
      <c r="H468" s="8">
        <f>'Posted Sales Invoice Lines'!N468</f>
        <v>45</v>
      </c>
      <c r="I468" s="8">
        <f>'Posted Sales Invoice Lines'!O468</f>
        <v>11340</v>
      </c>
    </row>
    <row r="469" spans="1:9" x14ac:dyDescent="0.25">
      <c r="A469" s="2" t="str">
        <f>'Posted Sales Invoice Lines'!A469</f>
        <v>PS-INV189086</v>
      </c>
      <c r="B469" s="2" t="str">
        <f>'Posted Sales Invoice Lines'!B469</f>
        <v>10540-02</v>
      </c>
      <c r="C469" s="2" t="str">
        <f>'Posted Sales Invoice Lines'!C469</f>
        <v>PFG Valdosta GA</v>
      </c>
      <c r="D469" s="2" t="str">
        <f>'Posted Sales Invoice Lines'!E469</f>
        <v>F53001</v>
      </c>
      <c r="E469" s="2" t="str">
        <f>'Posted Sales Invoice Lines'!F469</f>
        <v>Cs. 4" Brioche Bun 8-12pk</v>
      </c>
      <c r="F469" s="3">
        <f>'Posted Sales Invoice Lines'!G469</f>
        <v>46076</v>
      </c>
      <c r="G469" s="9">
        <f>'Posted Sales Invoice Lines'!L469</f>
        <v>52</v>
      </c>
      <c r="H469" s="8">
        <f>'Posted Sales Invoice Lines'!N469</f>
        <v>42.6</v>
      </c>
      <c r="I469" s="8">
        <f>'Posted Sales Invoice Lines'!O469</f>
        <v>2215.1999999999998</v>
      </c>
    </row>
    <row r="470" spans="1:9" x14ac:dyDescent="0.25">
      <c r="A470" s="2" t="str">
        <f>'Posted Sales Invoice Lines'!A470</f>
        <v>PS-INV189086</v>
      </c>
      <c r="B470" s="2" t="str">
        <f>'Posted Sales Invoice Lines'!B470</f>
        <v>10540-02</v>
      </c>
      <c r="C470" s="2" t="str">
        <f>'Posted Sales Invoice Lines'!C470</f>
        <v>PFG Valdosta GA</v>
      </c>
      <c r="D470" s="2" t="str">
        <f>'Posted Sales Invoice Lines'!E470</f>
        <v>F54301</v>
      </c>
      <c r="E470" s="2" t="str">
        <f>'Posted Sales Invoice Lines'!F470</f>
        <v>Cs. Potato Roll Sliced 12-16pk</v>
      </c>
      <c r="F470" s="3">
        <f>'Posted Sales Invoice Lines'!G470</f>
        <v>46076</v>
      </c>
      <c r="G470" s="9">
        <f>'Posted Sales Invoice Lines'!L470</f>
        <v>28</v>
      </c>
      <c r="H470" s="8">
        <f>'Posted Sales Invoice Lines'!N470</f>
        <v>41.15</v>
      </c>
      <c r="I470" s="8">
        <f>'Posted Sales Invoice Lines'!O470</f>
        <v>1152.2</v>
      </c>
    </row>
    <row r="471" spans="1:9" x14ac:dyDescent="0.25">
      <c r="A471" s="2" t="str">
        <f>'Posted Sales Invoice Lines'!A471</f>
        <v>PS-INV189086</v>
      </c>
      <c r="B471" s="2" t="str">
        <f>'Posted Sales Invoice Lines'!B471</f>
        <v>10540-02</v>
      </c>
      <c r="C471" s="2" t="str">
        <f>'Posted Sales Invoice Lines'!C471</f>
        <v>PFG Valdosta GA</v>
      </c>
      <c r="D471" s="2" t="str">
        <f>'Posted Sales Invoice Lines'!E471</f>
        <v>F51000</v>
      </c>
      <c r="E471" s="2" t="str">
        <f>'Posted Sales Invoice Lines'!F471</f>
        <v>Cs. Rye Bread 8lvs</v>
      </c>
      <c r="F471" s="3">
        <f>'Posted Sales Invoice Lines'!G471</f>
        <v>46076</v>
      </c>
      <c r="G471" s="9">
        <f>'Posted Sales Invoice Lines'!L471</f>
        <v>8</v>
      </c>
      <c r="H471" s="8">
        <f>'Posted Sales Invoice Lines'!N471</f>
        <v>41.6</v>
      </c>
      <c r="I471" s="8">
        <f>'Posted Sales Invoice Lines'!O471</f>
        <v>332.8</v>
      </c>
    </row>
    <row r="472" spans="1:9" x14ac:dyDescent="0.25">
      <c r="A472" s="2" t="str">
        <f>'Posted Sales Invoice Lines'!A472</f>
        <v>PS-INV189086</v>
      </c>
      <c r="B472" s="2" t="str">
        <f>'Posted Sales Invoice Lines'!B472</f>
        <v>10540-02</v>
      </c>
      <c r="C472" s="2" t="str">
        <f>'Posted Sales Invoice Lines'!C472</f>
        <v>PFG Valdosta GA</v>
      </c>
      <c r="D472" s="2" t="str">
        <f>'Posted Sales Invoice Lines'!E472</f>
        <v>F53106</v>
      </c>
      <c r="E472" s="2" t="str">
        <f>'Posted Sales Invoice Lines'!F472</f>
        <v>Cs. Large Hot Dog 12-6pk</v>
      </c>
      <c r="F472" s="3">
        <f>'Posted Sales Invoice Lines'!G472</f>
        <v>46076</v>
      </c>
      <c r="G472" s="9">
        <f>'Posted Sales Invoice Lines'!L472</f>
        <v>24</v>
      </c>
      <c r="H472" s="8">
        <f>'Posted Sales Invoice Lines'!N472</f>
        <v>35</v>
      </c>
      <c r="I472" s="8">
        <f>'Posted Sales Invoice Lines'!O472</f>
        <v>840</v>
      </c>
    </row>
    <row r="473" spans="1:9" x14ac:dyDescent="0.25">
      <c r="A473" s="2" t="str">
        <f>'Posted Sales Invoice Lines'!A473</f>
        <v>PS-INV189566</v>
      </c>
      <c r="B473" s="2" t="str">
        <f>'Posted Sales Invoice Lines'!B473</f>
        <v>11005</v>
      </c>
      <c r="C473" s="2" t="str">
        <f>'Posted Sales Invoice Lines'!C473</f>
        <v>Dot Foods Inc.</v>
      </c>
      <c r="D473" s="2" t="str">
        <f>'Posted Sales Invoice Lines'!E473</f>
        <v>F530142</v>
      </c>
      <c r="E473" s="2" t="str">
        <f>'Posted Sales Invoice Lines'!F473</f>
        <v>Cs. Knot Roll 8-12pk</v>
      </c>
      <c r="F473" s="3">
        <f>'Posted Sales Invoice Lines'!G473</f>
        <v>46080</v>
      </c>
      <c r="G473" s="9">
        <f>'Posted Sales Invoice Lines'!L473</f>
        <v>576</v>
      </c>
      <c r="H473" s="8">
        <f>'Posted Sales Invoice Lines'!N473</f>
        <v>33.42</v>
      </c>
      <c r="I473" s="8">
        <f>'Posted Sales Invoice Lines'!O473</f>
        <v>19249.919999999998</v>
      </c>
    </row>
    <row r="474" spans="1:9" x14ac:dyDescent="0.25">
      <c r="A474" s="2" t="str">
        <f>'Posted Sales Invoice Lines'!A474</f>
        <v>PS-INV189566</v>
      </c>
      <c r="B474" s="2" t="str">
        <f>'Posted Sales Invoice Lines'!B474</f>
        <v>11005</v>
      </c>
      <c r="C474" s="2" t="str">
        <f>'Posted Sales Invoice Lines'!C474</f>
        <v>Dot Foods Inc.</v>
      </c>
      <c r="D474" s="2" t="str">
        <f>'Posted Sales Invoice Lines'!E474</f>
        <v>F540212</v>
      </c>
      <c r="E474" s="2" t="str">
        <f>'Posted Sales Invoice Lines'!F474</f>
        <v>Cs. HBH White Mountain Roll</v>
      </c>
      <c r="F474" s="3">
        <f>'Posted Sales Invoice Lines'!G474</f>
        <v>46080</v>
      </c>
      <c r="G474" s="9">
        <f>'Posted Sales Invoice Lines'!L474</f>
        <v>12</v>
      </c>
      <c r="H474" s="8">
        <f>'Posted Sales Invoice Lines'!N474</f>
        <v>26.96</v>
      </c>
      <c r="I474" s="8">
        <f>'Posted Sales Invoice Lines'!O474</f>
        <v>323.52</v>
      </c>
    </row>
    <row r="475" spans="1:9" x14ac:dyDescent="0.25">
      <c r="A475" s="2" t="str">
        <f>'Posted Sales Invoice Lines'!A475</f>
        <v>PS-INV189566</v>
      </c>
      <c r="B475" s="2" t="str">
        <f>'Posted Sales Invoice Lines'!B475</f>
        <v>11005</v>
      </c>
      <c r="C475" s="2" t="str">
        <f>'Posted Sales Invoice Lines'!C475</f>
        <v>Dot Foods Inc.</v>
      </c>
      <c r="D475" s="2" t="str">
        <f>'Posted Sales Invoice Lines'!E475</f>
        <v>F540222</v>
      </c>
      <c r="E475" s="2" t="str">
        <f>'Posted Sales Invoice Lines'!F475</f>
        <v>Cs. HBH Mini Twist</v>
      </c>
      <c r="F475" s="3">
        <f>'Posted Sales Invoice Lines'!G475</f>
        <v>46080</v>
      </c>
      <c r="G475" s="9">
        <f>'Posted Sales Invoice Lines'!L475</f>
        <v>32</v>
      </c>
      <c r="H475" s="8">
        <f>'Posted Sales Invoice Lines'!N475</f>
        <v>29.53</v>
      </c>
      <c r="I475" s="8">
        <f>'Posted Sales Invoice Lines'!O475</f>
        <v>944.96</v>
      </c>
    </row>
    <row r="476" spans="1:9" x14ac:dyDescent="0.25">
      <c r="A476" s="2" t="str">
        <f>'Posted Sales Invoice Lines'!A476</f>
        <v>PS-INV189566</v>
      </c>
      <c r="B476" s="2" t="str">
        <f>'Posted Sales Invoice Lines'!B476</f>
        <v>11005</v>
      </c>
      <c r="C476" s="2" t="str">
        <f>'Posted Sales Invoice Lines'!C476</f>
        <v>Dot Foods Inc.</v>
      </c>
      <c r="D476" s="2" t="str">
        <f>'Posted Sales Invoice Lines'!E476</f>
        <v>F540202</v>
      </c>
      <c r="E476" s="2" t="str">
        <f>'Posted Sales Invoice Lines'!F476</f>
        <v>Cs. HBH Wheat Roll</v>
      </c>
      <c r="F476" s="3">
        <f>'Posted Sales Invoice Lines'!G476</f>
        <v>46080</v>
      </c>
      <c r="G476" s="9">
        <f>'Posted Sales Invoice Lines'!L476</f>
        <v>3</v>
      </c>
      <c r="H476" s="8">
        <f>'Posted Sales Invoice Lines'!N476</f>
        <v>26.22</v>
      </c>
      <c r="I476" s="8">
        <f>'Posted Sales Invoice Lines'!O476</f>
        <v>78.66</v>
      </c>
    </row>
    <row r="477" spans="1:9" x14ac:dyDescent="0.25">
      <c r="A477" s="2" t="str">
        <f>'Posted Sales Invoice Lines'!A477</f>
        <v>PS-INV189568</v>
      </c>
      <c r="B477" s="2" t="str">
        <f>'Posted Sales Invoice Lines'!B477</f>
        <v>11005</v>
      </c>
      <c r="C477" s="2" t="str">
        <f>'Posted Sales Invoice Lines'!C477</f>
        <v>Dot Foods Inc.</v>
      </c>
      <c r="D477" s="2" t="str">
        <f>'Posted Sales Invoice Lines'!E477</f>
        <v>F530142</v>
      </c>
      <c r="E477" s="2" t="str">
        <f>'Posted Sales Invoice Lines'!F477</f>
        <v>Cs. Knot Roll 8-12pk</v>
      </c>
      <c r="F477" s="3">
        <f>'Posted Sales Invoice Lines'!G477</f>
        <v>46080</v>
      </c>
      <c r="G477" s="9">
        <f>'Posted Sales Invoice Lines'!L477</f>
        <v>384</v>
      </c>
      <c r="H477" s="8">
        <f>'Posted Sales Invoice Lines'!N477</f>
        <v>33.42</v>
      </c>
      <c r="I477" s="8">
        <f>'Posted Sales Invoice Lines'!O477</f>
        <v>12833.28</v>
      </c>
    </row>
    <row r="478" spans="1:9" x14ac:dyDescent="0.25">
      <c r="A478" s="2" t="str">
        <f>'Posted Sales Invoice Lines'!A478</f>
        <v>PS-INV189823</v>
      </c>
      <c r="B478" s="2" t="str">
        <f>'Posted Sales Invoice Lines'!B478</f>
        <v>11394</v>
      </c>
      <c r="C478" s="2" t="str">
        <f>'Posted Sales Invoice Lines'!C478</f>
        <v>La Cosecha Food Service</v>
      </c>
      <c r="D478" s="2" t="str">
        <f>'Posted Sales Invoice Lines'!E478</f>
        <v>F53003</v>
      </c>
      <c r="E478" s="2" t="str">
        <f>'Posted Sales Invoice Lines'!F478</f>
        <v>Cs. 4" Unseeded Challah Bun 8-12pk</v>
      </c>
      <c r="F478" s="3">
        <f>'Posted Sales Invoice Lines'!G478</f>
        <v>46063</v>
      </c>
      <c r="G478" s="9">
        <f>'Posted Sales Invoice Lines'!L478</f>
        <v>15</v>
      </c>
      <c r="H478" s="8">
        <f>'Posted Sales Invoice Lines'!N478</f>
        <v>30.32</v>
      </c>
      <c r="I478" s="8">
        <f>'Posted Sales Invoice Lines'!O478</f>
        <v>454.8</v>
      </c>
    </row>
    <row r="479" spans="1:9" x14ac:dyDescent="0.25">
      <c r="A479" s="2" t="str">
        <f>'Posted Sales Invoice Lines'!A479</f>
        <v>PS-INV189823</v>
      </c>
      <c r="B479" s="2" t="str">
        <f>'Posted Sales Invoice Lines'!B479</f>
        <v>11394</v>
      </c>
      <c r="C479" s="2" t="str">
        <f>'Posted Sales Invoice Lines'!C479</f>
        <v>La Cosecha Food Service</v>
      </c>
      <c r="D479" s="2" t="str">
        <f>'Posted Sales Invoice Lines'!E479</f>
        <v>F530401</v>
      </c>
      <c r="E479" s="2" t="str">
        <f>'Posted Sales Invoice Lines'!F479</f>
        <v>Cs. 4.5" Sesame 6-12pk</v>
      </c>
      <c r="F479" s="3">
        <f>'Posted Sales Invoice Lines'!G479</f>
        <v>46063</v>
      </c>
      <c r="G479" s="9">
        <f>'Posted Sales Invoice Lines'!L479</f>
        <v>25</v>
      </c>
      <c r="H479" s="8">
        <f>'Posted Sales Invoice Lines'!N479</f>
        <v>34.18</v>
      </c>
      <c r="I479" s="8">
        <f>'Posted Sales Invoice Lines'!O479</f>
        <v>854.5</v>
      </c>
    </row>
    <row r="480" spans="1:9" x14ac:dyDescent="0.25">
      <c r="A480" s="2" t="str">
        <f>'Posted Sales Invoice Lines'!A480</f>
        <v>PS-INV189823</v>
      </c>
      <c r="B480" s="2" t="str">
        <f>'Posted Sales Invoice Lines'!B480</f>
        <v>11394</v>
      </c>
      <c r="C480" s="2" t="str">
        <f>'Posted Sales Invoice Lines'!C480</f>
        <v>La Cosecha Food Service</v>
      </c>
      <c r="D480" s="2" t="str">
        <f>'Posted Sales Invoice Lines'!E480</f>
        <v>F53127</v>
      </c>
      <c r="E480" s="2" t="str">
        <f>'Posted Sales Invoice Lines'!F480</f>
        <v>Cs. 8" Philly 10-6pks</v>
      </c>
      <c r="F480" s="3">
        <f>'Posted Sales Invoice Lines'!G480</f>
        <v>46063</v>
      </c>
      <c r="G480" s="9">
        <f>'Posted Sales Invoice Lines'!L480</f>
        <v>12</v>
      </c>
      <c r="H480" s="8">
        <f>'Posted Sales Invoice Lines'!N480</f>
        <v>53.2</v>
      </c>
      <c r="I480" s="8">
        <f>'Posted Sales Invoice Lines'!O480</f>
        <v>638.4</v>
      </c>
    </row>
    <row r="481" spans="1:9" x14ac:dyDescent="0.25">
      <c r="A481" s="2" t="str">
        <f>'Posted Sales Invoice Lines'!A481</f>
        <v>PS-INV190524</v>
      </c>
      <c r="B481" s="2" t="str">
        <f>'Posted Sales Invoice Lines'!B481</f>
        <v>10719-12</v>
      </c>
      <c r="C481" s="2" t="str">
        <f>'Posted Sales Invoice Lines'!C481</f>
        <v>US Foods - Port Orange</v>
      </c>
      <c r="D481" s="2" t="str">
        <f>'Posted Sales Invoice Lines'!E481</f>
        <v>F53002</v>
      </c>
      <c r="E481" s="2" t="str">
        <f>'Posted Sales Invoice Lines'!F481</f>
        <v>Cs. 4" Challah Sesame Bun 8-12pk</v>
      </c>
      <c r="F481" s="3">
        <f>'Posted Sales Invoice Lines'!G481</f>
        <v>46083</v>
      </c>
      <c r="G481" s="9">
        <f>'Posted Sales Invoice Lines'!L481</f>
        <v>600</v>
      </c>
      <c r="H481" s="8">
        <f>'Posted Sales Invoice Lines'!N481</f>
        <v>41.66</v>
      </c>
      <c r="I481" s="8">
        <f>'Posted Sales Invoice Lines'!O481</f>
        <v>24996</v>
      </c>
    </row>
    <row r="482" spans="1:9" x14ac:dyDescent="0.25">
      <c r="A482" s="2" t="str">
        <f>'Posted Sales Invoice Lines'!A482</f>
        <v>PS-INV190524</v>
      </c>
      <c r="B482" s="2" t="str">
        <f>'Posted Sales Invoice Lines'!B482</f>
        <v>10719-12</v>
      </c>
      <c r="C482" s="2" t="str">
        <f>'Posted Sales Invoice Lines'!C482</f>
        <v>US Foods - Port Orange</v>
      </c>
      <c r="D482" s="2" t="str">
        <f>'Posted Sales Invoice Lines'!E482</f>
        <v>F52902</v>
      </c>
      <c r="E482" s="2" t="str">
        <f>'Posted Sales Invoice Lines'!F482</f>
        <v>Cs. 22" Rye Baguette 10-2pk</v>
      </c>
      <c r="F482" s="3">
        <f>'Posted Sales Invoice Lines'!G482</f>
        <v>46083</v>
      </c>
      <c r="G482" s="9">
        <f>'Posted Sales Invoice Lines'!L482</f>
        <v>16</v>
      </c>
      <c r="H482" s="8">
        <f>'Posted Sales Invoice Lines'!N482</f>
        <v>42.53</v>
      </c>
      <c r="I482" s="8">
        <f>'Posted Sales Invoice Lines'!O482</f>
        <v>680.48</v>
      </c>
    </row>
    <row r="483" spans="1:9" x14ac:dyDescent="0.25">
      <c r="A483" s="2" t="str">
        <f>'Posted Sales Invoice Lines'!A483</f>
        <v>PS-INV190524</v>
      </c>
      <c r="B483" s="2" t="str">
        <f>'Posted Sales Invoice Lines'!B483</f>
        <v>10719-12</v>
      </c>
      <c r="C483" s="2" t="str">
        <f>'Posted Sales Invoice Lines'!C483</f>
        <v>US Foods - Port Orange</v>
      </c>
      <c r="D483" s="2" t="str">
        <f>'Posted Sales Invoice Lines'!E483</f>
        <v>F52007</v>
      </c>
      <c r="E483" s="2" t="str">
        <f>'Posted Sales Invoice Lines'!F483</f>
        <v>Cs. 22" 17oz French 10</v>
      </c>
      <c r="F483" s="3">
        <f>'Posted Sales Invoice Lines'!G483</f>
        <v>46083</v>
      </c>
      <c r="G483" s="9">
        <f>'Posted Sales Invoice Lines'!L483</f>
        <v>16</v>
      </c>
      <c r="H483" s="8">
        <f>'Posted Sales Invoice Lines'!N483</f>
        <v>39.96</v>
      </c>
      <c r="I483" s="8">
        <f>'Posted Sales Invoice Lines'!O483</f>
        <v>639.36</v>
      </c>
    </row>
    <row r="484" spans="1:9" x14ac:dyDescent="0.25">
      <c r="A484" s="2" t="str">
        <f>'Posted Sales Invoice Lines'!A484</f>
        <v>PS-INV190524</v>
      </c>
      <c r="B484" s="2" t="str">
        <f>'Posted Sales Invoice Lines'!B484</f>
        <v>10719-12</v>
      </c>
      <c r="C484" s="2" t="str">
        <f>'Posted Sales Invoice Lines'!C484</f>
        <v>US Foods - Port Orange</v>
      </c>
      <c r="D484" s="2" t="str">
        <f>'Posted Sales Invoice Lines'!E484</f>
        <v>F53000</v>
      </c>
      <c r="E484" s="2" t="str">
        <f>'Posted Sales Invoice Lines'!F484</f>
        <v>Cs. 4" Hamburger Bun 8-12pk</v>
      </c>
      <c r="F484" s="3">
        <f>'Posted Sales Invoice Lines'!G484</f>
        <v>46083</v>
      </c>
      <c r="G484" s="9">
        <f>'Posted Sales Invoice Lines'!L484</f>
        <v>64</v>
      </c>
      <c r="H484" s="8">
        <f>'Posted Sales Invoice Lines'!N484</f>
        <v>33.5</v>
      </c>
      <c r="I484" s="8">
        <f>'Posted Sales Invoice Lines'!O484</f>
        <v>2144</v>
      </c>
    </row>
    <row r="485" spans="1:9" x14ac:dyDescent="0.25">
      <c r="A485" s="2" t="str">
        <f>'Posted Sales Invoice Lines'!A485</f>
        <v>PS-INV190527</v>
      </c>
      <c r="B485" s="2" t="str">
        <f>'Posted Sales Invoice Lines'!B485</f>
        <v>20334</v>
      </c>
      <c r="C485" s="2" t="str">
        <f>'Posted Sales Invoice Lines'!C485</f>
        <v>Sysco Atlanta</v>
      </c>
      <c r="D485" s="2" t="str">
        <f>'Posted Sales Invoice Lines'!E485</f>
        <v>F53116</v>
      </c>
      <c r="E485" s="2" t="str">
        <f>'Posted Sales Invoice Lines'!F485</f>
        <v>Cs. 7" French Hinged 12</v>
      </c>
      <c r="F485" s="3">
        <f>'Posted Sales Invoice Lines'!G485</f>
        <v>46079</v>
      </c>
      <c r="G485" s="9">
        <f>'Posted Sales Invoice Lines'!L485</f>
        <v>56</v>
      </c>
      <c r="H485" s="8">
        <f>'Posted Sales Invoice Lines'!N485</f>
        <v>31.42</v>
      </c>
      <c r="I485" s="8">
        <f>'Posted Sales Invoice Lines'!O485</f>
        <v>1759.52</v>
      </c>
    </row>
    <row r="486" spans="1:9" x14ac:dyDescent="0.25">
      <c r="A486" s="2" t="str">
        <f>'Posted Sales Invoice Lines'!A486</f>
        <v>PS-INV190527</v>
      </c>
      <c r="B486" s="2" t="str">
        <f>'Posted Sales Invoice Lines'!B486</f>
        <v>20334</v>
      </c>
      <c r="C486" s="2" t="str">
        <f>'Posted Sales Invoice Lines'!C486</f>
        <v>Sysco Atlanta</v>
      </c>
      <c r="D486" s="2" t="str">
        <f>'Posted Sales Invoice Lines'!E486</f>
        <v>F53087</v>
      </c>
      <c r="E486" s="2" t="str">
        <f>'Posted Sales Invoice Lines'!F486</f>
        <v>Cs. 3.5" Challah Bun 8-12 pk</v>
      </c>
      <c r="F486" s="3">
        <f>'Posted Sales Invoice Lines'!G486</f>
        <v>46079</v>
      </c>
      <c r="G486" s="9">
        <f>'Posted Sales Invoice Lines'!L486</f>
        <v>168</v>
      </c>
      <c r="H486" s="8">
        <f>'Posted Sales Invoice Lines'!N486</f>
        <v>34</v>
      </c>
      <c r="I486" s="8">
        <f>'Posted Sales Invoice Lines'!O486</f>
        <v>5712</v>
      </c>
    </row>
    <row r="487" spans="1:9" x14ac:dyDescent="0.25">
      <c r="A487" s="2" t="str">
        <f>'Posted Sales Invoice Lines'!A487</f>
        <v>PS-INV190527</v>
      </c>
      <c r="B487" s="2" t="str">
        <f>'Posted Sales Invoice Lines'!B487</f>
        <v>20334</v>
      </c>
      <c r="C487" s="2" t="str">
        <f>'Posted Sales Invoice Lines'!C487</f>
        <v>Sysco Atlanta</v>
      </c>
      <c r="D487" s="2" t="str">
        <f>'Posted Sales Invoice Lines'!E487</f>
        <v>F51024</v>
      </c>
      <c r="E487" s="2" t="str">
        <f>'Posted Sales Invoice Lines'!F487</f>
        <v>Cs. Marble Rye 5/8" 8lvs</v>
      </c>
      <c r="F487" s="3">
        <f>'Posted Sales Invoice Lines'!G487</f>
        <v>46079</v>
      </c>
      <c r="G487" s="9">
        <f>'Posted Sales Invoice Lines'!L487</f>
        <v>12</v>
      </c>
      <c r="H487" s="8">
        <f>'Posted Sales Invoice Lines'!N487</f>
        <v>43.26</v>
      </c>
      <c r="I487" s="8">
        <f>'Posted Sales Invoice Lines'!O487</f>
        <v>519.12</v>
      </c>
    </row>
    <row r="488" spans="1:9" x14ac:dyDescent="0.25">
      <c r="A488" s="2" t="str">
        <f>'Posted Sales Invoice Lines'!A488</f>
        <v>PS-INV190527</v>
      </c>
      <c r="B488" s="2" t="str">
        <f>'Posted Sales Invoice Lines'!B488</f>
        <v>20334</v>
      </c>
      <c r="C488" s="2" t="str">
        <f>'Posted Sales Invoice Lines'!C488</f>
        <v>Sysco Atlanta</v>
      </c>
      <c r="D488" s="2" t="str">
        <f>'Posted Sales Invoice Lines'!E488</f>
        <v>F51127</v>
      </c>
      <c r="E488" s="2" t="str">
        <f>'Posted Sales Invoice Lines'!F488</f>
        <v>Cs. Challah 3-Braid 8</v>
      </c>
      <c r="F488" s="3">
        <f>'Posted Sales Invoice Lines'!G488</f>
        <v>46079</v>
      </c>
      <c r="G488" s="9">
        <f>'Posted Sales Invoice Lines'!L488</f>
        <v>40</v>
      </c>
      <c r="H488" s="8">
        <f>'Posted Sales Invoice Lines'!N488</f>
        <v>43.26</v>
      </c>
      <c r="I488" s="8">
        <f>'Posted Sales Invoice Lines'!O488</f>
        <v>1730.4</v>
      </c>
    </row>
    <row r="489" spans="1:9" x14ac:dyDescent="0.25">
      <c r="A489" s="2" t="str">
        <f>'Posted Sales Invoice Lines'!A489</f>
        <v>PS-INV190527</v>
      </c>
      <c r="B489" s="2" t="str">
        <f>'Posted Sales Invoice Lines'!B489</f>
        <v>20334</v>
      </c>
      <c r="C489" s="2" t="str">
        <f>'Posted Sales Invoice Lines'!C489</f>
        <v>Sysco Atlanta</v>
      </c>
      <c r="D489" s="2" t="str">
        <f>'Posted Sales Invoice Lines'!E489</f>
        <v>F53001</v>
      </c>
      <c r="E489" s="2" t="str">
        <f>'Posted Sales Invoice Lines'!F489</f>
        <v>Cs. 4" Brioche Bun 8-12pk</v>
      </c>
      <c r="F489" s="3">
        <f>'Posted Sales Invoice Lines'!G489</f>
        <v>46079</v>
      </c>
      <c r="G489" s="9">
        <f>'Posted Sales Invoice Lines'!L489</f>
        <v>112</v>
      </c>
      <c r="H489" s="8">
        <f>'Posted Sales Invoice Lines'!N489</f>
        <v>43.36</v>
      </c>
      <c r="I489" s="8">
        <f>'Posted Sales Invoice Lines'!O489</f>
        <v>4856.32</v>
      </c>
    </row>
    <row r="490" spans="1:9" x14ac:dyDescent="0.25">
      <c r="A490" s="2" t="str">
        <f>'Posted Sales Invoice Lines'!A490</f>
        <v>PS-INV190527</v>
      </c>
      <c r="B490" s="2" t="str">
        <f>'Posted Sales Invoice Lines'!B490</f>
        <v>20334</v>
      </c>
      <c r="C490" s="2" t="str">
        <f>'Posted Sales Invoice Lines'!C490</f>
        <v>Sysco Atlanta</v>
      </c>
      <c r="D490" s="2" t="str">
        <f>'Posted Sales Invoice Lines'!E490</f>
        <v>F51034</v>
      </c>
      <c r="E490" s="2" t="str">
        <f>'Posted Sales Invoice Lines'!F490</f>
        <v>Cs. Sour Dough Hearth 5/8" 8lvs</v>
      </c>
      <c r="F490" s="3">
        <f>'Posted Sales Invoice Lines'!G490</f>
        <v>46079</v>
      </c>
      <c r="G490" s="9">
        <f>'Posted Sales Invoice Lines'!L490</f>
        <v>20</v>
      </c>
      <c r="H490" s="8">
        <f>'Posted Sales Invoice Lines'!N490</f>
        <v>41.2</v>
      </c>
      <c r="I490" s="8">
        <f>'Posted Sales Invoice Lines'!O490</f>
        <v>824</v>
      </c>
    </row>
    <row r="491" spans="1:9" x14ac:dyDescent="0.25">
      <c r="A491" s="2" t="str">
        <f>'Posted Sales Invoice Lines'!A491</f>
        <v>PS-INV190527</v>
      </c>
      <c r="B491" s="2" t="str">
        <f>'Posted Sales Invoice Lines'!B491</f>
        <v>20334</v>
      </c>
      <c r="C491" s="2" t="str">
        <f>'Posted Sales Invoice Lines'!C491</f>
        <v>Sysco Atlanta</v>
      </c>
      <c r="D491" s="2" t="str">
        <f>'Posted Sales Invoice Lines'!E491</f>
        <v>F53003</v>
      </c>
      <c r="E491" s="2" t="str">
        <f>'Posted Sales Invoice Lines'!F491</f>
        <v>Cs. 4" Unseeded Challah Bun 8-12pk</v>
      </c>
      <c r="F491" s="3">
        <f>'Posted Sales Invoice Lines'!G491</f>
        <v>46079</v>
      </c>
      <c r="G491" s="9">
        <f>'Posted Sales Invoice Lines'!L491</f>
        <v>28</v>
      </c>
      <c r="H491" s="8">
        <f>'Posted Sales Invoice Lines'!N491</f>
        <v>38.19</v>
      </c>
      <c r="I491" s="8">
        <f>'Posted Sales Invoice Lines'!O491</f>
        <v>1069.32</v>
      </c>
    </row>
    <row r="492" spans="1:9" x14ac:dyDescent="0.25">
      <c r="A492" s="2" t="str">
        <f>'Posted Sales Invoice Lines'!A492</f>
        <v>PS-INV190527</v>
      </c>
      <c r="B492" s="2" t="str">
        <f>'Posted Sales Invoice Lines'!B492</f>
        <v>20334</v>
      </c>
      <c r="C492" s="2" t="str">
        <f>'Posted Sales Invoice Lines'!C492</f>
        <v>Sysco Atlanta</v>
      </c>
      <c r="D492" s="2" t="str">
        <f>'Posted Sales Invoice Lines'!E492</f>
        <v>F53013</v>
      </c>
      <c r="E492" s="2" t="str">
        <f>'Posted Sales Invoice Lines'!F492</f>
        <v>Cs. 4" Vidalia 8-12pk</v>
      </c>
      <c r="F492" s="3">
        <f>'Posted Sales Invoice Lines'!G492</f>
        <v>46079</v>
      </c>
      <c r="G492" s="9">
        <f>'Posted Sales Invoice Lines'!L492</f>
        <v>8</v>
      </c>
      <c r="H492" s="8">
        <f>'Posted Sales Invoice Lines'!N492</f>
        <v>45.84</v>
      </c>
      <c r="I492" s="8">
        <f>'Posted Sales Invoice Lines'!O492</f>
        <v>366.72</v>
      </c>
    </row>
    <row r="493" spans="1:9" x14ac:dyDescent="0.25">
      <c r="A493" s="2" t="str">
        <f>'Posted Sales Invoice Lines'!A493</f>
        <v>PS-INV190527</v>
      </c>
      <c r="B493" s="2" t="str">
        <f>'Posted Sales Invoice Lines'!B493</f>
        <v>20334</v>
      </c>
      <c r="C493" s="2" t="str">
        <f>'Posted Sales Invoice Lines'!C493</f>
        <v>Sysco Atlanta</v>
      </c>
      <c r="D493" s="2" t="str">
        <f>'Posted Sales Invoice Lines'!E493</f>
        <v>F51157</v>
      </c>
      <c r="E493" s="2" t="str">
        <f>'Posted Sales Invoice Lines'!F493</f>
        <v>Cs. Challah Hearth 7/8" 8lvs</v>
      </c>
      <c r="F493" s="3">
        <f>'Posted Sales Invoice Lines'!G493</f>
        <v>46079</v>
      </c>
      <c r="G493" s="9">
        <f>'Posted Sales Invoice Lines'!L493</f>
        <v>12</v>
      </c>
      <c r="H493" s="8">
        <f>'Posted Sales Invoice Lines'!N493</f>
        <v>42.02</v>
      </c>
      <c r="I493" s="8">
        <f>'Posted Sales Invoice Lines'!O493</f>
        <v>504.24</v>
      </c>
    </row>
    <row r="494" spans="1:9" x14ac:dyDescent="0.25">
      <c r="A494" s="2" t="str">
        <f>'Posted Sales Invoice Lines'!A494</f>
        <v>PS-INV190527</v>
      </c>
      <c r="B494" s="2" t="str">
        <f>'Posted Sales Invoice Lines'!B494</f>
        <v>20334</v>
      </c>
      <c r="C494" s="2" t="str">
        <f>'Posted Sales Invoice Lines'!C494</f>
        <v>Sysco Atlanta</v>
      </c>
      <c r="D494" s="2" t="str">
        <f>'Posted Sales Invoice Lines'!E494</f>
        <v>F53140</v>
      </c>
      <c r="E494" s="2" t="str">
        <f>'Posted Sales Invoice Lines'!F494</f>
        <v>Cs. Knuckies 8" White 12-6pk</v>
      </c>
      <c r="F494" s="3">
        <f>'Posted Sales Invoice Lines'!G494</f>
        <v>46079</v>
      </c>
      <c r="G494" s="9">
        <f>'Posted Sales Invoice Lines'!L494</f>
        <v>80</v>
      </c>
      <c r="H494" s="8">
        <f>'Posted Sales Invoice Lines'!N494</f>
        <v>41</v>
      </c>
      <c r="I494" s="8">
        <f>'Posted Sales Invoice Lines'!O494</f>
        <v>3280</v>
      </c>
    </row>
    <row r="495" spans="1:9" x14ac:dyDescent="0.25">
      <c r="A495" s="2" t="str">
        <f>'Posted Sales Invoice Lines'!A495</f>
        <v>PS-INV190557</v>
      </c>
      <c r="B495" s="2" t="str">
        <f>'Posted Sales Invoice Lines'!B495</f>
        <v>13128</v>
      </c>
      <c r="C495" s="2" t="str">
        <f>'Posted Sales Invoice Lines'!C495</f>
        <v>Gordon Food Service - Shepherdsville</v>
      </c>
      <c r="D495" s="2" t="str">
        <f>'Posted Sales Invoice Lines'!E495</f>
        <v>F53001</v>
      </c>
      <c r="E495" s="2" t="str">
        <f>'Posted Sales Invoice Lines'!F495</f>
        <v>Cs. 4" Brioche Bun 8-12pk</v>
      </c>
      <c r="F495" s="3">
        <f>'Posted Sales Invoice Lines'!G495</f>
        <v>46079</v>
      </c>
      <c r="G495" s="9">
        <f>'Posted Sales Invoice Lines'!L495</f>
        <v>288</v>
      </c>
      <c r="H495" s="8">
        <f>'Posted Sales Invoice Lines'!N495</f>
        <v>36.82</v>
      </c>
      <c r="I495" s="8">
        <f>'Posted Sales Invoice Lines'!O495</f>
        <v>10604.16</v>
      </c>
    </row>
    <row r="496" spans="1:9" x14ac:dyDescent="0.25">
      <c r="A496" s="2" t="str">
        <f>'Posted Sales Invoice Lines'!A496</f>
        <v>PS-INV190557</v>
      </c>
      <c r="B496" s="2" t="str">
        <f>'Posted Sales Invoice Lines'!B496</f>
        <v>13128</v>
      </c>
      <c r="C496" s="2" t="str">
        <f>'Posted Sales Invoice Lines'!C496</f>
        <v>Gordon Food Service - Shepherdsville</v>
      </c>
      <c r="D496" s="2" t="str">
        <f>'Posted Sales Invoice Lines'!E496</f>
        <v>F51114</v>
      </c>
      <c r="E496" s="2" t="str">
        <f>'Posted Sales Invoice Lines'!F496</f>
        <v>Cs. Old Fashioned Hearth 5/8" 8lvs</v>
      </c>
      <c r="F496" s="3">
        <f>'Posted Sales Invoice Lines'!G496</f>
        <v>46079</v>
      </c>
      <c r="G496" s="9">
        <f>'Posted Sales Invoice Lines'!L496</f>
        <v>112</v>
      </c>
      <c r="H496" s="8">
        <f>'Posted Sales Invoice Lines'!N496</f>
        <v>39.700000000000003</v>
      </c>
      <c r="I496" s="8">
        <f>'Posted Sales Invoice Lines'!O496</f>
        <v>4446.3999999999996</v>
      </c>
    </row>
    <row r="497" spans="1:9" x14ac:dyDescent="0.25">
      <c r="A497" s="2" t="str">
        <f>'Posted Sales Invoice Lines'!A497</f>
        <v>PS-INV190557</v>
      </c>
      <c r="B497" s="2" t="str">
        <f>'Posted Sales Invoice Lines'!B497</f>
        <v>13128</v>
      </c>
      <c r="C497" s="2" t="str">
        <f>'Posted Sales Invoice Lines'!C497</f>
        <v>Gordon Food Service - Shepherdsville</v>
      </c>
      <c r="D497" s="2" t="str">
        <f>'Posted Sales Invoice Lines'!E497</f>
        <v>F56251</v>
      </c>
      <c r="E497" s="2" t="str">
        <f>'Posted Sales Invoice Lines'!F497</f>
        <v>Cs. Challah Sliders Sliced 18-12pks</v>
      </c>
      <c r="F497" s="3">
        <f>'Posted Sales Invoice Lines'!G497</f>
        <v>46079</v>
      </c>
      <c r="G497" s="9">
        <f>'Posted Sales Invoice Lines'!L497</f>
        <v>440</v>
      </c>
      <c r="H497" s="8">
        <f>'Posted Sales Invoice Lines'!N497</f>
        <v>39.700000000000003</v>
      </c>
      <c r="I497" s="8">
        <f>'Posted Sales Invoice Lines'!O497</f>
        <v>17468</v>
      </c>
    </row>
    <row r="498" spans="1:9" x14ac:dyDescent="0.25">
      <c r="A498" s="2" t="str">
        <f>'Posted Sales Invoice Lines'!A498</f>
        <v>PS-INV190584</v>
      </c>
      <c r="B498" s="2" t="str">
        <f>'Posted Sales Invoice Lines'!B498</f>
        <v>1-4</v>
      </c>
      <c r="C498" s="2" t="str">
        <f>'Posted Sales Invoice Lines'!C498</f>
        <v>Heath West</v>
      </c>
      <c r="D498" s="2" t="str">
        <f>'Posted Sales Invoice Lines'!E498</f>
        <v>F53220</v>
      </c>
      <c r="E498" s="2" t="str">
        <f>'Posted Sales Invoice Lines'!F498</f>
        <v>Cs. 4X6 Ciabatta - 8-8pk</v>
      </c>
      <c r="F498" s="3">
        <f>'Posted Sales Invoice Lines'!G498</f>
        <v>46065</v>
      </c>
      <c r="G498" s="9">
        <f>'Posted Sales Invoice Lines'!L498</f>
        <v>1</v>
      </c>
      <c r="H498" s="8">
        <f>'Posted Sales Invoice Lines'!N498</f>
        <v>0</v>
      </c>
      <c r="I498" s="8">
        <f>'Posted Sales Invoice Lines'!O498</f>
        <v>0</v>
      </c>
    </row>
    <row r="499" spans="1:9" x14ac:dyDescent="0.25">
      <c r="A499" s="2" t="str">
        <f>'Posted Sales Invoice Lines'!A499</f>
        <v>PS-INV190878</v>
      </c>
      <c r="B499" s="2" t="str">
        <f>'Posted Sales Invoice Lines'!B499</f>
        <v>10719-2</v>
      </c>
      <c r="C499" s="2" t="str">
        <f>'Posted Sales Invoice Lines'!C499</f>
        <v>US Foods - Fairburn</v>
      </c>
      <c r="D499" s="2" t="str">
        <f>'Posted Sales Invoice Lines'!E499</f>
        <v>F56560</v>
      </c>
      <c r="E499" s="2" t="str">
        <f>'Posted Sales Invoice Lines'!F499</f>
        <v>Gluten Free 3.5" Hamburger 36ct</v>
      </c>
      <c r="F499" s="3">
        <f>'Posted Sales Invoice Lines'!G499</f>
        <v>46084</v>
      </c>
      <c r="G499" s="9">
        <f>'Posted Sales Invoice Lines'!L499</f>
        <v>6</v>
      </c>
      <c r="H499" s="8">
        <f>'Posted Sales Invoice Lines'!N499</f>
        <v>48.57</v>
      </c>
      <c r="I499" s="8">
        <f>'Posted Sales Invoice Lines'!O499</f>
        <v>291.42</v>
      </c>
    </row>
    <row r="500" spans="1:9" x14ac:dyDescent="0.25">
      <c r="A500" s="2" t="str">
        <f>'Posted Sales Invoice Lines'!A500</f>
        <v>PS-INV190878</v>
      </c>
      <c r="B500" s="2" t="str">
        <f>'Posted Sales Invoice Lines'!B500</f>
        <v>10719-2</v>
      </c>
      <c r="C500" s="2" t="str">
        <f>'Posted Sales Invoice Lines'!C500</f>
        <v>US Foods - Fairburn</v>
      </c>
      <c r="D500" s="2" t="str">
        <f>'Posted Sales Invoice Lines'!E500</f>
        <v>F53010</v>
      </c>
      <c r="E500" s="2" t="str">
        <f>'Posted Sales Invoice Lines'!F500</f>
        <v>Cs. Onion Roll 8-12pk</v>
      </c>
      <c r="F500" s="3">
        <f>'Posted Sales Invoice Lines'!G500</f>
        <v>46084</v>
      </c>
      <c r="G500" s="9">
        <f>'Posted Sales Invoice Lines'!L500</f>
        <v>32</v>
      </c>
      <c r="H500" s="8">
        <f>'Posted Sales Invoice Lines'!N500</f>
        <v>40.85</v>
      </c>
      <c r="I500" s="8">
        <f>'Posted Sales Invoice Lines'!O500</f>
        <v>1307.2</v>
      </c>
    </row>
    <row r="501" spans="1:9" x14ac:dyDescent="0.25">
      <c r="A501" s="2" t="str">
        <f>'Posted Sales Invoice Lines'!A501</f>
        <v>PS-INV190878</v>
      </c>
      <c r="B501" s="2" t="str">
        <f>'Posted Sales Invoice Lines'!B501</f>
        <v>10719-2</v>
      </c>
      <c r="C501" s="2" t="str">
        <f>'Posted Sales Invoice Lines'!C501</f>
        <v>US Foods - Fairburn</v>
      </c>
      <c r="D501" s="2" t="str">
        <f>'Posted Sales Invoice Lines'!E501</f>
        <v>F53122</v>
      </c>
      <c r="E501" s="2" t="str">
        <f>'Posted Sales Invoice Lines'!F501</f>
        <v>Cs. 8" Italian Hinged 12-6pk</v>
      </c>
      <c r="F501" s="3">
        <f>'Posted Sales Invoice Lines'!G501</f>
        <v>46084</v>
      </c>
      <c r="G501" s="9">
        <f>'Posted Sales Invoice Lines'!L501</f>
        <v>124</v>
      </c>
      <c r="H501" s="8">
        <f>'Posted Sales Invoice Lines'!N501</f>
        <v>40.9</v>
      </c>
      <c r="I501" s="8">
        <f>'Posted Sales Invoice Lines'!O501</f>
        <v>5071.6000000000004</v>
      </c>
    </row>
    <row r="502" spans="1:9" x14ac:dyDescent="0.25">
      <c r="A502" s="2" t="str">
        <f>'Posted Sales Invoice Lines'!A502</f>
        <v>PS-INV190878</v>
      </c>
      <c r="B502" s="2" t="str">
        <f>'Posted Sales Invoice Lines'!B502</f>
        <v>10719-2</v>
      </c>
      <c r="C502" s="2" t="str">
        <f>'Posted Sales Invoice Lines'!C502</f>
        <v>US Foods - Fairburn</v>
      </c>
      <c r="D502" s="2" t="str">
        <f>'Posted Sales Invoice Lines'!E502</f>
        <v>F53003</v>
      </c>
      <c r="E502" s="2" t="str">
        <f>'Posted Sales Invoice Lines'!F502</f>
        <v>Cs. 4" Unseeded Challah Bun 8-12pk</v>
      </c>
      <c r="F502" s="3">
        <f>'Posted Sales Invoice Lines'!G502</f>
        <v>46084</v>
      </c>
      <c r="G502" s="9">
        <f>'Posted Sales Invoice Lines'!L502</f>
        <v>56</v>
      </c>
      <c r="H502" s="8">
        <f>'Posted Sales Invoice Lines'!N502</f>
        <v>38.08</v>
      </c>
      <c r="I502" s="8">
        <f>'Posted Sales Invoice Lines'!O502</f>
        <v>2132.48</v>
      </c>
    </row>
    <row r="503" spans="1:9" x14ac:dyDescent="0.25">
      <c r="A503" s="2" t="str">
        <f>'Posted Sales Invoice Lines'!A503</f>
        <v>PS-INV190878</v>
      </c>
      <c r="B503" s="2" t="str">
        <f>'Posted Sales Invoice Lines'!B503</f>
        <v>10719-2</v>
      </c>
      <c r="C503" s="2" t="str">
        <f>'Posted Sales Invoice Lines'!C503</f>
        <v>US Foods - Fairburn</v>
      </c>
      <c r="D503" s="2" t="str">
        <f>'Posted Sales Invoice Lines'!E503</f>
        <v>F53024</v>
      </c>
      <c r="E503" s="2" t="str">
        <f>'Posted Sales Invoice Lines'!F503</f>
        <v>Cs. 4" Challah Kaiser 8-12pk</v>
      </c>
      <c r="F503" s="3">
        <f>'Posted Sales Invoice Lines'!G503</f>
        <v>46084</v>
      </c>
      <c r="G503" s="9">
        <f>'Posted Sales Invoice Lines'!L503</f>
        <v>72</v>
      </c>
      <c r="H503" s="8">
        <f>'Posted Sales Invoice Lines'!N503</f>
        <v>40.22</v>
      </c>
      <c r="I503" s="8">
        <f>'Posted Sales Invoice Lines'!O503</f>
        <v>2895.84</v>
      </c>
    </row>
    <row r="504" spans="1:9" x14ac:dyDescent="0.25">
      <c r="A504" s="2" t="str">
        <f>'Posted Sales Invoice Lines'!A504</f>
        <v>PS-INV190878</v>
      </c>
      <c r="B504" s="2" t="str">
        <f>'Posted Sales Invoice Lines'!B504</f>
        <v>10719-2</v>
      </c>
      <c r="C504" s="2" t="str">
        <f>'Posted Sales Invoice Lines'!C504</f>
        <v>US Foods - Fairburn</v>
      </c>
      <c r="D504" s="2" t="str">
        <f>'Posted Sales Invoice Lines'!E504</f>
        <v>F53005</v>
      </c>
      <c r="E504" s="2" t="str">
        <f>'Posted Sales Invoice Lines'!F504</f>
        <v>Cs. 4" Gourmet PDS Bun 8-12pk</v>
      </c>
      <c r="F504" s="3">
        <f>'Posted Sales Invoice Lines'!G504</f>
        <v>46084</v>
      </c>
      <c r="G504" s="9">
        <f>'Posted Sales Invoice Lines'!L504</f>
        <v>48</v>
      </c>
      <c r="H504" s="8">
        <f>'Posted Sales Invoice Lines'!N504</f>
        <v>40.11</v>
      </c>
      <c r="I504" s="8">
        <f>'Posted Sales Invoice Lines'!O504</f>
        <v>1925.28</v>
      </c>
    </row>
    <row r="505" spans="1:9" x14ac:dyDescent="0.25">
      <c r="A505" s="2" t="str">
        <f>'Posted Sales Invoice Lines'!A505</f>
        <v>PS-INV191061</v>
      </c>
      <c r="B505" s="2" t="str">
        <f>'Posted Sales Invoice Lines'!B505</f>
        <v>10540-03</v>
      </c>
      <c r="C505" s="2" t="str">
        <f>'Posted Sales Invoice Lines'!C505</f>
        <v>PFG Louisville TN</v>
      </c>
      <c r="D505" s="2" t="str">
        <f>'Posted Sales Invoice Lines'!E505</f>
        <v>F53001</v>
      </c>
      <c r="E505" s="2" t="str">
        <f>'Posted Sales Invoice Lines'!F505</f>
        <v>Cs. 4" Brioche Bun 8-12pk</v>
      </c>
      <c r="F505" s="3">
        <f>'Posted Sales Invoice Lines'!G505</f>
        <v>46079</v>
      </c>
      <c r="G505" s="9">
        <f>'Posted Sales Invoice Lines'!L505</f>
        <v>280</v>
      </c>
      <c r="H505" s="8">
        <f>'Posted Sales Invoice Lines'!N505</f>
        <v>42.6</v>
      </c>
      <c r="I505" s="8">
        <f>'Posted Sales Invoice Lines'!O505</f>
        <v>11928</v>
      </c>
    </row>
    <row r="506" spans="1:9" x14ac:dyDescent="0.25">
      <c r="A506" s="2" t="str">
        <f>'Posted Sales Invoice Lines'!A506</f>
        <v>PS-INV191061</v>
      </c>
      <c r="B506" s="2" t="str">
        <f>'Posted Sales Invoice Lines'!B506</f>
        <v>10540-03</v>
      </c>
      <c r="C506" s="2" t="str">
        <f>'Posted Sales Invoice Lines'!C506</f>
        <v>PFG Louisville TN</v>
      </c>
      <c r="D506" s="2" t="str">
        <f>'Posted Sales Invoice Lines'!E506</f>
        <v>F51137</v>
      </c>
      <c r="E506" s="2" t="str">
        <f>'Posted Sales Invoice Lines'!F506</f>
        <v>Cs. Texas Toast 3/4" 12lvs</v>
      </c>
      <c r="F506" s="3">
        <f>'Posted Sales Invoice Lines'!G506</f>
        <v>46079</v>
      </c>
      <c r="G506" s="9">
        <f>'Posted Sales Invoice Lines'!L506</f>
        <v>16</v>
      </c>
      <c r="H506" s="8">
        <f>'Posted Sales Invoice Lines'!N506</f>
        <v>40.619999999999997</v>
      </c>
      <c r="I506" s="8">
        <f>'Posted Sales Invoice Lines'!O506</f>
        <v>649.91999999999996</v>
      </c>
    </row>
    <row r="507" spans="1:9" x14ac:dyDescent="0.25">
      <c r="A507" s="2" t="str">
        <f>'Posted Sales Invoice Lines'!A507</f>
        <v>PS-INV191061</v>
      </c>
      <c r="B507" s="2" t="str">
        <f>'Posted Sales Invoice Lines'!B507</f>
        <v>10540-03</v>
      </c>
      <c r="C507" s="2" t="str">
        <f>'Posted Sales Invoice Lines'!C507</f>
        <v>PFG Louisville TN</v>
      </c>
      <c r="D507" s="2" t="str">
        <f>'Posted Sales Invoice Lines'!E507</f>
        <v>F53091</v>
      </c>
      <c r="E507" s="2" t="str">
        <f>'Posted Sales Invoice Lines'!F507</f>
        <v>Cs. 6" Hoagie Slab Cut</v>
      </c>
      <c r="F507" s="3">
        <f>'Posted Sales Invoice Lines'!G507</f>
        <v>46079</v>
      </c>
      <c r="G507" s="9">
        <f>'Posted Sales Invoice Lines'!L507</f>
        <v>28</v>
      </c>
      <c r="H507" s="8">
        <f>'Posted Sales Invoice Lines'!N507</f>
        <v>35</v>
      </c>
      <c r="I507" s="8">
        <f>'Posted Sales Invoice Lines'!O507</f>
        <v>980</v>
      </c>
    </row>
    <row r="508" spans="1:9" x14ac:dyDescent="0.25">
      <c r="A508" s="2" t="str">
        <f>'Posted Sales Invoice Lines'!A508</f>
        <v>PS-INV191061</v>
      </c>
      <c r="B508" s="2" t="str">
        <f>'Posted Sales Invoice Lines'!B508</f>
        <v>10540-03</v>
      </c>
      <c r="C508" s="2" t="str">
        <f>'Posted Sales Invoice Lines'!C508</f>
        <v>PFG Louisville TN</v>
      </c>
      <c r="D508" s="2" t="str">
        <f>'Posted Sales Invoice Lines'!E508</f>
        <v>F53110</v>
      </c>
      <c r="E508" s="2" t="str">
        <f>'Posted Sales Invoice Lines'!F508</f>
        <v>Cs. Foot Long Challah Hot Dog Buns 10-6pk</v>
      </c>
      <c r="F508" s="3">
        <f>'Posted Sales Invoice Lines'!G508</f>
        <v>46079</v>
      </c>
      <c r="G508" s="9">
        <f>'Posted Sales Invoice Lines'!L508</f>
        <v>56</v>
      </c>
      <c r="H508" s="8">
        <f>'Posted Sales Invoice Lines'!N508</f>
        <v>39.25</v>
      </c>
      <c r="I508" s="8">
        <f>'Posted Sales Invoice Lines'!O508</f>
        <v>2198</v>
      </c>
    </row>
    <row r="509" spans="1:9" x14ac:dyDescent="0.25">
      <c r="A509" s="2" t="str">
        <f>'Posted Sales Invoice Lines'!A509</f>
        <v>PS-INV191061</v>
      </c>
      <c r="B509" s="2" t="str">
        <f>'Posted Sales Invoice Lines'!B509</f>
        <v>10540-03</v>
      </c>
      <c r="C509" s="2" t="str">
        <f>'Posted Sales Invoice Lines'!C509</f>
        <v>PFG Louisville TN</v>
      </c>
      <c r="D509" s="2" t="str">
        <f>'Posted Sales Invoice Lines'!E509</f>
        <v>F530421</v>
      </c>
      <c r="E509" s="2" t="str">
        <f>'Posted Sales Invoice Lines'!F509</f>
        <v>Cs. 4.5" Challah Buns 6-12pk.</v>
      </c>
      <c r="F509" s="3">
        <f>'Posted Sales Invoice Lines'!G509</f>
        <v>46079</v>
      </c>
      <c r="G509" s="9">
        <f>'Posted Sales Invoice Lines'!L509</f>
        <v>44</v>
      </c>
      <c r="H509" s="8">
        <f>'Posted Sales Invoice Lines'!N509</f>
        <v>38.299999999999997</v>
      </c>
      <c r="I509" s="8">
        <f>'Posted Sales Invoice Lines'!O509</f>
        <v>1685.2</v>
      </c>
    </row>
    <row r="510" spans="1:9" x14ac:dyDescent="0.25">
      <c r="A510" s="2" t="str">
        <f>'Posted Sales Invoice Lines'!A510</f>
        <v>PS-INV191061</v>
      </c>
      <c r="B510" s="2" t="str">
        <f>'Posted Sales Invoice Lines'!B510</f>
        <v>10540-03</v>
      </c>
      <c r="C510" s="2" t="str">
        <f>'Posted Sales Invoice Lines'!C510</f>
        <v>PFG Louisville TN</v>
      </c>
      <c r="D510" s="2" t="str">
        <f>'Posted Sales Invoice Lines'!E510</f>
        <v>F53094</v>
      </c>
      <c r="E510" s="2" t="str">
        <f>'Posted Sales Invoice Lines'!F510</f>
        <v>Cs. 6" Italian 12-6pks</v>
      </c>
      <c r="F510" s="3">
        <f>'Posted Sales Invoice Lines'!G510</f>
        <v>46079</v>
      </c>
      <c r="G510" s="9">
        <f>'Posted Sales Invoice Lines'!L510</f>
        <v>140</v>
      </c>
      <c r="H510" s="8">
        <f>'Posted Sales Invoice Lines'!N510</f>
        <v>35</v>
      </c>
      <c r="I510" s="8">
        <f>'Posted Sales Invoice Lines'!O510</f>
        <v>4900</v>
      </c>
    </row>
    <row r="511" spans="1:9" x14ac:dyDescent="0.25">
      <c r="A511" s="2" t="str">
        <f>'Posted Sales Invoice Lines'!A511</f>
        <v>PS-INV191061</v>
      </c>
      <c r="B511" s="2" t="str">
        <f>'Posted Sales Invoice Lines'!B511</f>
        <v>10540-03</v>
      </c>
      <c r="C511" s="2" t="str">
        <f>'Posted Sales Invoice Lines'!C511</f>
        <v>PFG Louisville TN</v>
      </c>
      <c r="D511" s="2" t="str">
        <f>'Posted Sales Invoice Lines'!E511</f>
        <v>F53072</v>
      </c>
      <c r="E511" s="2" t="str">
        <f>'Posted Sales Invoice Lines'!F511</f>
        <v>Cs. 5" Challah Bun 8-8pk</v>
      </c>
      <c r="F511" s="3">
        <f>'Posted Sales Invoice Lines'!G511</f>
        <v>46079</v>
      </c>
      <c r="G511" s="9">
        <f>'Posted Sales Invoice Lines'!L511</f>
        <v>4</v>
      </c>
      <c r="H511" s="8">
        <f>'Posted Sales Invoice Lines'!N511</f>
        <v>38.07</v>
      </c>
      <c r="I511" s="8">
        <f>'Posted Sales Invoice Lines'!O511</f>
        <v>152.28</v>
      </c>
    </row>
    <row r="512" spans="1:9" x14ac:dyDescent="0.25">
      <c r="A512" s="2" t="str">
        <f>'Posted Sales Invoice Lines'!A512</f>
        <v>PS-INV191061</v>
      </c>
      <c r="B512" s="2" t="str">
        <f>'Posted Sales Invoice Lines'!B512</f>
        <v>10540-03</v>
      </c>
      <c r="C512" s="2" t="str">
        <f>'Posted Sales Invoice Lines'!C512</f>
        <v>PFG Louisville TN</v>
      </c>
      <c r="D512" s="2" t="str">
        <f>'Posted Sales Invoice Lines'!E512</f>
        <v>F53106</v>
      </c>
      <c r="E512" s="2" t="str">
        <f>'Posted Sales Invoice Lines'!F512</f>
        <v>Cs. Large Hot Dog 12-6pk</v>
      </c>
      <c r="F512" s="3">
        <f>'Posted Sales Invoice Lines'!G512</f>
        <v>46079</v>
      </c>
      <c r="G512" s="9">
        <f>'Posted Sales Invoice Lines'!L512</f>
        <v>20</v>
      </c>
      <c r="H512" s="8">
        <f>'Posted Sales Invoice Lines'!N512</f>
        <v>36.07</v>
      </c>
      <c r="I512" s="8">
        <f>'Posted Sales Invoice Lines'!O512</f>
        <v>721.4</v>
      </c>
    </row>
    <row r="513" spans="1:9" x14ac:dyDescent="0.25">
      <c r="A513" s="2" t="str">
        <f>'Posted Sales Invoice Lines'!A513</f>
        <v>PS-INV191061</v>
      </c>
      <c r="B513" s="2" t="str">
        <f>'Posted Sales Invoice Lines'!B513</f>
        <v>10540-03</v>
      </c>
      <c r="C513" s="2" t="str">
        <f>'Posted Sales Invoice Lines'!C513</f>
        <v>PFG Louisville TN</v>
      </c>
      <c r="D513" s="2" t="str">
        <f>'Posted Sales Invoice Lines'!E513</f>
        <v>F51034</v>
      </c>
      <c r="E513" s="2" t="str">
        <f>'Posted Sales Invoice Lines'!F513</f>
        <v>Cs. Sour Dough Hearth 5/8" 8lvs</v>
      </c>
      <c r="F513" s="3">
        <f>'Posted Sales Invoice Lines'!G513</f>
        <v>46079</v>
      </c>
      <c r="G513" s="9">
        <f>'Posted Sales Invoice Lines'!L513</f>
        <v>48</v>
      </c>
      <c r="H513" s="8">
        <f>'Posted Sales Invoice Lines'!N513</f>
        <v>43.82</v>
      </c>
      <c r="I513" s="8">
        <f>'Posted Sales Invoice Lines'!O513</f>
        <v>2103.36</v>
      </c>
    </row>
    <row r="514" spans="1:9" x14ac:dyDescent="0.25">
      <c r="A514" s="2" t="str">
        <f>'Posted Sales Invoice Lines'!A514</f>
        <v>PS-INV191061</v>
      </c>
      <c r="B514" s="2" t="str">
        <f>'Posted Sales Invoice Lines'!B514</f>
        <v>10540-03</v>
      </c>
      <c r="C514" s="2" t="str">
        <f>'Posted Sales Invoice Lines'!C514</f>
        <v>PFG Louisville TN</v>
      </c>
      <c r="D514" s="2" t="str">
        <f>'Posted Sales Invoice Lines'!E514</f>
        <v>F52552</v>
      </c>
      <c r="E514" s="2" t="str">
        <f>'Posted Sales Invoice Lines'!F514</f>
        <v>Cs. Multigrain Batard 5/8" 8lvs</v>
      </c>
      <c r="F514" s="3">
        <f>'Posted Sales Invoice Lines'!G514</f>
        <v>46079</v>
      </c>
      <c r="G514" s="9">
        <f>'Posted Sales Invoice Lines'!L514</f>
        <v>4</v>
      </c>
      <c r="H514" s="8">
        <f>'Posted Sales Invoice Lines'!N514</f>
        <v>64</v>
      </c>
      <c r="I514" s="8">
        <f>'Posted Sales Invoice Lines'!O514</f>
        <v>256</v>
      </c>
    </row>
    <row r="515" spans="1:9" x14ac:dyDescent="0.25">
      <c r="A515" s="2" t="str">
        <f>'Posted Sales Invoice Lines'!A515</f>
        <v>PS-INV191061</v>
      </c>
      <c r="B515" s="2" t="str">
        <f>'Posted Sales Invoice Lines'!B515</f>
        <v>10540-03</v>
      </c>
      <c r="C515" s="2" t="str">
        <f>'Posted Sales Invoice Lines'!C515</f>
        <v>PFG Louisville TN</v>
      </c>
      <c r="D515" s="2" t="str">
        <f>'Posted Sales Invoice Lines'!E515</f>
        <v>F51200</v>
      </c>
      <c r="E515" s="2" t="str">
        <f>'Posted Sales Invoice Lines'!F515</f>
        <v>Cs. Jalapeno Corn Hearth 5/8" 8lvs</v>
      </c>
      <c r="F515" s="3">
        <f>'Posted Sales Invoice Lines'!G515</f>
        <v>46079</v>
      </c>
      <c r="G515" s="9">
        <f>'Posted Sales Invoice Lines'!L515</f>
        <v>4</v>
      </c>
      <c r="H515" s="8">
        <f>'Posted Sales Invoice Lines'!N515</f>
        <v>60.7</v>
      </c>
      <c r="I515" s="8">
        <f>'Posted Sales Invoice Lines'!O515</f>
        <v>242.8</v>
      </c>
    </row>
    <row r="516" spans="1:9" x14ac:dyDescent="0.25">
      <c r="A516" s="2" t="str">
        <f>'Posted Sales Invoice Lines'!A516</f>
        <v>PS-INV191064</v>
      </c>
      <c r="B516" s="2" t="str">
        <f>'Posted Sales Invoice Lines'!B516</f>
        <v>12989</v>
      </c>
      <c r="C516" s="2" t="str">
        <f>'Posted Sales Invoice Lines'!C516</f>
        <v>Sysco Little Rock Arkansas</v>
      </c>
      <c r="D516" s="2" t="str">
        <f>'Posted Sales Invoice Lines'!E516</f>
        <v>F53116</v>
      </c>
      <c r="E516" s="2" t="str">
        <f>'Posted Sales Invoice Lines'!F516</f>
        <v>Cs. 7" French Hinged 12</v>
      </c>
      <c r="F516" s="3">
        <f>'Posted Sales Invoice Lines'!G516</f>
        <v>46085</v>
      </c>
      <c r="G516" s="9">
        <f>'Posted Sales Invoice Lines'!L516</f>
        <v>28</v>
      </c>
      <c r="H516" s="8">
        <f>'Posted Sales Invoice Lines'!N516</f>
        <v>35.75</v>
      </c>
      <c r="I516" s="8">
        <f>'Posted Sales Invoice Lines'!O516</f>
        <v>1001</v>
      </c>
    </row>
    <row r="517" spans="1:9" x14ac:dyDescent="0.25">
      <c r="A517" s="2" t="str">
        <f>'Posted Sales Invoice Lines'!A517</f>
        <v>PS-INV191064</v>
      </c>
      <c r="B517" s="2" t="str">
        <f>'Posted Sales Invoice Lines'!B517</f>
        <v>12989</v>
      </c>
      <c r="C517" s="2" t="str">
        <f>'Posted Sales Invoice Lines'!C517</f>
        <v>Sysco Little Rock Arkansas</v>
      </c>
      <c r="D517" s="2" t="str">
        <f>'Posted Sales Invoice Lines'!E517</f>
        <v>F53001</v>
      </c>
      <c r="E517" s="2" t="str">
        <f>'Posted Sales Invoice Lines'!F517</f>
        <v>Cs. 4" Brioche Bun 8-12pk</v>
      </c>
      <c r="F517" s="3">
        <f>'Posted Sales Invoice Lines'!G517</f>
        <v>46085</v>
      </c>
      <c r="G517" s="9">
        <f>'Posted Sales Invoice Lines'!L517</f>
        <v>56</v>
      </c>
      <c r="H517" s="8">
        <f>'Posted Sales Invoice Lines'!N517</f>
        <v>50.6</v>
      </c>
      <c r="I517" s="8">
        <f>'Posted Sales Invoice Lines'!O517</f>
        <v>2833.6</v>
      </c>
    </row>
    <row r="518" spans="1:9" x14ac:dyDescent="0.25">
      <c r="A518" s="2" t="str">
        <f>'Posted Sales Invoice Lines'!A518</f>
        <v>PS-INV191064</v>
      </c>
      <c r="B518" s="2" t="str">
        <f>'Posted Sales Invoice Lines'!B518</f>
        <v>12989</v>
      </c>
      <c r="C518" s="2" t="str">
        <f>'Posted Sales Invoice Lines'!C518</f>
        <v>Sysco Little Rock Arkansas</v>
      </c>
      <c r="D518" s="2" t="str">
        <f>'Posted Sales Invoice Lines'!E518</f>
        <v>F53115</v>
      </c>
      <c r="E518" s="2" t="str">
        <f>'Posted Sales Invoice Lines'!F518</f>
        <v>Cs. 7" French Unsliced 12-6pk</v>
      </c>
      <c r="F518" s="3">
        <f>'Posted Sales Invoice Lines'!G518</f>
        <v>46085</v>
      </c>
      <c r="G518" s="9">
        <f>'Posted Sales Invoice Lines'!L518</f>
        <v>196</v>
      </c>
      <c r="H518" s="8">
        <f>'Posted Sales Invoice Lines'!N518</f>
        <v>35</v>
      </c>
      <c r="I518" s="8">
        <f>'Posted Sales Invoice Lines'!O518</f>
        <v>6860</v>
      </c>
    </row>
    <row r="519" spans="1:9" x14ac:dyDescent="0.25">
      <c r="A519" s="2" t="str">
        <f>'Posted Sales Invoice Lines'!A519</f>
        <v>PS-INV191843</v>
      </c>
      <c r="B519" s="2" t="str">
        <f>'Posted Sales Invoice Lines'!B519</f>
        <v>10700</v>
      </c>
      <c r="C519" s="2" t="str">
        <f>'Posted Sales Invoice Lines'!C519</f>
        <v>Gordon Food Service - Douglas</v>
      </c>
      <c r="D519" s="2" t="str">
        <f>'Posted Sales Invoice Lines'!E519</f>
        <v>F53002</v>
      </c>
      <c r="E519" s="2" t="str">
        <f>'Posted Sales Invoice Lines'!F519</f>
        <v>Cs. 4" Challah Sesame Bun 8-12pk</v>
      </c>
      <c r="F519" s="3">
        <f>'Posted Sales Invoice Lines'!G519</f>
        <v>46083</v>
      </c>
      <c r="G519" s="9">
        <f>'Posted Sales Invoice Lines'!L519</f>
        <v>36</v>
      </c>
      <c r="H519" s="8">
        <f>'Posted Sales Invoice Lines'!N519</f>
        <v>41.7</v>
      </c>
      <c r="I519" s="8">
        <f>'Posted Sales Invoice Lines'!O519</f>
        <v>1501.2</v>
      </c>
    </row>
    <row r="520" spans="1:9" x14ac:dyDescent="0.25">
      <c r="A520" s="2" t="str">
        <f>'Posted Sales Invoice Lines'!A520</f>
        <v>PS-INV191843</v>
      </c>
      <c r="B520" s="2" t="str">
        <f>'Posted Sales Invoice Lines'!B520</f>
        <v>10700</v>
      </c>
      <c r="C520" s="2" t="str">
        <f>'Posted Sales Invoice Lines'!C520</f>
        <v>Gordon Food Service - Douglas</v>
      </c>
      <c r="D520" s="2" t="str">
        <f>'Posted Sales Invoice Lines'!E520</f>
        <v>F51361</v>
      </c>
      <c r="E520" s="2" t="str">
        <f>'Posted Sales Invoice Lines'!F520</f>
        <v>Cs. Honey Wheat Pullman 7/8" 10lvs</v>
      </c>
      <c r="F520" s="3">
        <f>'Posted Sales Invoice Lines'!G520</f>
        <v>46083</v>
      </c>
      <c r="G520" s="9">
        <f>'Posted Sales Invoice Lines'!L520</f>
        <v>48</v>
      </c>
      <c r="H520" s="8">
        <f>'Posted Sales Invoice Lines'!N520</f>
        <v>41.49</v>
      </c>
      <c r="I520" s="8">
        <f>'Posted Sales Invoice Lines'!O520</f>
        <v>1991.52</v>
      </c>
    </row>
    <row r="521" spans="1:9" x14ac:dyDescent="0.25">
      <c r="A521" s="2" t="str">
        <f>'Posted Sales Invoice Lines'!A521</f>
        <v>PS-INV191843</v>
      </c>
      <c r="B521" s="2" t="str">
        <f>'Posted Sales Invoice Lines'!B521</f>
        <v>10700</v>
      </c>
      <c r="C521" s="2" t="str">
        <f>'Posted Sales Invoice Lines'!C521</f>
        <v>Gordon Food Service - Douglas</v>
      </c>
      <c r="D521" s="2" t="str">
        <f>'Posted Sales Invoice Lines'!E521</f>
        <v>F51384</v>
      </c>
      <c r="E521" s="2" t="str">
        <f>'Posted Sales Invoice Lines'!F521</f>
        <v>Cs. Challah Pullman 7/8"</v>
      </c>
      <c r="F521" s="3">
        <f>'Posted Sales Invoice Lines'!G521</f>
        <v>46083</v>
      </c>
      <c r="G521" s="9">
        <f>'Posted Sales Invoice Lines'!L521</f>
        <v>192</v>
      </c>
      <c r="H521" s="8">
        <f>'Posted Sales Invoice Lines'!N521</f>
        <v>48.49</v>
      </c>
      <c r="I521" s="8">
        <f>'Posted Sales Invoice Lines'!O521</f>
        <v>9310.08</v>
      </c>
    </row>
    <row r="522" spans="1:9" x14ac:dyDescent="0.25">
      <c r="A522" s="2" t="str">
        <f>'Posted Sales Invoice Lines'!A522</f>
        <v>PS-INV191843</v>
      </c>
      <c r="B522" s="2" t="str">
        <f>'Posted Sales Invoice Lines'!B522</f>
        <v>10700</v>
      </c>
      <c r="C522" s="2" t="str">
        <f>'Posted Sales Invoice Lines'!C522</f>
        <v>Gordon Food Service - Douglas</v>
      </c>
      <c r="D522" s="2" t="str">
        <f>'Posted Sales Invoice Lines'!E522</f>
        <v>F56255</v>
      </c>
      <c r="E522" s="2" t="str">
        <f>'Posted Sales Invoice Lines'!F522</f>
        <v>Cs. English Muffin 30-6pk</v>
      </c>
      <c r="F522" s="3">
        <f>'Posted Sales Invoice Lines'!G522</f>
        <v>46083</v>
      </c>
      <c r="G522" s="9">
        <f>'Posted Sales Invoice Lines'!L522</f>
        <v>32</v>
      </c>
      <c r="H522" s="8">
        <f>'Posted Sales Invoice Lines'!N522</f>
        <v>36.299999999999997</v>
      </c>
      <c r="I522" s="8">
        <f>'Posted Sales Invoice Lines'!O522</f>
        <v>1161.5999999999999</v>
      </c>
    </row>
    <row r="523" spans="1:9" x14ac:dyDescent="0.25">
      <c r="A523" s="2" t="str">
        <f>'Posted Sales Invoice Lines'!A523</f>
        <v>PS-INV191843</v>
      </c>
      <c r="B523" s="2" t="str">
        <f>'Posted Sales Invoice Lines'!B523</f>
        <v>10700</v>
      </c>
      <c r="C523" s="2" t="str">
        <f>'Posted Sales Invoice Lines'!C523</f>
        <v>Gordon Food Service - Douglas</v>
      </c>
      <c r="D523" s="2" t="str">
        <f>'Posted Sales Invoice Lines'!E523</f>
        <v>F51084</v>
      </c>
      <c r="E523" s="2" t="str">
        <f>'Posted Sales Invoice Lines'!F523</f>
        <v>Cs. Wheatberry Hearth</v>
      </c>
      <c r="F523" s="3">
        <f>'Posted Sales Invoice Lines'!G523</f>
        <v>46083</v>
      </c>
      <c r="G523" s="9">
        <f>'Posted Sales Invoice Lines'!L523</f>
        <v>28</v>
      </c>
      <c r="H523" s="8">
        <f>'Posted Sales Invoice Lines'!N523</f>
        <v>33.299999999999997</v>
      </c>
      <c r="I523" s="8">
        <f>'Posted Sales Invoice Lines'!O523</f>
        <v>932.4</v>
      </c>
    </row>
    <row r="524" spans="1:9" x14ac:dyDescent="0.25">
      <c r="A524" s="2" t="str">
        <f>'Posted Sales Invoice Lines'!A524</f>
        <v>PS-INV191843</v>
      </c>
      <c r="B524" s="2" t="str">
        <f>'Posted Sales Invoice Lines'!B524</f>
        <v>10700</v>
      </c>
      <c r="C524" s="2" t="str">
        <f>'Posted Sales Invoice Lines'!C524</f>
        <v>Gordon Food Service - Douglas</v>
      </c>
      <c r="D524" s="2" t="str">
        <f>'Posted Sales Invoice Lines'!E524</f>
        <v>F53001</v>
      </c>
      <c r="E524" s="2" t="str">
        <f>'Posted Sales Invoice Lines'!F524</f>
        <v>Cs. 4" Brioche Bun 8-12pk</v>
      </c>
      <c r="F524" s="3">
        <f>'Posted Sales Invoice Lines'!G524</f>
        <v>46083</v>
      </c>
      <c r="G524" s="9">
        <f>'Posted Sales Invoice Lines'!L524</f>
        <v>140</v>
      </c>
      <c r="H524" s="8">
        <f>'Posted Sales Invoice Lines'!N524</f>
        <v>36.82</v>
      </c>
      <c r="I524" s="8">
        <f>'Posted Sales Invoice Lines'!O524</f>
        <v>5154.8</v>
      </c>
    </row>
    <row r="525" spans="1:9" x14ac:dyDescent="0.25">
      <c r="A525" s="2" t="str">
        <f>'Posted Sales Invoice Lines'!A525</f>
        <v>PS-INV191843</v>
      </c>
      <c r="B525" s="2" t="str">
        <f>'Posted Sales Invoice Lines'!B525</f>
        <v>10700</v>
      </c>
      <c r="C525" s="2" t="str">
        <f>'Posted Sales Invoice Lines'!C525</f>
        <v>Gordon Food Service - Douglas</v>
      </c>
      <c r="D525" s="2" t="str">
        <f>'Posted Sales Invoice Lines'!E525</f>
        <v>F51114</v>
      </c>
      <c r="E525" s="2" t="str">
        <f>'Posted Sales Invoice Lines'!F525</f>
        <v>Cs. Old Fashioned Hearth 5/8" 8lvs</v>
      </c>
      <c r="F525" s="3">
        <f>'Posted Sales Invoice Lines'!G525</f>
        <v>46083</v>
      </c>
      <c r="G525" s="9">
        <f>'Posted Sales Invoice Lines'!L525</f>
        <v>56</v>
      </c>
      <c r="H525" s="8">
        <f>'Posted Sales Invoice Lines'!N525</f>
        <v>39.700000000000003</v>
      </c>
      <c r="I525" s="8">
        <f>'Posted Sales Invoice Lines'!O525</f>
        <v>2223.1999999999998</v>
      </c>
    </row>
    <row r="526" spans="1:9" x14ac:dyDescent="0.25">
      <c r="A526" s="2" t="str">
        <f>'Posted Sales Invoice Lines'!A526</f>
        <v>PS-INV191843</v>
      </c>
      <c r="B526" s="2" t="str">
        <f>'Posted Sales Invoice Lines'!B526</f>
        <v>10700</v>
      </c>
      <c r="C526" s="2" t="str">
        <f>'Posted Sales Invoice Lines'!C526</f>
        <v>Gordon Food Service - Douglas</v>
      </c>
      <c r="D526" s="2" t="str">
        <f>'Posted Sales Invoice Lines'!E526</f>
        <v>F56251</v>
      </c>
      <c r="E526" s="2" t="str">
        <f>'Posted Sales Invoice Lines'!F526</f>
        <v>Cs. Challah Sliders Sliced 18-12pks</v>
      </c>
      <c r="F526" s="3">
        <f>'Posted Sales Invoice Lines'!G526</f>
        <v>46083</v>
      </c>
      <c r="G526" s="9">
        <f>'Posted Sales Invoice Lines'!L526</f>
        <v>140</v>
      </c>
      <c r="H526" s="8">
        <f>'Posted Sales Invoice Lines'!N526</f>
        <v>39.700000000000003</v>
      </c>
      <c r="I526" s="8">
        <f>'Posted Sales Invoice Lines'!O526</f>
        <v>5558</v>
      </c>
    </row>
    <row r="527" spans="1:9" x14ac:dyDescent="0.25">
      <c r="A527" s="2" t="str">
        <f>'Posted Sales Invoice Lines'!A527</f>
        <v>PS-INV191843</v>
      </c>
      <c r="B527" s="2" t="str">
        <f>'Posted Sales Invoice Lines'!B527</f>
        <v>10700</v>
      </c>
      <c r="C527" s="2" t="str">
        <f>'Posted Sales Invoice Lines'!C527</f>
        <v>Gordon Food Service - Douglas</v>
      </c>
      <c r="D527" s="2" t="str">
        <f>'Posted Sales Invoice Lines'!E527</f>
        <v>F53005</v>
      </c>
      <c r="E527" s="2" t="str">
        <f>'Posted Sales Invoice Lines'!F527</f>
        <v>Cs. 4" Gourmet PDS Bun 8-12pk</v>
      </c>
      <c r="F527" s="3">
        <f>'Posted Sales Invoice Lines'!G527</f>
        <v>46083</v>
      </c>
      <c r="G527" s="9">
        <f>'Posted Sales Invoice Lines'!L527</f>
        <v>48</v>
      </c>
      <c r="H527" s="8">
        <f>'Posted Sales Invoice Lines'!N527</f>
        <v>36</v>
      </c>
      <c r="I527" s="8">
        <f>'Posted Sales Invoice Lines'!O527</f>
        <v>1728</v>
      </c>
    </row>
    <row r="528" spans="1:9" x14ac:dyDescent="0.25">
      <c r="A528" s="2" t="str">
        <f>'Posted Sales Invoice Lines'!A528</f>
        <v>PS-INV191844</v>
      </c>
      <c r="B528" s="2" t="str">
        <f>'Posted Sales Invoice Lines'!B528</f>
        <v>10540-02</v>
      </c>
      <c r="C528" s="2" t="str">
        <f>'Posted Sales Invoice Lines'!C528</f>
        <v>PFG Valdosta GA</v>
      </c>
      <c r="D528" s="2" t="str">
        <f>'Posted Sales Invoice Lines'!E528</f>
        <v>F53001</v>
      </c>
      <c r="E528" s="2" t="str">
        <f>'Posted Sales Invoice Lines'!F528</f>
        <v>Cs. 4" Brioche Bun 8-12pk</v>
      </c>
      <c r="F528" s="3">
        <f>'Posted Sales Invoice Lines'!G528</f>
        <v>46083</v>
      </c>
      <c r="G528" s="9">
        <f>'Posted Sales Invoice Lines'!L528</f>
        <v>12</v>
      </c>
      <c r="H528" s="8">
        <f>'Posted Sales Invoice Lines'!N528</f>
        <v>42.6</v>
      </c>
      <c r="I528" s="8">
        <f>'Posted Sales Invoice Lines'!O528</f>
        <v>511.2</v>
      </c>
    </row>
    <row r="529" spans="1:9" x14ac:dyDescent="0.25">
      <c r="A529" s="2" t="str">
        <f>'Posted Sales Invoice Lines'!A529</f>
        <v>PS-INV191844</v>
      </c>
      <c r="B529" s="2" t="str">
        <f>'Posted Sales Invoice Lines'!B529</f>
        <v>10540-02</v>
      </c>
      <c r="C529" s="2" t="str">
        <f>'Posted Sales Invoice Lines'!C529</f>
        <v>PFG Valdosta GA</v>
      </c>
      <c r="D529" s="2" t="str">
        <f>'Posted Sales Invoice Lines'!E529</f>
        <v>F54301</v>
      </c>
      <c r="E529" s="2" t="str">
        <f>'Posted Sales Invoice Lines'!F529</f>
        <v>Cs. Potato Roll Sliced 12-16pk</v>
      </c>
      <c r="F529" s="3">
        <f>'Posted Sales Invoice Lines'!G529</f>
        <v>46083</v>
      </c>
      <c r="G529" s="9">
        <f>'Posted Sales Invoice Lines'!L529</f>
        <v>8</v>
      </c>
      <c r="H529" s="8">
        <f>'Posted Sales Invoice Lines'!N529</f>
        <v>41.15</v>
      </c>
      <c r="I529" s="8">
        <f>'Posted Sales Invoice Lines'!O529</f>
        <v>329.2</v>
      </c>
    </row>
    <row r="530" spans="1:9" x14ac:dyDescent="0.25">
      <c r="A530" s="2" t="str">
        <f>'Posted Sales Invoice Lines'!A530</f>
        <v>PS-INV191844</v>
      </c>
      <c r="B530" s="2" t="str">
        <f>'Posted Sales Invoice Lines'!B530</f>
        <v>10540-02</v>
      </c>
      <c r="C530" s="2" t="str">
        <f>'Posted Sales Invoice Lines'!C530</f>
        <v>PFG Valdosta GA</v>
      </c>
      <c r="D530" s="2" t="str">
        <f>'Posted Sales Invoice Lines'!E530</f>
        <v>F53110</v>
      </c>
      <c r="E530" s="2" t="str">
        <f>'Posted Sales Invoice Lines'!F530</f>
        <v>Cs. Foot Long Challah Hot Dog Buns 10-6pk</v>
      </c>
      <c r="F530" s="3">
        <f>'Posted Sales Invoice Lines'!G530</f>
        <v>46083</v>
      </c>
      <c r="G530" s="9">
        <f>'Posted Sales Invoice Lines'!L530</f>
        <v>24</v>
      </c>
      <c r="H530" s="8">
        <f>'Posted Sales Invoice Lines'!N530</f>
        <v>0</v>
      </c>
      <c r="I530" s="8">
        <f>'Posted Sales Invoice Lines'!O530</f>
        <v>0</v>
      </c>
    </row>
    <row r="531" spans="1:9" x14ac:dyDescent="0.25">
      <c r="A531" s="2" t="str">
        <f>'Posted Sales Invoice Lines'!A531</f>
        <v>PS-INV191844</v>
      </c>
      <c r="B531" s="2" t="str">
        <f>'Posted Sales Invoice Lines'!B531</f>
        <v>10540-02</v>
      </c>
      <c r="C531" s="2" t="str">
        <f>'Posted Sales Invoice Lines'!C531</f>
        <v>PFG Valdosta GA</v>
      </c>
      <c r="D531" s="2" t="str">
        <f>'Posted Sales Invoice Lines'!E531</f>
        <v>F51000</v>
      </c>
      <c r="E531" s="2" t="str">
        <f>'Posted Sales Invoice Lines'!F531</f>
        <v>Cs. Rye Bread 8lvs</v>
      </c>
      <c r="F531" s="3">
        <f>'Posted Sales Invoice Lines'!G531</f>
        <v>46083</v>
      </c>
      <c r="G531" s="9">
        <f>'Posted Sales Invoice Lines'!L531</f>
        <v>8</v>
      </c>
      <c r="H531" s="8">
        <f>'Posted Sales Invoice Lines'!N531</f>
        <v>41.6</v>
      </c>
      <c r="I531" s="8">
        <f>'Posted Sales Invoice Lines'!O531</f>
        <v>332.8</v>
      </c>
    </row>
    <row r="532" spans="1:9" x14ac:dyDescent="0.25">
      <c r="A532" s="2" t="str">
        <f>'Posted Sales Invoice Lines'!A532</f>
        <v>PS-INV191844</v>
      </c>
      <c r="B532" s="2" t="str">
        <f>'Posted Sales Invoice Lines'!B532</f>
        <v>10540-02</v>
      </c>
      <c r="C532" s="2" t="str">
        <f>'Posted Sales Invoice Lines'!C532</f>
        <v>PFG Valdosta GA</v>
      </c>
      <c r="D532" s="2" t="str">
        <f>'Posted Sales Invoice Lines'!E532</f>
        <v>F53105</v>
      </c>
      <c r="E532" s="2" t="str">
        <f>'Posted Sales Invoice Lines'!F532</f>
        <v>Cs. 6" White Hot Dog 16-8pk</v>
      </c>
      <c r="F532" s="3">
        <f>'Posted Sales Invoice Lines'!G532</f>
        <v>46083</v>
      </c>
      <c r="G532" s="9">
        <f>'Posted Sales Invoice Lines'!L532</f>
        <v>24</v>
      </c>
      <c r="H532" s="8">
        <f>'Posted Sales Invoice Lines'!N532</f>
        <v>34.5</v>
      </c>
      <c r="I532" s="8">
        <f>'Posted Sales Invoice Lines'!O532</f>
        <v>828</v>
      </c>
    </row>
    <row r="533" spans="1:9" x14ac:dyDescent="0.25">
      <c r="A533" s="2" t="str">
        <f>'Posted Sales Invoice Lines'!A533</f>
        <v>PS-INV191950</v>
      </c>
      <c r="B533" s="2" t="str">
        <f>'Posted Sales Invoice Lines'!B533</f>
        <v>12431</v>
      </c>
      <c r="C533" s="2" t="str">
        <f>'Posted Sales Invoice Lines'!C533</f>
        <v>Ben E Keith - New Brockton</v>
      </c>
      <c r="D533" s="2" t="str">
        <f>'Posted Sales Invoice Lines'!E533</f>
        <v>F54301</v>
      </c>
      <c r="E533" s="2" t="str">
        <f>'Posted Sales Invoice Lines'!F533</f>
        <v>Cs. Potato Roll Sliced 12-16pk</v>
      </c>
      <c r="F533" s="3">
        <f>'Posted Sales Invoice Lines'!G533</f>
        <v>46084</v>
      </c>
      <c r="G533" s="9">
        <f>'Posted Sales Invoice Lines'!L533</f>
        <v>28</v>
      </c>
      <c r="H533" s="8">
        <f>'Posted Sales Invoice Lines'!N533</f>
        <v>50.05</v>
      </c>
      <c r="I533" s="8">
        <f>'Posted Sales Invoice Lines'!O533</f>
        <v>1401.4</v>
      </c>
    </row>
    <row r="534" spans="1:9" x14ac:dyDescent="0.25">
      <c r="A534" s="2" t="str">
        <f>'Posted Sales Invoice Lines'!A534</f>
        <v>PS-INV191950</v>
      </c>
      <c r="B534" s="2" t="str">
        <f>'Posted Sales Invoice Lines'!B534</f>
        <v>12431</v>
      </c>
      <c r="C534" s="2" t="str">
        <f>'Posted Sales Invoice Lines'!C534</f>
        <v>Ben E Keith - New Brockton</v>
      </c>
      <c r="D534" s="2" t="str">
        <f>'Posted Sales Invoice Lines'!E534</f>
        <v>F51137</v>
      </c>
      <c r="E534" s="2" t="str">
        <f>'Posted Sales Invoice Lines'!F534</f>
        <v>Cs. Texas Toast 3/4" 12lvs</v>
      </c>
      <c r="F534" s="3">
        <f>'Posted Sales Invoice Lines'!G534</f>
        <v>46084</v>
      </c>
      <c r="G534" s="9">
        <f>'Posted Sales Invoice Lines'!L534</f>
        <v>336</v>
      </c>
      <c r="H534" s="8">
        <f>'Posted Sales Invoice Lines'!N534</f>
        <v>36</v>
      </c>
      <c r="I534" s="8">
        <f>'Posted Sales Invoice Lines'!O534</f>
        <v>12096</v>
      </c>
    </row>
    <row r="535" spans="1:9" x14ac:dyDescent="0.25">
      <c r="A535" s="2" t="str">
        <f>'Posted Sales Invoice Lines'!A535</f>
        <v>PS-INV191950</v>
      </c>
      <c r="B535" s="2" t="str">
        <f>'Posted Sales Invoice Lines'!B535</f>
        <v>12431</v>
      </c>
      <c r="C535" s="2" t="str">
        <f>'Posted Sales Invoice Lines'!C535</f>
        <v>Ben E Keith - New Brockton</v>
      </c>
      <c r="D535" s="2" t="str">
        <f>'Posted Sales Invoice Lines'!E535</f>
        <v>F53122</v>
      </c>
      <c r="E535" s="2" t="str">
        <f>'Posted Sales Invoice Lines'!F535</f>
        <v>Cs. 8" Italian Hinged 12-6pk</v>
      </c>
      <c r="F535" s="3">
        <f>'Posted Sales Invoice Lines'!G535</f>
        <v>46084</v>
      </c>
      <c r="G535" s="9">
        <f>'Posted Sales Invoice Lines'!L535</f>
        <v>56</v>
      </c>
      <c r="H535" s="8">
        <f>'Posted Sales Invoice Lines'!N535</f>
        <v>30</v>
      </c>
      <c r="I535" s="8">
        <f>'Posted Sales Invoice Lines'!O535</f>
        <v>1680</v>
      </c>
    </row>
    <row r="536" spans="1:9" x14ac:dyDescent="0.25">
      <c r="A536" s="2" t="str">
        <f>'Posted Sales Invoice Lines'!A536</f>
        <v>PS-INV191950</v>
      </c>
      <c r="B536" s="2" t="str">
        <f>'Posted Sales Invoice Lines'!B536</f>
        <v>12431</v>
      </c>
      <c r="C536" s="2" t="str">
        <f>'Posted Sales Invoice Lines'!C536</f>
        <v>Ben E Keith - New Brockton</v>
      </c>
      <c r="D536" s="2" t="str">
        <f>'Posted Sales Invoice Lines'!E536</f>
        <v>F53087</v>
      </c>
      <c r="E536" s="2" t="str">
        <f>'Posted Sales Invoice Lines'!F536</f>
        <v>Cs. 3.5" Challah Bun 8-12 pk</v>
      </c>
      <c r="F536" s="3">
        <f>'Posted Sales Invoice Lines'!G536</f>
        <v>46084</v>
      </c>
      <c r="G536" s="9">
        <f>'Posted Sales Invoice Lines'!L536</f>
        <v>84</v>
      </c>
      <c r="H536" s="8">
        <f>'Posted Sales Invoice Lines'!N536</f>
        <v>40</v>
      </c>
      <c r="I536" s="8">
        <f>'Posted Sales Invoice Lines'!O536</f>
        <v>3360</v>
      </c>
    </row>
    <row r="537" spans="1:9" x14ac:dyDescent="0.25">
      <c r="A537" s="2" t="str">
        <f>'Posted Sales Invoice Lines'!A537</f>
        <v>PS-INV191956</v>
      </c>
      <c r="B537" s="2" t="str">
        <f>'Posted Sales Invoice Lines'!B537</f>
        <v>10511</v>
      </c>
      <c r="C537" s="2" t="str">
        <f>'Posted Sales Invoice Lines'!C537</f>
        <v>Sysco Nashville, LLC</v>
      </c>
      <c r="D537" s="2" t="str">
        <f>'Posted Sales Invoice Lines'!E537</f>
        <v>F53072</v>
      </c>
      <c r="E537" s="2" t="str">
        <f>'Posted Sales Invoice Lines'!F537</f>
        <v>Cs. 5" Challah Bun 8-8pk</v>
      </c>
      <c r="F537" s="3">
        <f>'Posted Sales Invoice Lines'!G537</f>
        <v>46085</v>
      </c>
      <c r="G537" s="9">
        <f>'Posted Sales Invoice Lines'!L537</f>
        <v>32</v>
      </c>
      <c r="H537" s="8">
        <f>'Posted Sales Invoice Lines'!N537</f>
        <v>37.049999999999997</v>
      </c>
      <c r="I537" s="8">
        <f>'Posted Sales Invoice Lines'!O537</f>
        <v>1185.5999999999999</v>
      </c>
    </row>
    <row r="538" spans="1:9" x14ac:dyDescent="0.25">
      <c r="A538" s="2" t="str">
        <f>'Posted Sales Invoice Lines'!A538</f>
        <v>PS-INV191956</v>
      </c>
      <c r="B538" s="2" t="str">
        <f>'Posted Sales Invoice Lines'!B538</f>
        <v>10511</v>
      </c>
      <c r="C538" s="2" t="str">
        <f>'Posted Sales Invoice Lines'!C538</f>
        <v>Sysco Nashville, LLC</v>
      </c>
      <c r="D538" s="2" t="str">
        <f>'Posted Sales Invoice Lines'!E538</f>
        <v>F51200</v>
      </c>
      <c r="E538" s="2" t="str">
        <f>'Posted Sales Invoice Lines'!F538</f>
        <v>Cs. Jalapeno Corn Hearth 5/8" 8lvs</v>
      </c>
      <c r="F538" s="3">
        <f>'Posted Sales Invoice Lines'!G538</f>
        <v>46085</v>
      </c>
      <c r="G538" s="9">
        <f>'Posted Sales Invoice Lines'!L538</f>
        <v>32</v>
      </c>
      <c r="H538" s="8">
        <f>'Posted Sales Invoice Lines'!N538</f>
        <v>60.07</v>
      </c>
      <c r="I538" s="8">
        <f>'Posted Sales Invoice Lines'!O538</f>
        <v>1922.24</v>
      </c>
    </row>
    <row r="539" spans="1:9" x14ac:dyDescent="0.25">
      <c r="A539" s="2" t="str">
        <f>'Posted Sales Invoice Lines'!A539</f>
        <v>PS-INV191956</v>
      </c>
      <c r="B539" s="2" t="str">
        <f>'Posted Sales Invoice Lines'!B539</f>
        <v>10511</v>
      </c>
      <c r="C539" s="2" t="str">
        <f>'Posted Sales Invoice Lines'!C539</f>
        <v>Sysco Nashville, LLC</v>
      </c>
      <c r="D539" s="2" t="str">
        <f>'Posted Sales Invoice Lines'!E539</f>
        <v>F51414</v>
      </c>
      <c r="E539" s="2" t="str">
        <f>'Posted Sales Invoice Lines'!F539</f>
        <v>Cs. Cranberry 9 Grain Hearth 5/8" 8lvs</v>
      </c>
      <c r="F539" s="3">
        <f>'Posted Sales Invoice Lines'!G539</f>
        <v>46085</v>
      </c>
      <c r="G539" s="9">
        <f>'Posted Sales Invoice Lines'!L539</f>
        <v>28</v>
      </c>
      <c r="H539" s="8">
        <f>'Posted Sales Invoice Lines'!N539</f>
        <v>64</v>
      </c>
      <c r="I539" s="8">
        <f>'Posted Sales Invoice Lines'!O539</f>
        <v>1792</v>
      </c>
    </row>
    <row r="540" spans="1:9" x14ac:dyDescent="0.25">
      <c r="A540" s="2" t="str">
        <f>'Posted Sales Invoice Lines'!A540</f>
        <v>PS-INV191956</v>
      </c>
      <c r="B540" s="2" t="str">
        <f>'Posted Sales Invoice Lines'!B540</f>
        <v>10511</v>
      </c>
      <c r="C540" s="2" t="str">
        <f>'Posted Sales Invoice Lines'!C540</f>
        <v>Sysco Nashville, LLC</v>
      </c>
      <c r="D540" s="2" t="str">
        <f>'Posted Sales Invoice Lines'!E540</f>
        <v>F53001</v>
      </c>
      <c r="E540" s="2" t="str">
        <f>'Posted Sales Invoice Lines'!F540</f>
        <v>Cs. 4" Brioche Bun 8-12pk</v>
      </c>
      <c r="F540" s="3">
        <f>'Posted Sales Invoice Lines'!G540</f>
        <v>46085</v>
      </c>
      <c r="G540" s="9">
        <f>'Posted Sales Invoice Lines'!L540</f>
        <v>180</v>
      </c>
      <c r="H540" s="8">
        <f>'Posted Sales Invoice Lines'!N540</f>
        <v>46.1</v>
      </c>
      <c r="I540" s="8">
        <f>'Posted Sales Invoice Lines'!O540</f>
        <v>8298</v>
      </c>
    </row>
    <row r="541" spans="1:9" x14ac:dyDescent="0.25">
      <c r="A541" s="2" t="str">
        <f>'Posted Sales Invoice Lines'!A541</f>
        <v>PS-INV191956</v>
      </c>
      <c r="B541" s="2" t="str">
        <f>'Posted Sales Invoice Lines'!B541</f>
        <v>10511</v>
      </c>
      <c r="C541" s="2" t="str">
        <f>'Posted Sales Invoice Lines'!C541</f>
        <v>Sysco Nashville, LLC</v>
      </c>
      <c r="D541" s="2" t="str">
        <f>'Posted Sales Invoice Lines'!E541</f>
        <v>F530491</v>
      </c>
      <c r="E541" s="2" t="str">
        <f>'Posted Sales Invoice Lines'!F541</f>
        <v>Cs. 4.5 Brioche Bun 6-12pk</v>
      </c>
      <c r="F541" s="3">
        <f>'Posted Sales Invoice Lines'!G541</f>
        <v>46085</v>
      </c>
      <c r="G541" s="9">
        <f>'Posted Sales Invoice Lines'!L541</f>
        <v>28</v>
      </c>
      <c r="H541" s="8">
        <f>'Posted Sales Invoice Lines'!N541</f>
        <v>36.35</v>
      </c>
      <c r="I541" s="8">
        <f>'Posted Sales Invoice Lines'!O541</f>
        <v>1017.8</v>
      </c>
    </row>
    <row r="542" spans="1:9" x14ac:dyDescent="0.25">
      <c r="A542" s="2" t="str">
        <f>'Posted Sales Invoice Lines'!A542</f>
        <v>PS-INV191956</v>
      </c>
      <c r="B542" s="2" t="str">
        <f>'Posted Sales Invoice Lines'!B542</f>
        <v>10511</v>
      </c>
      <c r="C542" s="2" t="str">
        <f>'Posted Sales Invoice Lines'!C542</f>
        <v>Sysco Nashville, LLC</v>
      </c>
      <c r="D542" s="2" t="str">
        <f>'Posted Sales Invoice Lines'!E542</f>
        <v>F53116</v>
      </c>
      <c r="E542" s="2" t="str">
        <f>'Posted Sales Invoice Lines'!F542</f>
        <v>Cs. 7" French Hinged 12</v>
      </c>
      <c r="F542" s="3">
        <f>'Posted Sales Invoice Lines'!G542</f>
        <v>46085</v>
      </c>
      <c r="G542" s="9">
        <f>'Posted Sales Invoice Lines'!L542</f>
        <v>64</v>
      </c>
      <c r="H542" s="8">
        <f>'Posted Sales Invoice Lines'!N542</f>
        <v>38</v>
      </c>
      <c r="I542" s="8">
        <f>'Posted Sales Invoice Lines'!O542</f>
        <v>2432</v>
      </c>
    </row>
    <row r="543" spans="1:9" x14ac:dyDescent="0.25">
      <c r="A543" s="2" t="str">
        <f>'Posted Sales Invoice Lines'!A543</f>
        <v>PS-INV191956</v>
      </c>
      <c r="B543" s="2" t="str">
        <f>'Posted Sales Invoice Lines'!B543</f>
        <v>10511</v>
      </c>
      <c r="C543" s="2" t="str">
        <f>'Posted Sales Invoice Lines'!C543</f>
        <v>Sysco Nashville, LLC</v>
      </c>
      <c r="D543" s="2" t="str">
        <f>'Posted Sales Invoice Lines'!E543</f>
        <v>F53128</v>
      </c>
      <c r="E543" s="2" t="str">
        <f>'Posted Sales Invoice Lines'!F543</f>
        <v>Cs. 8" Philly Unsliced 10-6pk</v>
      </c>
      <c r="F543" s="3">
        <f>'Posted Sales Invoice Lines'!G543</f>
        <v>46085</v>
      </c>
      <c r="G543" s="9">
        <f>'Posted Sales Invoice Lines'!L543</f>
        <v>140</v>
      </c>
      <c r="H543" s="8">
        <f>'Posted Sales Invoice Lines'!N543</f>
        <v>45</v>
      </c>
      <c r="I543" s="8">
        <f>'Posted Sales Invoice Lines'!O543</f>
        <v>6300</v>
      </c>
    </row>
    <row r="544" spans="1:9" x14ac:dyDescent="0.25">
      <c r="A544" s="2" t="str">
        <f>'Posted Sales Invoice Lines'!A544</f>
        <v>PS-INV192243</v>
      </c>
      <c r="B544" s="2" t="str">
        <f>'Posted Sales Invoice Lines'!B544</f>
        <v>Z10700</v>
      </c>
      <c r="C544" s="2" t="str">
        <f>'Posted Sales Invoice Lines'!C544</f>
        <v>Sysco-Charlotte</v>
      </c>
      <c r="D544" s="2" t="str">
        <f>'Posted Sales Invoice Lines'!E544</f>
        <v>F52564</v>
      </c>
      <c r="E544" s="2" t="str">
        <f>'Posted Sales Invoice Lines'!F544</f>
        <v>Cs. Rye Batard 5/8" 8lvs</v>
      </c>
      <c r="F544" s="3">
        <f>'Posted Sales Invoice Lines'!G544</f>
        <v>46077</v>
      </c>
      <c r="G544" s="9">
        <f>'Posted Sales Invoice Lines'!L544</f>
        <v>64</v>
      </c>
      <c r="H544" s="8">
        <f>'Posted Sales Invoice Lines'!N544</f>
        <v>46.38</v>
      </c>
      <c r="I544" s="8">
        <f>'Posted Sales Invoice Lines'!O544</f>
        <v>2968.32</v>
      </c>
    </row>
    <row r="545" spans="1:9" x14ac:dyDescent="0.25">
      <c r="A545" s="2" t="str">
        <f>'Posted Sales Invoice Lines'!A545</f>
        <v>PS-INV192243</v>
      </c>
      <c r="B545" s="2" t="str">
        <f>'Posted Sales Invoice Lines'!B545</f>
        <v>Z10700</v>
      </c>
      <c r="C545" s="2" t="str">
        <f>'Posted Sales Invoice Lines'!C545</f>
        <v>Sysco-Charlotte</v>
      </c>
      <c r="D545" s="2" t="str">
        <f>'Posted Sales Invoice Lines'!E545</f>
        <v>F51384</v>
      </c>
      <c r="E545" s="2" t="str">
        <f>'Posted Sales Invoice Lines'!F545</f>
        <v>Cs. Challah Pullman 7/8"</v>
      </c>
      <c r="F545" s="3">
        <f>'Posted Sales Invoice Lines'!G545</f>
        <v>46077</v>
      </c>
      <c r="G545" s="9">
        <f>'Posted Sales Invoice Lines'!L545</f>
        <v>260</v>
      </c>
      <c r="H545" s="8">
        <f>'Posted Sales Invoice Lines'!N545</f>
        <v>51.38</v>
      </c>
      <c r="I545" s="8">
        <f>'Posted Sales Invoice Lines'!O545</f>
        <v>13358.8</v>
      </c>
    </row>
    <row r="546" spans="1:9" x14ac:dyDescent="0.25">
      <c r="A546" s="2" t="str">
        <f>'Posted Sales Invoice Lines'!A546</f>
        <v>PS-INV192243</v>
      </c>
      <c r="B546" s="2" t="str">
        <f>'Posted Sales Invoice Lines'!B546</f>
        <v>Z10700</v>
      </c>
      <c r="C546" s="2" t="str">
        <f>'Posted Sales Invoice Lines'!C546</f>
        <v>Sysco-Charlotte</v>
      </c>
      <c r="D546" s="2" t="str">
        <f>'Posted Sales Invoice Lines'!E546</f>
        <v>F51077</v>
      </c>
      <c r="E546" s="2" t="str">
        <f>'Posted Sales Invoice Lines'!F546</f>
        <v>Cs. Oatie Multigrain 5/8" 8lvs</v>
      </c>
      <c r="F546" s="3">
        <f>'Posted Sales Invoice Lines'!G546</f>
        <v>46077</v>
      </c>
      <c r="G546" s="9">
        <f>'Posted Sales Invoice Lines'!L546</f>
        <v>12</v>
      </c>
      <c r="H546" s="8">
        <f>'Posted Sales Invoice Lines'!N546</f>
        <v>54.38</v>
      </c>
      <c r="I546" s="8">
        <f>'Posted Sales Invoice Lines'!O546</f>
        <v>652.55999999999995</v>
      </c>
    </row>
    <row r="547" spans="1:9" x14ac:dyDescent="0.25">
      <c r="A547" s="2" t="str">
        <f>'Posted Sales Invoice Lines'!A547</f>
        <v>PS-INV192243</v>
      </c>
      <c r="B547" s="2" t="str">
        <f>'Posted Sales Invoice Lines'!B547</f>
        <v>Z10700</v>
      </c>
      <c r="C547" s="2" t="str">
        <f>'Posted Sales Invoice Lines'!C547</f>
        <v>Sysco-Charlotte</v>
      </c>
      <c r="D547" s="2" t="str">
        <f>'Posted Sales Invoice Lines'!E547</f>
        <v>F52544</v>
      </c>
      <c r="E547" s="2" t="str">
        <f>'Posted Sales Invoice Lines'!F547</f>
        <v>Cs. Sour Dough Batard 5/8" 8lvs</v>
      </c>
      <c r="F547" s="3">
        <f>'Posted Sales Invoice Lines'!G547</f>
        <v>46077</v>
      </c>
      <c r="G547" s="9">
        <f>'Posted Sales Invoice Lines'!L547</f>
        <v>55</v>
      </c>
      <c r="H547" s="8">
        <f>'Posted Sales Invoice Lines'!N547</f>
        <v>61.02</v>
      </c>
      <c r="I547" s="8">
        <f>'Posted Sales Invoice Lines'!O547</f>
        <v>3356.1</v>
      </c>
    </row>
    <row r="548" spans="1:9" x14ac:dyDescent="0.25">
      <c r="A548" s="2" t="str">
        <f>'Posted Sales Invoice Lines'!A548</f>
        <v>PS-INV192243</v>
      </c>
      <c r="B548" s="2" t="str">
        <f>'Posted Sales Invoice Lines'!B548</f>
        <v>Z10700</v>
      </c>
      <c r="C548" s="2" t="str">
        <f>'Posted Sales Invoice Lines'!C548</f>
        <v>Sysco-Charlotte</v>
      </c>
      <c r="D548" s="2" t="str">
        <f>'Posted Sales Invoice Lines'!E548</f>
        <v>F51044</v>
      </c>
      <c r="E548" s="2" t="str">
        <f>'Posted Sales Invoice Lines'!F548</f>
        <v>Cs. Vienna 5/8" 8lvs</v>
      </c>
      <c r="F548" s="3">
        <f>'Posted Sales Invoice Lines'!G548</f>
        <v>46077</v>
      </c>
      <c r="G548" s="9">
        <f>'Posted Sales Invoice Lines'!L548</f>
        <v>84</v>
      </c>
      <c r="H548" s="8">
        <f>'Posted Sales Invoice Lines'!N548</f>
        <v>28.5</v>
      </c>
      <c r="I548" s="8">
        <f>'Posted Sales Invoice Lines'!O548</f>
        <v>2394</v>
      </c>
    </row>
    <row r="549" spans="1:9" x14ac:dyDescent="0.25">
      <c r="A549" s="2" t="str">
        <f>'Posted Sales Invoice Lines'!A549</f>
        <v>PS-INV192247</v>
      </c>
      <c r="B549" s="2" t="str">
        <f>'Posted Sales Invoice Lines'!B549</f>
        <v>10719-6</v>
      </c>
      <c r="C549" s="2" t="str">
        <f>'Posted Sales Invoice Lines'!C549</f>
        <v>US Foods - Alcoa TN.</v>
      </c>
      <c r="D549" s="2" t="str">
        <f>'Posted Sales Invoice Lines'!E549</f>
        <v>F51136</v>
      </c>
      <c r="E549" s="2" t="str">
        <f>'Posted Sales Invoice Lines'!F549</f>
        <v>Cs. Texas Toast 1" 12lvs</v>
      </c>
      <c r="F549" s="3">
        <f>'Posted Sales Invoice Lines'!G549</f>
        <v>46092</v>
      </c>
      <c r="G549" s="9">
        <f>'Posted Sales Invoice Lines'!L549</f>
        <v>76</v>
      </c>
      <c r="H549" s="8">
        <f>'Posted Sales Invoice Lines'!N549</f>
        <v>40.119999999999997</v>
      </c>
      <c r="I549" s="8">
        <f>'Posted Sales Invoice Lines'!O549</f>
        <v>3049.12</v>
      </c>
    </row>
    <row r="550" spans="1:9" x14ac:dyDescent="0.25">
      <c r="A550" s="2" t="str">
        <f>'Posted Sales Invoice Lines'!A550</f>
        <v>PS-INV192247</v>
      </c>
      <c r="B550" s="2" t="str">
        <f>'Posted Sales Invoice Lines'!B550</f>
        <v>10719-6</v>
      </c>
      <c r="C550" s="2" t="str">
        <f>'Posted Sales Invoice Lines'!C550</f>
        <v>US Foods - Alcoa TN.</v>
      </c>
      <c r="D550" s="2" t="str">
        <f>'Posted Sales Invoice Lines'!E550</f>
        <v>F51004</v>
      </c>
      <c r="E550" s="2" t="str">
        <f>'Posted Sales Invoice Lines'!F550</f>
        <v>Cs. Rye 5/8" 8lvs</v>
      </c>
      <c r="F550" s="3">
        <f>'Posted Sales Invoice Lines'!G550</f>
        <v>46092</v>
      </c>
      <c r="G550" s="9">
        <f>'Posted Sales Invoice Lines'!L550</f>
        <v>24</v>
      </c>
      <c r="H550" s="8">
        <f>'Posted Sales Invoice Lines'!N550</f>
        <v>42.03</v>
      </c>
      <c r="I550" s="8">
        <f>'Posted Sales Invoice Lines'!O550</f>
        <v>1008.72</v>
      </c>
    </row>
    <row r="551" spans="1:9" x14ac:dyDescent="0.25">
      <c r="A551" s="2" t="str">
        <f>'Posted Sales Invoice Lines'!A551</f>
        <v>PS-INV192247</v>
      </c>
      <c r="B551" s="2" t="str">
        <f>'Posted Sales Invoice Lines'!B551</f>
        <v>10719-6</v>
      </c>
      <c r="C551" s="2" t="str">
        <f>'Posted Sales Invoice Lines'!C551</f>
        <v>US Foods - Alcoa TN.</v>
      </c>
      <c r="D551" s="2" t="str">
        <f>'Posted Sales Invoice Lines'!E551</f>
        <v>F53025</v>
      </c>
      <c r="E551" s="2" t="str">
        <f>'Posted Sales Invoice Lines'!F551</f>
        <v>Cs. Sesame Challah Kaiser 8-12pk</v>
      </c>
      <c r="F551" s="3">
        <f>'Posted Sales Invoice Lines'!G551</f>
        <v>46092</v>
      </c>
      <c r="G551" s="9">
        <f>'Posted Sales Invoice Lines'!L551</f>
        <v>152</v>
      </c>
      <c r="H551" s="8">
        <f>'Posted Sales Invoice Lines'!N551</f>
        <v>39</v>
      </c>
      <c r="I551" s="8">
        <f>'Posted Sales Invoice Lines'!O551</f>
        <v>5928</v>
      </c>
    </row>
    <row r="552" spans="1:9" x14ac:dyDescent="0.25">
      <c r="A552" s="2" t="str">
        <f>'Posted Sales Invoice Lines'!A552</f>
        <v>PS-INV192247</v>
      </c>
      <c r="B552" s="2" t="str">
        <f>'Posted Sales Invoice Lines'!B552</f>
        <v>10719-6</v>
      </c>
      <c r="C552" s="2" t="str">
        <f>'Posted Sales Invoice Lines'!C552</f>
        <v>US Foods - Alcoa TN.</v>
      </c>
      <c r="D552" s="2" t="str">
        <f>'Posted Sales Invoice Lines'!E552</f>
        <v>F53087</v>
      </c>
      <c r="E552" s="2" t="str">
        <f>'Posted Sales Invoice Lines'!F552</f>
        <v>Cs. 3.5" Challah Bun 8-12 pk</v>
      </c>
      <c r="F552" s="3">
        <f>'Posted Sales Invoice Lines'!G552</f>
        <v>46092</v>
      </c>
      <c r="G552" s="9">
        <f>'Posted Sales Invoice Lines'!L552</f>
        <v>96</v>
      </c>
      <c r="H552" s="8">
        <f>'Posted Sales Invoice Lines'!N552</f>
        <v>36.24</v>
      </c>
      <c r="I552" s="8">
        <f>'Posted Sales Invoice Lines'!O552</f>
        <v>3479.04</v>
      </c>
    </row>
    <row r="553" spans="1:9" x14ac:dyDescent="0.25">
      <c r="A553" s="2" t="str">
        <f>'Posted Sales Invoice Lines'!A553</f>
        <v>PS-INV192247</v>
      </c>
      <c r="B553" s="2" t="str">
        <f>'Posted Sales Invoice Lines'!B553</f>
        <v>10719-6</v>
      </c>
      <c r="C553" s="2" t="str">
        <f>'Posted Sales Invoice Lines'!C553</f>
        <v>US Foods - Alcoa TN.</v>
      </c>
      <c r="D553" s="2" t="str">
        <f>'Posted Sales Invoice Lines'!E553</f>
        <v>F51066</v>
      </c>
      <c r="E553" s="2" t="str">
        <f>'Posted Sales Invoice Lines'!F553</f>
        <v>Cs. Honey Wheat 3/4" 8lvs</v>
      </c>
      <c r="F553" s="3">
        <f>'Posted Sales Invoice Lines'!G553</f>
        <v>46092</v>
      </c>
      <c r="G553" s="9">
        <f>'Posted Sales Invoice Lines'!L553</f>
        <v>28</v>
      </c>
      <c r="H553" s="8">
        <f>'Posted Sales Invoice Lines'!N553</f>
        <v>35.21</v>
      </c>
      <c r="I553" s="8">
        <f>'Posted Sales Invoice Lines'!O553</f>
        <v>985.88</v>
      </c>
    </row>
    <row r="554" spans="1:9" x14ac:dyDescent="0.25">
      <c r="A554" s="2" t="str">
        <f>'Posted Sales Invoice Lines'!A554</f>
        <v>PS-INV192247</v>
      </c>
      <c r="B554" s="2" t="str">
        <f>'Posted Sales Invoice Lines'!B554</f>
        <v>10719-6</v>
      </c>
      <c r="C554" s="2" t="str">
        <f>'Posted Sales Invoice Lines'!C554</f>
        <v>US Foods - Alcoa TN.</v>
      </c>
      <c r="D554" s="2" t="str">
        <f>'Posted Sales Invoice Lines'!E554</f>
        <v>F53001</v>
      </c>
      <c r="E554" s="2" t="str">
        <f>'Posted Sales Invoice Lines'!F554</f>
        <v>Cs. 4" Brioche Bun 8-12pk</v>
      </c>
      <c r="F554" s="3">
        <f>'Posted Sales Invoice Lines'!G554</f>
        <v>46092</v>
      </c>
      <c r="G554" s="9">
        <f>'Posted Sales Invoice Lines'!L554</f>
        <v>140</v>
      </c>
      <c r="H554" s="8">
        <f>'Posted Sales Invoice Lines'!N554</f>
        <v>45.49</v>
      </c>
      <c r="I554" s="8">
        <f>'Posted Sales Invoice Lines'!O554</f>
        <v>6368.6</v>
      </c>
    </row>
    <row r="555" spans="1:9" x14ac:dyDescent="0.25">
      <c r="A555" s="2" t="str">
        <f>'Posted Sales Invoice Lines'!A555</f>
        <v>PS-INV192247</v>
      </c>
      <c r="B555" s="2" t="str">
        <f>'Posted Sales Invoice Lines'!B555</f>
        <v>10719-6</v>
      </c>
      <c r="C555" s="2" t="str">
        <f>'Posted Sales Invoice Lines'!C555</f>
        <v>US Foods - Alcoa TN.</v>
      </c>
      <c r="D555" s="2" t="str">
        <f>'Posted Sales Invoice Lines'!E555</f>
        <v>F530501</v>
      </c>
      <c r="E555" s="2" t="str">
        <f>'Posted Sales Invoice Lines'!F555</f>
        <v>Cs. 4.5" Challah Kaiser 6-12pk</v>
      </c>
      <c r="F555" s="3">
        <f>'Posted Sales Invoice Lines'!G555</f>
        <v>46092</v>
      </c>
      <c r="G555" s="9">
        <f>'Posted Sales Invoice Lines'!L555</f>
        <v>28</v>
      </c>
      <c r="H555" s="8">
        <f>'Posted Sales Invoice Lines'!N555</f>
        <v>37.020000000000003</v>
      </c>
      <c r="I555" s="8">
        <f>'Posted Sales Invoice Lines'!O555</f>
        <v>1036.56</v>
      </c>
    </row>
    <row r="556" spans="1:9" x14ac:dyDescent="0.25">
      <c r="A556" s="2" t="str">
        <f>'Posted Sales Invoice Lines'!A556</f>
        <v>PS-INV192247</v>
      </c>
      <c r="B556" s="2" t="str">
        <f>'Posted Sales Invoice Lines'!B556</f>
        <v>10719-6</v>
      </c>
      <c r="C556" s="2" t="str">
        <f>'Posted Sales Invoice Lines'!C556</f>
        <v>US Foods - Alcoa TN.</v>
      </c>
      <c r="D556" s="2" t="str">
        <f>'Posted Sales Invoice Lines'!E556</f>
        <v>F51084</v>
      </c>
      <c r="E556" s="2" t="str">
        <f>'Posted Sales Invoice Lines'!F556</f>
        <v>Cs. Wheatberry Hearth</v>
      </c>
      <c r="F556" s="3">
        <f>'Posted Sales Invoice Lines'!G556</f>
        <v>46092</v>
      </c>
      <c r="G556" s="9">
        <f>'Posted Sales Invoice Lines'!L556</f>
        <v>4</v>
      </c>
      <c r="H556" s="8">
        <f>'Posted Sales Invoice Lines'!N556</f>
        <v>52.47</v>
      </c>
      <c r="I556" s="8">
        <f>'Posted Sales Invoice Lines'!O556</f>
        <v>209.88</v>
      </c>
    </row>
    <row r="557" spans="1:9" x14ac:dyDescent="0.25">
      <c r="A557" s="2" t="str">
        <f>'Posted Sales Invoice Lines'!A557</f>
        <v>PS-INV192247</v>
      </c>
      <c r="B557" s="2" t="str">
        <f>'Posted Sales Invoice Lines'!B557</f>
        <v>10719-6</v>
      </c>
      <c r="C557" s="2" t="str">
        <f>'Posted Sales Invoice Lines'!C557</f>
        <v>US Foods - Alcoa TN.</v>
      </c>
      <c r="D557" s="2" t="str">
        <f>'Posted Sales Invoice Lines'!E557</f>
        <v>F51157</v>
      </c>
      <c r="E557" s="2" t="str">
        <f>'Posted Sales Invoice Lines'!F557</f>
        <v>Cs. Challah Hearth 7/8" 8lvs</v>
      </c>
      <c r="F557" s="3">
        <f>'Posted Sales Invoice Lines'!G557</f>
        <v>46092</v>
      </c>
      <c r="G557" s="9">
        <f>'Posted Sales Invoice Lines'!L557</f>
        <v>28</v>
      </c>
      <c r="H557" s="8">
        <f>'Posted Sales Invoice Lines'!N557</f>
        <v>44.15</v>
      </c>
      <c r="I557" s="8">
        <f>'Posted Sales Invoice Lines'!O557</f>
        <v>1236.2</v>
      </c>
    </row>
    <row r="558" spans="1:9" x14ac:dyDescent="0.25">
      <c r="A558" s="2" t="str">
        <f>'Posted Sales Invoice Lines'!A558</f>
        <v>PS-INV192247</v>
      </c>
      <c r="B558" s="2" t="str">
        <f>'Posted Sales Invoice Lines'!B558</f>
        <v>10719-6</v>
      </c>
      <c r="C558" s="2" t="str">
        <f>'Posted Sales Invoice Lines'!C558</f>
        <v>US Foods - Alcoa TN.</v>
      </c>
      <c r="D558" s="2" t="str">
        <f>'Posted Sales Invoice Lines'!E558</f>
        <v>F53006</v>
      </c>
      <c r="E558" s="2" t="str">
        <f>'Posted Sales Invoice Lines'!F558</f>
        <v>Cs. 4" Wheat Bun 8-12pk</v>
      </c>
      <c r="F558" s="3">
        <f>'Posted Sales Invoice Lines'!G558</f>
        <v>46092</v>
      </c>
      <c r="G558" s="9">
        <f>'Posted Sales Invoice Lines'!L558</f>
        <v>12</v>
      </c>
      <c r="H558" s="8">
        <f>'Posted Sales Invoice Lines'!N558</f>
        <v>40.22</v>
      </c>
      <c r="I558" s="8">
        <f>'Posted Sales Invoice Lines'!O558</f>
        <v>482.64</v>
      </c>
    </row>
    <row r="559" spans="1:9" x14ac:dyDescent="0.25">
      <c r="A559" s="2" t="str">
        <f>'Posted Sales Invoice Lines'!A559</f>
        <v>PS-INV192247</v>
      </c>
      <c r="B559" s="2" t="str">
        <f>'Posted Sales Invoice Lines'!B559</f>
        <v>10719-6</v>
      </c>
      <c r="C559" s="2" t="str">
        <f>'Posted Sales Invoice Lines'!C559</f>
        <v>US Foods - Alcoa TN.</v>
      </c>
      <c r="D559" s="2" t="str">
        <f>'Posted Sales Invoice Lines'!E559</f>
        <v>F53127</v>
      </c>
      <c r="E559" s="2" t="str">
        <f>'Posted Sales Invoice Lines'!F559</f>
        <v>Cs. 8" Philly 10-6pks</v>
      </c>
      <c r="F559" s="3">
        <f>'Posted Sales Invoice Lines'!G559</f>
        <v>46092</v>
      </c>
      <c r="G559" s="9">
        <f>'Posted Sales Invoice Lines'!L559</f>
        <v>70</v>
      </c>
      <c r="H559" s="8">
        <f>'Posted Sales Invoice Lines'!N559</f>
        <v>42.37</v>
      </c>
      <c r="I559" s="8">
        <f>'Posted Sales Invoice Lines'!O559</f>
        <v>2965.9</v>
      </c>
    </row>
    <row r="560" spans="1:9" x14ac:dyDescent="0.25">
      <c r="A560" s="2" t="str">
        <f>'Posted Sales Invoice Lines'!A560</f>
        <v>PS-INV192247</v>
      </c>
      <c r="B560" s="2" t="str">
        <f>'Posted Sales Invoice Lines'!B560</f>
        <v>10719-6</v>
      </c>
      <c r="C560" s="2" t="str">
        <f>'Posted Sales Invoice Lines'!C560</f>
        <v>US Foods - Alcoa TN.</v>
      </c>
      <c r="D560" s="2" t="str">
        <f>'Posted Sales Invoice Lines'!E560</f>
        <v>F51343</v>
      </c>
      <c r="E560" s="2" t="str">
        <f>'Posted Sales Invoice Lines'!F560</f>
        <v>Cs. White Bread Pullman 3/4" 10lvs</v>
      </c>
      <c r="F560" s="3">
        <f>'Posted Sales Invoice Lines'!G560</f>
        <v>46092</v>
      </c>
      <c r="G560" s="9">
        <f>'Posted Sales Invoice Lines'!L560</f>
        <v>14</v>
      </c>
      <c r="H560" s="8">
        <f>'Posted Sales Invoice Lines'!N560</f>
        <v>42.22</v>
      </c>
      <c r="I560" s="8">
        <f>'Posted Sales Invoice Lines'!O560</f>
        <v>591.08000000000004</v>
      </c>
    </row>
    <row r="561" spans="1:9" x14ac:dyDescent="0.25">
      <c r="A561" s="2" t="str">
        <f>'Posted Sales Invoice Lines'!A561</f>
        <v>PS-INV192247</v>
      </c>
      <c r="B561" s="2" t="str">
        <f>'Posted Sales Invoice Lines'!B561</f>
        <v>10719-6</v>
      </c>
      <c r="C561" s="2" t="str">
        <f>'Posted Sales Invoice Lines'!C561</f>
        <v>US Foods - Alcoa TN.</v>
      </c>
      <c r="D561" s="2" t="str">
        <f>'Posted Sales Invoice Lines'!E561</f>
        <v>F53086</v>
      </c>
      <c r="E561" s="2" t="str">
        <f>'Posted Sales Invoice Lines'!F561</f>
        <v>Cs. 3.5" Plain Hamburger Bun 8-12pk</v>
      </c>
      <c r="F561" s="3">
        <f>'Posted Sales Invoice Lines'!G561</f>
        <v>46092</v>
      </c>
      <c r="G561" s="9">
        <f>'Posted Sales Invoice Lines'!L561</f>
        <v>8</v>
      </c>
      <c r="H561" s="8">
        <f>'Posted Sales Invoice Lines'!N561</f>
        <v>36.24</v>
      </c>
      <c r="I561" s="8">
        <f>'Posted Sales Invoice Lines'!O561</f>
        <v>289.92</v>
      </c>
    </row>
    <row r="562" spans="1:9" x14ac:dyDescent="0.25">
      <c r="A562" s="2" t="str">
        <f>'Posted Sales Invoice Lines'!A562</f>
        <v>PS-INV192247</v>
      </c>
      <c r="B562" s="2" t="str">
        <f>'Posted Sales Invoice Lines'!B562</f>
        <v>10719-6</v>
      </c>
      <c r="C562" s="2" t="str">
        <f>'Posted Sales Invoice Lines'!C562</f>
        <v>US Foods - Alcoa TN.</v>
      </c>
      <c r="D562" s="2" t="str">
        <f>'Posted Sales Invoice Lines'!E562</f>
        <v>F52035</v>
      </c>
      <c r="E562" s="2" t="str">
        <f>'Posted Sales Invoice Lines'!F562</f>
        <v>Cs. French Boule 12-2pk</v>
      </c>
      <c r="F562" s="3">
        <f>'Posted Sales Invoice Lines'!G562</f>
        <v>46092</v>
      </c>
      <c r="G562" s="9">
        <f>'Posted Sales Invoice Lines'!L562</f>
        <v>44</v>
      </c>
      <c r="H562" s="8">
        <f>'Posted Sales Invoice Lines'!N562</f>
        <v>32.549999999999997</v>
      </c>
      <c r="I562" s="8">
        <f>'Posted Sales Invoice Lines'!O562</f>
        <v>1432.2</v>
      </c>
    </row>
    <row r="563" spans="1:9" x14ac:dyDescent="0.25">
      <c r="A563" s="2" t="str">
        <f>'Posted Sales Invoice Lines'!A563</f>
        <v>PS-INV192247</v>
      </c>
      <c r="B563" s="2" t="str">
        <f>'Posted Sales Invoice Lines'!B563</f>
        <v>10719-6</v>
      </c>
      <c r="C563" s="2" t="str">
        <f>'Posted Sales Invoice Lines'!C563</f>
        <v>US Foods - Alcoa TN.</v>
      </c>
      <c r="D563" s="2" t="str">
        <f>'Posted Sales Invoice Lines'!E563</f>
        <v>F53106</v>
      </c>
      <c r="E563" s="2" t="str">
        <f>'Posted Sales Invoice Lines'!F563</f>
        <v>Cs. Large Hot Dog 12-6pk</v>
      </c>
      <c r="F563" s="3">
        <f>'Posted Sales Invoice Lines'!G563</f>
        <v>46092</v>
      </c>
      <c r="G563" s="9">
        <f>'Posted Sales Invoice Lines'!L563</f>
        <v>12</v>
      </c>
      <c r="H563" s="8">
        <f>'Posted Sales Invoice Lines'!N563</f>
        <v>35.57</v>
      </c>
      <c r="I563" s="8">
        <f>'Posted Sales Invoice Lines'!O563</f>
        <v>426.84</v>
      </c>
    </row>
    <row r="564" spans="1:9" x14ac:dyDescent="0.25">
      <c r="A564" s="2" t="str">
        <f>'Posted Sales Invoice Lines'!A564</f>
        <v>PS-INV192247</v>
      </c>
      <c r="B564" s="2" t="str">
        <f>'Posted Sales Invoice Lines'!B564</f>
        <v>10719-6</v>
      </c>
      <c r="C564" s="2" t="str">
        <f>'Posted Sales Invoice Lines'!C564</f>
        <v>US Foods - Alcoa TN.</v>
      </c>
      <c r="D564" s="2" t="str">
        <f>'Posted Sales Invoice Lines'!E564</f>
        <v>F52032</v>
      </c>
      <c r="E564" s="2" t="str">
        <f>'Posted Sales Invoice Lines'!F564</f>
        <v>Cs. 8oz Sour Dough Boule 12-2pk</v>
      </c>
      <c r="F564" s="3">
        <f>'Posted Sales Invoice Lines'!G564</f>
        <v>46092</v>
      </c>
      <c r="G564" s="9">
        <f>'Posted Sales Invoice Lines'!L564</f>
        <v>36</v>
      </c>
      <c r="H564" s="8">
        <f>'Posted Sales Invoice Lines'!N564</f>
        <v>41.25</v>
      </c>
      <c r="I564" s="8">
        <f>'Posted Sales Invoice Lines'!O564</f>
        <v>1485</v>
      </c>
    </row>
    <row r="565" spans="1:9" x14ac:dyDescent="0.25">
      <c r="A565" s="2" t="str">
        <f>'Posted Sales Invoice Lines'!A565</f>
        <v>PS-INV192247</v>
      </c>
      <c r="B565" s="2" t="str">
        <f>'Posted Sales Invoice Lines'!B565</f>
        <v>10719-6</v>
      </c>
      <c r="C565" s="2" t="str">
        <f>'Posted Sales Invoice Lines'!C565</f>
        <v>US Foods - Alcoa TN.</v>
      </c>
      <c r="D565" s="2" t="str">
        <f>'Posted Sales Invoice Lines'!E565</f>
        <v>F53024</v>
      </c>
      <c r="E565" s="2" t="str">
        <f>'Posted Sales Invoice Lines'!F565</f>
        <v>Cs. 4" Challah Kaiser 8-12pk</v>
      </c>
      <c r="F565" s="3">
        <f>'Posted Sales Invoice Lines'!G565</f>
        <v>46092</v>
      </c>
      <c r="G565" s="9">
        <f>'Posted Sales Invoice Lines'!L565</f>
        <v>32</v>
      </c>
      <c r="H565" s="8">
        <f>'Posted Sales Invoice Lines'!N565</f>
        <v>40.22</v>
      </c>
      <c r="I565" s="8">
        <f>'Posted Sales Invoice Lines'!O565</f>
        <v>1287.04</v>
      </c>
    </row>
    <row r="566" spans="1:9" x14ac:dyDescent="0.25">
      <c r="A566" s="2" t="str">
        <f>'Posted Sales Invoice Lines'!A566</f>
        <v>PS-INV192247</v>
      </c>
      <c r="B566" s="2" t="str">
        <f>'Posted Sales Invoice Lines'!B566</f>
        <v>10719-6</v>
      </c>
      <c r="C566" s="2" t="str">
        <f>'Posted Sales Invoice Lines'!C566</f>
        <v>US Foods - Alcoa TN.</v>
      </c>
      <c r="D566" s="2" t="str">
        <f>'Posted Sales Invoice Lines'!E566</f>
        <v>F56251</v>
      </c>
      <c r="E566" s="2" t="str">
        <f>'Posted Sales Invoice Lines'!F566</f>
        <v>Cs. Challah Sliders Sliced 18-12pks</v>
      </c>
      <c r="F566" s="3">
        <f>'Posted Sales Invoice Lines'!G566</f>
        <v>46092</v>
      </c>
      <c r="G566" s="9">
        <f>'Posted Sales Invoice Lines'!L566</f>
        <v>36</v>
      </c>
      <c r="H566" s="8">
        <f>'Posted Sales Invoice Lines'!N566</f>
        <v>41.5</v>
      </c>
      <c r="I566" s="8">
        <f>'Posted Sales Invoice Lines'!O566</f>
        <v>1494</v>
      </c>
    </row>
    <row r="567" spans="1:9" x14ac:dyDescent="0.25">
      <c r="A567" s="2" t="str">
        <f>'Posted Sales Invoice Lines'!A567</f>
        <v>PS-INV192306</v>
      </c>
      <c r="B567" s="2" t="str">
        <f>'Posted Sales Invoice Lines'!B567</f>
        <v>10547</v>
      </c>
      <c r="C567" s="2" t="str">
        <f>'Posted Sales Invoice Lines'!C567</f>
        <v>PFG Hale TN</v>
      </c>
      <c r="D567" s="2" t="str">
        <f>'Posted Sales Invoice Lines'!E567</f>
        <v>F51024</v>
      </c>
      <c r="E567" s="2" t="str">
        <f>'Posted Sales Invoice Lines'!F567</f>
        <v>Cs. Marble Rye 5/8" 8lvs</v>
      </c>
      <c r="F567" s="3">
        <f>'Posted Sales Invoice Lines'!G567</f>
        <v>46084</v>
      </c>
      <c r="G567" s="9">
        <f>'Posted Sales Invoice Lines'!L567</f>
        <v>56</v>
      </c>
      <c r="H567" s="8">
        <f>'Posted Sales Invoice Lines'!N567</f>
        <v>46.25</v>
      </c>
      <c r="I567" s="8">
        <f>'Posted Sales Invoice Lines'!O567</f>
        <v>2590</v>
      </c>
    </row>
    <row r="568" spans="1:9" x14ac:dyDescent="0.25">
      <c r="A568" s="2" t="str">
        <f>'Posted Sales Invoice Lines'!A568</f>
        <v>PS-INV192306</v>
      </c>
      <c r="B568" s="2" t="str">
        <f>'Posted Sales Invoice Lines'!B568</f>
        <v>10547</v>
      </c>
      <c r="C568" s="2" t="str">
        <f>'Posted Sales Invoice Lines'!C568</f>
        <v>PFG Hale TN</v>
      </c>
      <c r="D568" s="2" t="str">
        <f>'Posted Sales Invoice Lines'!E568</f>
        <v>F53001</v>
      </c>
      <c r="E568" s="2" t="str">
        <f>'Posted Sales Invoice Lines'!F568</f>
        <v>Cs. 4" Brioche Bun 8-12pk</v>
      </c>
      <c r="F568" s="3">
        <f>'Posted Sales Invoice Lines'!G568</f>
        <v>46084</v>
      </c>
      <c r="G568" s="9">
        <f>'Posted Sales Invoice Lines'!L568</f>
        <v>60</v>
      </c>
      <c r="H568" s="8">
        <f>'Posted Sales Invoice Lines'!N568</f>
        <v>42</v>
      </c>
      <c r="I568" s="8">
        <f>'Posted Sales Invoice Lines'!O568</f>
        <v>2520</v>
      </c>
    </row>
    <row r="569" spans="1:9" x14ac:dyDescent="0.25">
      <c r="A569" s="2" t="str">
        <f>'Posted Sales Invoice Lines'!A569</f>
        <v>PS-INV192306</v>
      </c>
      <c r="B569" s="2" t="str">
        <f>'Posted Sales Invoice Lines'!B569</f>
        <v>10547</v>
      </c>
      <c r="C569" s="2" t="str">
        <f>'Posted Sales Invoice Lines'!C569</f>
        <v>PFG Hale TN</v>
      </c>
      <c r="D569" s="2" t="str">
        <f>'Posted Sales Invoice Lines'!E569</f>
        <v>F530421</v>
      </c>
      <c r="E569" s="2" t="str">
        <f>'Posted Sales Invoice Lines'!F569</f>
        <v>Cs. 4.5" Challah Buns 6-12pk.</v>
      </c>
      <c r="F569" s="3">
        <f>'Posted Sales Invoice Lines'!G569</f>
        <v>46084</v>
      </c>
      <c r="G569" s="9">
        <f>'Posted Sales Invoice Lines'!L569</f>
        <v>252</v>
      </c>
      <c r="H569" s="8">
        <f>'Posted Sales Invoice Lines'!N569</f>
        <v>38.299999999999997</v>
      </c>
      <c r="I569" s="8">
        <f>'Posted Sales Invoice Lines'!O569</f>
        <v>9651.6</v>
      </c>
    </row>
    <row r="570" spans="1:9" x14ac:dyDescent="0.25">
      <c r="A570" s="2" t="str">
        <f>'Posted Sales Invoice Lines'!A570</f>
        <v>PS-INV192306</v>
      </c>
      <c r="B570" s="2" t="str">
        <f>'Posted Sales Invoice Lines'!B570</f>
        <v>10547</v>
      </c>
      <c r="C570" s="2" t="str">
        <f>'Posted Sales Invoice Lines'!C570</f>
        <v>PFG Hale TN</v>
      </c>
      <c r="D570" s="2" t="str">
        <f>'Posted Sales Invoice Lines'!E570</f>
        <v>F53094</v>
      </c>
      <c r="E570" s="2" t="str">
        <f>'Posted Sales Invoice Lines'!F570</f>
        <v>Cs. 6" Italian 12-6pks</v>
      </c>
      <c r="F570" s="3">
        <f>'Posted Sales Invoice Lines'!G570</f>
        <v>46084</v>
      </c>
      <c r="G570" s="9">
        <f>'Posted Sales Invoice Lines'!L570</f>
        <v>140</v>
      </c>
      <c r="H570" s="8">
        <f>'Posted Sales Invoice Lines'!N570</f>
        <v>36.47</v>
      </c>
      <c r="I570" s="8">
        <f>'Posted Sales Invoice Lines'!O570</f>
        <v>5105.8</v>
      </c>
    </row>
    <row r="571" spans="1:9" x14ac:dyDescent="0.25">
      <c r="A571" s="2" t="str">
        <f>'Posted Sales Invoice Lines'!A571</f>
        <v>PS-INV192306</v>
      </c>
      <c r="B571" s="2" t="str">
        <f>'Posted Sales Invoice Lines'!B571</f>
        <v>10547</v>
      </c>
      <c r="C571" s="2" t="str">
        <f>'Posted Sales Invoice Lines'!C571</f>
        <v>PFG Hale TN</v>
      </c>
      <c r="D571" s="2" t="str">
        <f>'Posted Sales Invoice Lines'!E571</f>
        <v>F53000</v>
      </c>
      <c r="E571" s="2" t="str">
        <f>'Posted Sales Invoice Lines'!F571</f>
        <v>Cs. 4" Hamburger Bun 8-12pk</v>
      </c>
      <c r="F571" s="3">
        <f>'Posted Sales Invoice Lines'!G571</f>
        <v>46084</v>
      </c>
      <c r="G571" s="9">
        <f>'Posted Sales Invoice Lines'!L571</f>
        <v>36</v>
      </c>
      <c r="H571" s="8">
        <f>'Posted Sales Invoice Lines'!N571</f>
        <v>33.25</v>
      </c>
      <c r="I571" s="8">
        <f>'Posted Sales Invoice Lines'!O571</f>
        <v>1197</v>
      </c>
    </row>
    <row r="572" spans="1:9" x14ac:dyDescent="0.25">
      <c r="A572" s="2" t="str">
        <f>'Posted Sales Invoice Lines'!A572</f>
        <v>PS-INV192306</v>
      </c>
      <c r="B572" s="2" t="str">
        <f>'Posted Sales Invoice Lines'!B572</f>
        <v>10547</v>
      </c>
      <c r="C572" s="2" t="str">
        <f>'Posted Sales Invoice Lines'!C572</f>
        <v>PFG Hale TN</v>
      </c>
      <c r="D572" s="2" t="str">
        <f>'Posted Sales Invoice Lines'!E572</f>
        <v>F53098</v>
      </c>
      <c r="E572" s="2" t="str">
        <f>'Posted Sales Invoice Lines'!F572</f>
        <v>Cs. Onion Club 12-6pk</v>
      </c>
      <c r="F572" s="3">
        <f>'Posted Sales Invoice Lines'!G572</f>
        <v>46084</v>
      </c>
      <c r="G572" s="9">
        <f>'Posted Sales Invoice Lines'!L572</f>
        <v>48</v>
      </c>
      <c r="H572" s="8">
        <f>'Posted Sales Invoice Lines'!N572</f>
        <v>35.75</v>
      </c>
      <c r="I572" s="8">
        <f>'Posted Sales Invoice Lines'!O572</f>
        <v>1716</v>
      </c>
    </row>
    <row r="573" spans="1:9" x14ac:dyDescent="0.25">
      <c r="A573" s="2" t="str">
        <f>'Posted Sales Invoice Lines'!A573</f>
        <v>PS-INV192318</v>
      </c>
      <c r="B573" s="2" t="str">
        <f>'Posted Sales Invoice Lines'!B573</f>
        <v>1-4</v>
      </c>
      <c r="C573" s="2" t="str">
        <f>'Posted Sales Invoice Lines'!C573</f>
        <v>Heath West</v>
      </c>
      <c r="D573" s="2" t="str">
        <f>'Posted Sales Invoice Lines'!E573</f>
        <v>F51044</v>
      </c>
      <c r="E573" s="2" t="str">
        <f>'Posted Sales Invoice Lines'!F573</f>
        <v>Cs. Vienna 5/8" 8lvs</v>
      </c>
      <c r="F573" s="3">
        <f>'Posted Sales Invoice Lines'!G573</f>
        <v>46071</v>
      </c>
      <c r="G573" s="9">
        <f>'Posted Sales Invoice Lines'!L573</f>
        <v>2</v>
      </c>
      <c r="H573" s="8">
        <f>'Posted Sales Invoice Lines'!N573</f>
        <v>0</v>
      </c>
      <c r="I573" s="8">
        <f>'Posted Sales Invoice Lines'!O573</f>
        <v>0</v>
      </c>
    </row>
    <row r="574" spans="1:9" x14ac:dyDescent="0.25">
      <c r="A574" s="2" t="str">
        <f>'Posted Sales Invoice Lines'!A574</f>
        <v>PS-INV192354</v>
      </c>
      <c r="B574" s="2" t="str">
        <f>'Posted Sales Invoice Lines'!B574</f>
        <v>10549</v>
      </c>
      <c r="C574" s="2" t="str">
        <f>'Posted Sales Invoice Lines'!C574</f>
        <v>PFG Nashville TN</v>
      </c>
      <c r="D574" s="2" t="str">
        <f>'Posted Sales Invoice Lines'!E574</f>
        <v>F53003</v>
      </c>
      <c r="E574" s="2" t="str">
        <f>'Posted Sales Invoice Lines'!F574</f>
        <v>Cs. 4" Unseeded Challah Bun 8-12pk</v>
      </c>
      <c r="F574" s="3">
        <f>'Posted Sales Invoice Lines'!G574</f>
        <v>46090</v>
      </c>
      <c r="G574" s="9">
        <f>'Posted Sales Invoice Lines'!L574</f>
        <v>112</v>
      </c>
      <c r="H574" s="8">
        <f>'Posted Sales Invoice Lines'!N574</f>
        <v>34.5</v>
      </c>
      <c r="I574" s="8">
        <f>'Posted Sales Invoice Lines'!O574</f>
        <v>3864</v>
      </c>
    </row>
    <row r="575" spans="1:9" x14ac:dyDescent="0.25">
      <c r="A575" s="2" t="str">
        <f>'Posted Sales Invoice Lines'!A575</f>
        <v>PS-INV192354</v>
      </c>
      <c r="B575" s="2" t="str">
        <f>'Posted Sales Invoice Lines'!B575</f>
        <v>10549</v>
      </c>
      <c r="C575" s="2" t="str">
        <f>'Posted Sales Invoice Lines'!C575</f>
        <v>PFG Nashville TN</v>
      </c>
      <c r="D575" s="2" t="str">
        <f>'Posted Sales Invoice Lines'!E575</f>
        <v>F53070</v>
      </c>
      <c r="E575" s="2" t="str">
        <f>'Posted Sales Invoice Lines'!F575</f>
        <v xml:space="preserve">Cs. 5" Challah Sesame Buns </v>
      </c>
      <c r="F575" s="3">
        <f>'Posted Sales Invoice Lines'!G575</f>
        <v>46090</v>
      </c>
      <c r="G575" s="9">
        <f>'Posted Sales Invoice Lines'!L575</f>
        <v>32</v>
      </c>
      <c r="H575" s="8">
        <f>'Posted Sales Invoice Lines'!N575</f>
        <v>34.5</v>
      </c>
      <c r="I575" s="8">
        <f>'Posted Sales Invoice Lines'!O575</f>
        <v>1104</v>
      </c>
    </row>
    <row r="576" spans="1:9" x14ac:dyDescent="0.25">
      <c r="A576" s="2" t="str">
        <f>'Posted Sales Invoice Lines'!A576</f>
        <v>PS-INV192770</v>
      </c>
      <c r="B576" s="2" t="str">
        <f>'Posted Sales Invoice Lines'!B576</f>
        <v>1-4</v>
      </c>
      <c r="C576" s="2" t="str">
        <f>'Posted Sales Invoice Lines'!C576</f>
        <v>Heath West</v>
      </c>
      <c r="D576" s="2" t="str">
        <f>'Posted Sales Invoice Lines'!E576</f>
        <v>F51044</v>
      </c>
      <c r="E576" s="2" t="str">
        <f>'Posted Sales Invoice Lines'!F576</f>
        <v>Cs. Vienna 5/8" 8lvs</v>
      </c>
      <c r="F576" s="3">
        <f>'Posted Sales Invoice Lines'!G576</f>
        <v>46072</v>
      </c>
      <c r="G576" s="9">
        <f>'Posted Sales Invoice Lines'!L576</f>
        <v>1</v>
      </c>
      <c r="H576" s="8">
        <f>'Posted Sales Invoice Lines'!N576</f>
        <v>0</v>
      </c>
      <c r="I576" s="8">
        <f>'Posted Sales Invoice Lines'!O576</f>
        <v>0</v>
      </c>
    </row>
    <row r="577" spans="1:9" x14ac:dyDescent="0.25">
      <c r="A577" s="2" t="str">
        <f>'Posted Sales Invoice Lines'!A577</f>
        <v>PS-INV192777</v>
      </c>
      <c r="B577" s="2" t="str">
        <f>'Posted Sales Invoice Lines'!B577</f>
        <v>1-4</v>
      </c>
      <c r="C577" s="2" t="str">
        <f>'Posted Sales Invoice Lines'!C577</f>
        <v>Heath West</v>
      </c>
      <c r="D577" s="2" t="str">
        <f>'Posted Sales Invoice Lines'!E577</f>
        <v>F53106</v>
      </c>
      <c r="E577" s="2" t="str">
        <f>'Posted Sales Invoice Lines'!F577</f>
        <v>Cs. Large Hot Dog 12-6pk</v>
      </c>
      <c r="F577" s="3">
        <f>'Posted Sales Invoice Lines'!G577</f>
        <v>46072</v>
      </c>
      <c r="G577" s="9">
        <f>'Posted Sales Invoice Lines'!L577</f>
        <v>1</v>
      </c>
      <c r="H577" s="8">
        <f>'Posted Sales Invoice Lines'!N577</f>
        <v>0</v>
      </c>
      <c r="I577" s="8">
        <f>'Posted Sales Invoice Lines'!O577</f>
        <v>0</v>
      </c>
    </row>
    <row r="578" spans="1:9" x14ac:dyDescent="0.25">
      <c r="A578" s="2" t="str">
        <f>'Posted Sales Invoice Lines'!A578</f>
        <v>PS-INV192803</v>
      </c>
      <c r="B578" s="2" t="str">
        <f>'Posted Sales Invoice Lines'!B578</f>
        <v>10719-3</v>
      </c>
      <c r="C578" s="2" t="str">
        <f>'Posted Sales Invoice Lines'!C578</f>
        <v>US Foods - Raleigh/Zebulon</v>
      </c>
      <c r="D578" s="2" t="str">
        <f>'Posted Sales Invoice Lines'!E578</f>
        <v>F53002</v>
      </c>
      <c r="E578" s="2" t="str">
        <f>'Posted Sales Invoice Lines'!F578</f>
        <v>Cs. 4" Challah Sesame Bun 8-12pk</v>
      </c>
      <c r="F578" s="3">
        <f>'Posted Sales Invoice Lines'!G578</f>
        <v>46093</v>
      </c>
      <c r="G578" s="9">
        <f>'Posted Sales Invoice Lines'!L578</f>
        <v>0</v>
      </c>
      <c r="H578" s="8">
        <f>'Posted Sales Invoice Lines'!N578</f>
        <v>41.66</v>
      </c>
      <c r="I578" s="8">
        <f>'Posted Sales Invoice Lines'!O578</f>
        <v>0</v>
      </c>
    </row>
    <row r="579" spans="1:9" x14ac:dyDescent="0.25">
      <c r="A579" s="2" t="str">
        <f>'Posted Sales Invoice Lines'!A579</f>
        <v>PS-INV192803</v>
      </c>
      <c r="B579" s="2" t="str">
        <f>'Posted Sales Invoice Lines'!B579</f>
        <v>10719-3</v>
      </c>
      <c r="C579" s="2" t="str">
        <f>'Posted Sales Invoice Lines'!C579</f>
        <v>US Foods - Raleigh/Zebulon</v>
      </c>
      <c r="D579" s="2" t="str">
        <f>'Posted Sales Invoice Lines'!E579</f>
        <v>F52902</v>
      </c>
      <c r="E579" s="2" t="str">
        <f>'Posted Sales Invoice Lines'!F579</f>
        <v>Cs. 22" Rye Baguette 10-2pk</v>
      </c>
      <c r="F579" s="3">
        <f>'Posted Sales Invoice Lines'!G579</f>
        <v>46093</v>
      </c>
      <c r="G579" s="9">
        <f>'Posted Sales Invoice Lines'!L579</f>
        <v>0</v>
      </c>
      <c r="H579" s="8">
        <f>'Posted Sales Invoice Lines'!N579</f>
        <v>42.53</v>
      </c>
      <c r="I579" s="8">
        <f>'Posted Sales Invoice Lines'!O579</f>
        <v>0</v>
      </c>
    </row>
    <row r="580" spans="1:9" x14ac:dyDescent="0.25">
      <c r="A580" s="2" t="str">
        <f>'Posted Sales Invoice Lines'!A580</f>
        <v>PS-INV192803</v>
      </c>
      <c r="B580" s="2" t="str">
        <f>'Posted Sales Invoice Lines'!B580</f>
        <v>10719-3</v>
      </c>
      <c r="C580" s="2" t="str">
        <f>'Posted Sales Invoice Lines'!C580</f>
        <v>US Foods - Raleigh/Zebulon</v>
      </c>
      <c r="D580" s="2" t="str">
        <f>'Posted Sales Invoice Lines'!E580</f>
        <v>F51026</v>
      </c>
      <c r="E580" s="2" t="str">
        <f>'Posted Sales Invoice Lines'!F580</f>
        <v>Cs. Marble Rye 3/4" 8lvs</v>
      </c>
      <c r="F580" s="3">
        <f>'Posted Sales Invoice Lines'!G580</f>
        <v>46093</v>
      </c>
      <c r="G580" s="9">
        <f>'Posted Sales Invoice Lines'!L580</f>
        <v>24</v>
      </c>
      <c r="H580" s="8">
        <f>'Posted Sales Invoice Lines'!N580</f>
        <v>52</v>
      </c>
      <c r="I580" s="8">
        <f>'Posted Sales Invoice Lines'!O580</f>
        <v>1248</v>
      </c>
    </row>
    <row r="581" spans="1:9" x14ac:dyDescent="0.25">
      <c r="A581" s="2" t="str">
        <f>'Posted Sales Invoice Lines'!A581</f>
        <v>PS-INV192806</v>
      </c>
      <c r="B581" s="2" t="str">
        <f>'Posted Sales Invoice Lines'!B581</f>
        <v>10540-01</v>
      </c>
      <c r="C581" s="2" t="str">
        <f>'Posted Sales Invoice Lines'!C581</f>
        <v>PFG Johnson City TN</v>
      </c>
      <c r="D581" s="2" t="str">
        <f>'Posted Sales Invoice Lines'!E581</f>
        <v>F53136</v>
      </c>
      <c r="E581" s="2" t="str">
        <f>'Posted Sales Invoice Lines'!F581</f>
        <v>Cs. 8" Squaw 12-6pks</v>
      </c>
      <c r="F581" s="3">
        <f>'Posted Sales Invoice Lines'!G581</f>
        <v>46086</v>
      </c>
      <c r="G581" s="9">
        <f>'Posted Sales Invoice Lines'!L581</f>
        <v>12</v>
      </c>
      <c r="H581" s="8">
        <f>'Posted Sales Invoice Lines'!N581</f>
        <v>37</v>
      </c>
      <c r="I581" s="8">
        <f>'Posted Sales Invoice Lines'!O581</f>
        <v>444</v>
      </c>
    </row>
    <row r="582" spans="1:9" x14ac:dyDescent="0.25">
      <c r="A582" s="2" t="str">
        <f>'Posted Sales Invoice Lines'!A582</f>
        <v>PS-INV192806</v>
      </c>
      <c r="B582" s="2" t="str">
        <f>'Posted Sales Invoice Lines'!B582</f>
        <v>10540-01</v>
      </c>
      <c r="C582" s="2" t="str">
        <f>'Posted Sales Invoice Lines'!C582</f>
        <v>PFG Johnson City TN</v>
      </c>
      <c r="D582" s="2" t="str">
        <f>'Posted Sales Invoice Lines'!E582</f>
        <v>F56251</v>
      </c>
      <c r="E582" s="2" t="str">
        <f>'Posted Sales Invoice Lines'!F582</f>
        <v>Cs. Challah Sliders Sliced 18-12pks</v>
      </c>
      <c r="F582" s="3">
        <f>'Posted Sales Invoice Lines'!G582</f>
        <v>46086</v>
      </c>
      <c r="G582" s="9">
        <f>'Posted Sales Invoice Lines'!L582</f>
        <v>20</v>
      </c>
      <c r="H582" s="8">
        <f>'Posted Sales Invoice Lines'!N582</f>
        <v>42.11</v>
      </c>
      <c r="I582" s="8">
        <f>'Posted Sales Invoice Lines'!O582</f>
        <v>842.2</v>
      </c>
    </row>
    <row r="583" spans="1:9" x14ac:dyDescent="0.25">
      <c r="A583" s="2" t="str">
        <f>'Posted Sales Invoice Lines'!A583</f>
        <v>PS-INV192806</v>
      </c>
      <c r="B583" s="2" t="str">
        <f>'Posted Sales Invoice Lines'!B583</f>
        <v>10540-01</v>
      </c>
      <c r="C583" s="2" t="str">
        <f>'Posted Sales Invoice Lines'!C583</f>
        <v>PFG Johnson City TN</v>
      </c>
      <c r="D583" s="2" t="str">
        <f>'Posted Sales Invoice Lines'!E583</f>
        <v>F53003</v>
      </c>
      <c r="E583" s="2" t="str">
        <f>'Posted Sales Invoice Lines'!F583</f>
        <v>Cs. 4" Unseeded Challah Bun 8-12pk</v>
      </c>
      <c r="F583" s="3">
        <f>'Posted Sales Invoice Lines'!G583</f>
        <v>46086</v>
      </c>
      <c r="G583" s="9">
        <f>'Posted Sales Invoice Lines'!L583</f>
        <v>84</v>
      </c>
      <c r="H583" s="8">
        <f>'Posted Sales Invoice Lines'!N583</f>
        <v>38.75</v>
      </c>
      <c r="I583" s="8">
        <f>'Posted Sales Invoice Lines'!O583</f>
        <v>3255</v>
      </c>
    </row>
    <row r="584" spans="1:9" x14ac:dyDescent="0.25">
      <c r="A584" s="2" t="str">
        <f>'Posted Sales Invoice Lines'!A584</f>
        <v>PS-INV192806</v>
      </c>
      <c r="B584" s="2" t="str">
        <f>'Posted Sales Invoice Lines'!B584</f>
        <v>10540-01</v>
      </c>
      <c r="C584" s="2" t="str">
        <f>'Posted Sales Invoice Lines'!C584</f>
        <v>PFG Johnson City TN</v>
      </c>
      <c r="D584" s="2" t="str">
        <f>'Posted Sales Invoice Lines'!E584</f>
        <v>F531052</v>
      </c>
      <c r="E584" s="2" t="str">
        <f>'Posted Sales Invoice Lines'!F584</f>
        <v>Cs. 6" Hot Dog Top Sliced 12-12pk</v>
      </c>
      <c r="F584" s="3">
        <f>'Posted Sales Invoice Lines'!G584</f>
        <v>46086</v>
      </c>
      <c r="G584" s="9">
        <f>'Posted Sales Invoice Lines'!L584</f>
        <v>8</v>
      </c>
      <c r="H584" s="8">
        <f>'Posted Sales Invoice Lines'!N584</f>
        <v>40.78</v>
      </c>
      <c r="I584" s="8">
        <f>'Posted Sales Invoice Lines'!O584</f>
        <v>326.24</v>
      </c>
    </row>
    <row r="585" spans="1:9" x14ac:dyDescent="0.25">
      <c r="A585" s="2" t="str">
        <f>'Posted Sales Invoice Lines'!A585</f>
        <v>PS-INV192806</v>
      </c>
      <c r="B585" s="2" t="str">
        <f>'Posted Sales Invoice Lines'!B585</f>
        <v>10540-01</v>
      </c>
      <c r="C585" s="2" t="str">
        <f>'Posted Sales Invoice Lines'!C585</f>
        <v>PFG Johnson City TN</v>
      </c>
      <c r="D585" s="2" t="str">
        <f>'Posted Sales Invoice Lines'!E585</f>
        <v>F51157</v>
      </c>
      <c r="E585" s="2" t="str">
        <f>'Posted Sales Invoice Lines'!F585</f>
        <v>Cs. Challah Hearth 7/8" 8lvs</v>
      </c>
      <c r="F585" s="3">
        <f>'Posted Sales Invoice Lines'!G585</f>
        <v>46086</v>
      </c>
      <c r="G585" s="9">
        <f>'Posted Sales Invoice Lines'!L585</f>
        <v>8</v>
      </c>
      <c r="H585" s="8">
        <f>'Posted Sales Invoice Lines'!N585</f>
        <v>44.65</v>
      </c>
      <c r="I585" s="8">
        <f>'Posted Sales Invoice Lines'!O585</f>
        <v>357.2</v>
      </c>
    </row>
    <row r="586" spans="1:9" x14ac:dyDescent="0.25">
      <c r="A586" s="2" t="str">
        <f>'Posted Sales Invoice Lines'!A586</f>
        <v>PS-INV192806</v>
      </c>
      <c r="B586" s="2" t="str">
        <f>'Posted Sales Invoice Lines'!B586</f>
        <v>10540-01</v>
      </c>
      <c r="C586" s="2" t="str">
        <f>'Posted Sales Invoice Lines'!C586</f>
        <v>PFG Johnson City TN</v>
      </c>
      <c r="D586" s="2" t="str">
        <f>'Posted Sales Invoice Lines'!E586</f>
        <v>F51136</v>
      </c>
      <c r="E586" s="2" t="str">
        <f>'Posted Sales Invoice Lines'!F586</f>
        <v>Cs. Texas Toast 1" 12lvs</v>
      </c>
      <c r="F586" s="3">
        <f>'Posted Sales Invoice Lines'!G586</f>
        <v>46086</v>
      </c>
      <c r="G586" s="9">
        <f>'Posted Sales Invoice Lines'!L586</f>
        <v>16</v>
      </c>
      <c r="H586" s="8">
        <f>'Posted Sales Invoice Lines'!N586</f>
        <v>40.619999999999997</v>
      </c>
      <c r="I586" s="8">
        <f>'Posted Sales Invoice Lines'!O586</f>
        <v>649.91999999999996</v>
      </c>
    </row>
    <row r="587" spans="1:9" x14ac:dyDescent="0.25">
      <c r="A587" s="2" t="str">
        <f>'Posted Sales Invoice Lines'!A587</f>
        <v>PS-INV192806</v>
      </c>
      <c r="B587" s="2" t="str">
        <f>'Posted Sales Invoice Lines'!B587</f>
        <v>10540-01</v>
      </c>
      <c r="C587" s="2" t="str">
        <f>'Posted Sales Invoice Lines'!C587</f>
        <v>PFG Johnson City TN</v>
      </c>
      <c r="D587" s="2" t="str">
        <f>'Posted Sales Invoice Lines'!E587</f>
        <v>F53094</v>
      </c>
      <c r="E587" s="2" t="str">
        <f>'Posted Sales Invoice Lines'!F587</f>
        <v>Cs. 6" Italian 12-6pks</v>
      </c>
      <c r="F587" s="3">
        <f>'Posted Sales Invoice Lines'!G587</f>
        <v>46086</v>
      </c>
      <c r="G587" s="9">
        <f>'Posted Sales Invoice Lines'!L587</f>
        <v>132</v>
      </c>
      <c r="H587" s="8">
        <f>'Posted Sales Invoice Lines'!N587</f>
        <v>35</v>
      </c>
      <c r="I587" s="8">
        <f>'Posted Sales Invoice Lines'!O587</f>
        <v>4620</v>
      </c>
    </row>
    <row r="588" spans="1:9" x14ac:dyDescent="0.25">
      <c r="A588" s="2" t="str">
        <f>'Posted Sales Invoice Lines'!A588</f>
        <v>PS-INV192806</v>
      </c>
      <c r="B588" s="2" t="str">
        <f>'Posted Sales Invoice Lines'!B588</f>
        <v>10540-01</v>
      </c>
      <c r="C588" s="2" t="str">
        <f>'Posted Sales Invoice Lines'!C588</f>
        <v>PFG Johnson City TN</v>
      </c>
      <c r="D588" s="2" t="str">
        <f>'Posted Sales Invoice Lines'!E588</f>
        <v>F51024</v>
      </c>
      <c r="E588" s="2" t="str">
        <f>'Posted Sales Invoice Lines'!F588</f>
        <v>Cs. Marble Rye 5/8" 8lvs</v>
      </c>
      <c r="F588" s="3">
        <f>'Posted Sales Invoice Lines'!G588</f>
        <v>46086</v>
      </c>
      <c r="G588" s="9">
        <f>'Posted Sales Invoice Lines'!L588</f>
        <v>8</v>
      </c>
      <c r="H588" s="8">
        <f>'Posted Sales Invoice Lines'!N588</f>
        <v>53</v>
      </c>
      <c r="I588" s="8">
        <f>'Posted Sales Invoice Lines'!O588</f>
        <v>424</v>
      </c>
    </row>
    <row r="589" spans="1:9" x14ac:dyDescent="0.25">
      <c r="A589" s="2" t="str">
        <f>'Posted Sales Invoice Lines'!A589</f>
        <v>PS-INV192806</v>
      </c>
      <c r="B589" s="2" t="str">
        <f>'Posted Sales Invoice Lines'!B589</f>
        <v>10540-01</v>
      </c>
      <c r="C589" s="2" t="str">
        <f>'Posted Sales Invoice Lines'!C589</f>
        <v>PFG Johnson City TN</v>
      </c>
      <c r="D589" s="2" t="str">
        <f>'Posted Sales Invoice Lines'!E589</f>
        <v>F51034</v>
      </c>
      <c r="E589" s="2" t="str">
        <f>'Posted Sales Invoice Lines'!F589</f>
        <v>Cs. Sour Dough Hearth 5/8" 8lvs</v>
      </c>
      <c r="F589" s="3">
        <f>'Posted Sales Invoice Lines'!G589</f>
        <v>46086</v>
      </c>
      <c r="G589" s="9">
        <f>'Posted Sales Invoice Lines'!L589</f>
        <v>12</v>
      </c>
      <c r="H589" s="8">
        <f>'Posted Sales Invoice Lines'!N589</f>
        <v>43.82</v>
      </c>
      <c r="I589" s="8">
        <f>'Posted Sales Invoice Lines'!O589</f>
        <v>525.84</v>
      </c>
    </row>
    <row r="590" spans="1:9" x14ac:dyDescent="0.25">
      <c r="A590" s="2" t="str">
        <f>'Posted Sales Invoice Lines'!A590</f>
        <v>PS-INV192806</v>
      </c>
      <c r="B590" s="2" t="str">
        <f>'Posted Sales Invoice Lines'!B590</f>
        <v>10540-01</v>
      </c>
      <c r="C590" s="2" t="str">
        <f>'Posted Sales Invoice Lines'!C590</f>
        <v>PFG Johnson City TN</v>
      </c>
      <c r="D590" s="2" t="str">
        <f>'Posted Sales Invoice Lines'!E590</f>
        <v>F51383</v>
      </c>
      <c r="E590" s="2" t="str">
        <f>'Posted Sales Invoice Lines'!F590</f>
        <v>Cs. Challah Pullman 3/4" 10lvs</v>
      </c>
      <c r="F590" s="3">
        <f>'Posted Sales Invoice Lines'!G590</f>
        <v>46086</v>
      </c>
      <c r="G590" s="9">
        <f>'Posted Sales Invoice Lines'!L590</f>
        <v>12</v>
      </c>
      <c r="H590" s="8">
        <f>'Posted Sales Invoice Lines'!N590</f>
        <v>55.13</v>
      </c>
      <c r="I590" s="8">
        <f>'Posted Sales Invoice Lines'!O590</f>
        <v>661.56</v>
      </c>
    </row>
    <row r="591" spans="1:9" x14ac:dyDescent="0.25">
      <c r="A591" s="2" t="str">
        <f>'Posted Sales Invoice Lines'!A591</f>
        <v>PS-INV192858</v>
      </c>
      <c r="B591" s="2" t="str">
        <f>'Posted Sales Invoice Lines'!B591</f>
        <v>10719-4</v>
      </c>
      <c r="C591" s="2" t="str">
        <f>'Posted Sales Invoice Lines'!C591</f>
        <v>US Foods - Columbia/Lexington</v>
      </c>
      <c r="D591" s="2" t="str">
        <f>'Posted Sales Invoice Lines'!E591</f>
        <v>F53010</v>
      </c>
      <c r="E591" s="2" t="str">
        <f>'Posted Sales Invoice Lines'!F591</f>
        <v>Cs. Onion Roll 8-12pk</v>
      </c>
      <c r="F591" s="3">
        <f>'Posted Sales Invoice Lines'!G591</f>
        <v>46086</v>
      </c>
      <c r="G591" s="9">
        <f>'Posted Sales Invoice Lines'!L591</f>
        <v>16</v>
      </c>
      <c r="H591" s="8">
        <f>'Posted Sales Invoice Lines'!N591</f>
        <v>41.85</v>
      </c>
      <c r="I591" s="8">
        <f>'Posted Sales Invoice Lines'!O591</f>
        <v>669.6</v>
      </c>
    </row>
    <row r="592" spans="1:9" x14ac:dyDescent="0.25">
      <c r="A592" s="2" t="str">
        <f>'Posted Sales Invoice Lines'!A592</f>
        <v>PS-INV192858</v>
      </c>
      <c r="B592" s="2" t="str">
        <f>'Posted Sales Invoice Lines'!B592</f>
        <v>10719-4</v>
      </c>
      <c r="C592" s="2" t="str">
        <f>'Posted Sales Invoice Lines'!C592</f>
        <v>US Foods - Columbia/Lexington</v>
      </c>
      <c r="D592" s="2" t="str">
        <f>'Posted Sales Invoice Lines'!E592</f>
        <v>F53093</v>
      </c>
      <c r="E592" s="2" t="str">
        <f>'Posted Sales Invoice Lines'!F592</f>
        <v>Cs. 6" Philly Unsliced</v>
      </c>
      <c r="F592" s="3">
        <f>'Posted Sales Invoice Lines'!G592</f>
        <v>46086</v>
      </c>
      <c r="G592" s="9">
        <f>'Posted Sales Invoice Lines'!L592</f>
        <v>4</v>
      </c>
      <c r="H592" s="8">
        <f>'Posted Sales Invoice Lines'!N592</f>
        <v>47.2</v>
      </c>
      <c r="I592" s="8">
        <f>'Posted Sales Invoice Lines'!O592</f>
        <v>188.8</v>
      </c>
    </row>
    <row r="593" spans="1:9" x14ac:dyDescent="0.25">
      <c r="A593" s="2" t="str">
        <f>'Posted Sales Invoice Lines'!A593</f>
        <v>PS-INV192858</v>
      </c>
      <c r="B593" s="2" t="str">
        <f>'Posted Sales Invoice Lines'!B593</f>
        <v>10719-4</v>
      </c>
      <c r="C593" s="2" t="str">
        <f>'Posted Sales Invoice Lines'!C593</f>
        <v>US Foods - Columbia/Lexington</v>
      </c>
      <c r="D593" s="2" t="str">
        <f>'Posted Sales Invoice Lines'!E593</f>
        <v>F51026</v>
      </c>
      <c r="E593" s="2" t="str">
        <f>'Posted Sales Invoice Lines'!F593</f>
        <v>Cs. Marble Rye 3/4" 8lvs</v>
      </c>
      <c r="F593" s="3">
        <f>'Posted Sales Invoice Lines'!G593</f>
        <v>46086</v>
      </c>
      <c r="G593" s="9">
        <f>'Posted Sales Invoice Lines'!L593</f>
        <v>68</v>
      </c>
      <c r="H593" s="8">
        <f>'Posted Sales Invoice Lines'!N593</f>
        <v>52</v>
      </c>
      <c r="I593" s="8">
        <f>'Posted Sales Invoice Lines'!O593</f>
        <v>3536</v>
      </c>
    </row>
    <row r="594" spans="1:9" x14ac:dyDescent="0.25">
      <c r="A594" s="2" t="str">
        <f>'Posted Sales Invoice Lines'!A594</f>
        <v>PS-INV192858</v>
      </c>
      <c r="B594" s="2" t="str">
        <f>'Posted Sales Invoice Lines'!B594</f>
        <v>10719-4</v>
      </c>
      <c r="C594" s="2" t="str">
        <f>'Posted Sales Invoice Lines'!C594</f>
        <v>US Foods - Columbia/Lexington</v>
      </c>
      <c r="D594" s="2" t="str">
        <f>'Posted Sales Invoice Lines'!E594</f>
        <v>F53001</v>
      </c>
      <c r="E594" s="2" t="str">
        <f>'Posted Sales Invoice Lines'!F594</f>
        <v>Cs. 4" Brioche Bun 8-12pk</v>
      </c>
      <c r="F594" s="3">
        <f>'Posted Sales Invoice Lines'!G594</f>
        <v>46086</v>
      </c>
      <c r="G594" s="9">
        <f>'Posted Sales Invoice Lines'!L594</f>
        <v>160</v>
      </c>
      <c r="H594" s="8">
        <f>'Posted Sales Invoice Lines'!N594</f>
        <v>43.5</v>
      </c>
      <c r="I594" s="8">
        <f>'Posted Sales Invoice Lines'!O594</f>
        <v>6960</v>
      </c>
    </row>
    <row r="595" spans="1:9" x14ac:dyDescent="0.25">
      <c r="A595" s="2" t="str">
        <f>'Posted Sales Invoice Lines'!A595</f>
        <v>PS-INV192858</v>
      </c>
      <c r="B595" s="2" t="str">
        <f>'Posted Sales Invoice Lines'!B595</f>
        <v>10719-4</v>
      </c>
      <c r="C595" s="2" t="str">
        <f>'Posted Sales Invoice Lines'!C595</f>
        <v>US Foods - Columbia/Lexington</v>
      </c>
      <c r="D595" s="2" t="str">
        <f>'Posted Sales Invoice Lines'!E595</f>
        <v>F51020</v>
      </c>
      <c r="E595" s="2" t="str">
        <f>'Posted Sales Invoice Lines'!F595</f>
        <v>Cs. Marble Rye 1/2" 8lvs</v>
      </c>
      <c r="F595" s="3">
        <f>'Posted Sales Invoice Lines'!G595</f>
        <v>46086</v>
      </c>
      <c r="G595" s="9">
        <f>'Posted Sales Invoice Lines'!L595</f>
        <v>16</v>
      </c>
      <c r="H595" s="8">
        <f>'Posted Sales Invoice Lines'!N595</f>
        <v>52</v>
      </c>
      <c r="I595" s="8">
        <f>'Posted Sales Invoice Lines'!O595</f>
        <v>832</v>
      </c>
    </row>
    <row r="596" spans="1:9" x14ac:dyDescent="0.25">
      <c r="A596" s="2" t="str">
        <f>'Posted Sales Invoice Lines'!A596</f>
        <v>PS-INV192858</v>
      </c>
      <c r="B596" s="2" t="str">
        <f>'Posted Sales Invoice Lines'!B596</f>
        <v>10719-4</v>
      </c>
      <c r="C596" s="2" t="str">
        <f>'Posted Sales Invoice Lines'!C596</f>
        <v>US Foods - Columbia/Lexington</v>
      </c>
      <c r="D596" s="2" t="str">
        <f>'Posted Sales Invoice Lines'!E596</f>
        <v>F53024</v>
      </c>
      <c r="E596" s="2" t="str">
        <f>'Posted Sales Invoice Lines'!F596</f>
        <v>Cs. 4" Challah Kaiser 8-12pk</v>
      </c>
      <c r="F596" s="3">
        <f>'Posted Sales Invoice Lines'!G596</f>
        <v>46086</v>
      </c>
      <c r="G596" s="9">
        <f>'Posted Sales Invoice Lines'!L596</f>
        <v>16</v>
      </c>
      <c r="H596" s="8">
        <f>'Posted Sales Invoice Lines'!N596</f>
        <v>38.25</v>
      </c>
      <c r="I596" s="8">
        <f>'Posted Sales Invoice Lines'!O596</f>
        <v>612</v>
      </c>
    </row>
    <row r="597" spans="1:9" x14ac:dyDescent="0.25">
      <c r="A597" s="2" t="str">
        <f>'Posted Sales Invoice Lines'!A597</f>
        <v>PS-INV192858</v>
      </c>
      <c r="B597" s="2" t="str">
        <f>'Posted Sales Invoice Lines'!B597</f>
        <v>10719-4</v>
      </c>
      <c r="C597" s="2" t="str">
        <f>'Posted Sales Invoice Lines'!C597</f>
        <v>US Foods - Columbia/Lexington</v>
      </c>
      <c r="D597" s="2" t="str">
        <f>'Posted Sales Invoice Lines'!E597</f>
        <v>F51044</v>
      </c>
      <c r="E597" s="2" t="str">
        <f>'Posted Sales Invoice Lines'!F597</f>
        <v>Cs. Vienna 5/8" 8lvs</v>
      </c>
      <c r="F597" s="3">
        <f>'Posted Sales Invoice Lines'!G597</f>
        <v>46086</v>
      </c>
      <c r="G597" s="9">
        <f>'Posted Sales Invoice Lines'!L597</f>
        <v>28</v>
      </c>
      <c r="H597" s="8">
        <f>'Posted Sales Invoice Lines'!N597</f>
        <v>40</v>
      </c>
      <c r="I597" s="8">
        <f>'Posted Sales Invoice Lines'!O597</f>
        <v>1120</v>
      </c>
    </row>
    <row r="598" spans="1:9" x14ac:dyDescent="0.25">
      <c r="A598" s="2" t="str">
        <f>'Posted Sales Invoice Lines'!A598</f>
        <v>PS-INV192862</v>
      </c>
      <c r="B598" s="2" t="str">
        <f>'Posted Sales Invoice Lines'!B598</f>
        <v>20334</v>
      </c>
      <c r="C598" s="2" t="str">
        <f>'Posted Sales Invoice Lines'!C598</f>
        <v>Sysco Atlanta</v>
      </c>
      <c r="D598" s="2" t="str">
        <f>'Posted Sales Invoice Lines'!E598</f>
        <v>F53116</v>
      </c>
      <c r="E598" s="2" t="str">
        <f>'Posted Sales Invoice Lines'!F598</f>
        <v>Cs. 7" French Hinged 12</v>
      </c>
      <c r="F598" s="3">
        <f>'Posted Sales Invoice Lines'!G598</f>
        <v>46086</v>
      </c>
      <c r="G598" s="9">
        <f>'Posted Sales Invoice Lines'!L598</f>
        <v>84</v>
      </c>
      <c r="H598" s="8">
        <f>'Posted Sales Invoice Lines'!N598</f>
        <v>31.42</v>
      </c>
      <c r="I598" s="8">
        <f>'Posted Sales Invoice Lines'!O598</f>
        <v>2639.28</v>
      </c>
    </row>
    <row r="599" spans="1:9" x14ac:dyDescent="0.25">
      <c r="A599" s="2" t="str">
        <f>'Posted Sales Invoice Lines'!A599</f>
        <v>PS-INV192862</v>
      </c>
      <c r="B599" s="2" t="str">
        <f>'Posted Sales Invoice Lines'!B599</f>
        <v>20334</v>
      </c>
      <c r="C599" s="2" t="str">
        <f>'Posted Sales Invoice Lines'!C599</f>
        <v>Sysco Atlanta</v>
      </c>
      <c r="D599" s="2" t="str">
        <f>'Posted Sales Invoice Lines'!E599</f>
        <v>F53087</v>
      </c>
      <c r="E599" s="2" t="str">
        <f>'Posted Sales Invoice Lines'!F599</f>
        <v>Cs. 3.5" Challah Bun 8-12 pk</v>
      </c>
      <c r="F599" s="3">
        <f>'Posted Sales Invoice Lines'!G599</f>
        <v>46086</v>
      </c>
      <c r="G599" s="9">
        <f>'Posted Sales Invoice Lines'!L599</f>
        <v>112</v>
      </c>
      <c r="H599" s="8">
        <f>'Posted Sales Invoice Lines'!N599</f>
        <v>34</v>
      </c>
      <c r="I599" s="8">
        <f>'Posted Sales Invoice Lines'!O599</f>
        <v>3808</v>
      </c>
    </row>
    <row r="600" spans="1:9" x14ac:dyDescent="0.25">
      <c r="A600" s="2" t="str">
        <f>'Posted Sales Invoice Lines'!A600</f>
        <v>PS-INV192862</v>
      </c>
      <c r="B600" s="2" t="str">
        <f>'Posted Sales Invoice Lines'!B600</f>
        <v>20334</v>
      </c>
      <c r="C600" s="2" t="str">
        <f>'Posted Sales Invoice Lines'!C600</f>
        <v>Sysco Atlanta</v>
      </c>
      <c r="D600" s="2" t="str">
        <f>'Posted Sales Invoice Lines'!E600</f>
        <v>F51024</v>
      </c>
      <c r="E600" s="2" t="str">
        <f>'Posted Sales Invoice Lines'!F600</f>
        <v>Cs. Marble Rye 5/8" 8lvs</v>
      </c>
      <c r="F600" s="3">
        <f>'Posted Sales Invoice Lines'!G600</f>
        <v>46086</v>
      </c>
      <c r="G600" s="9">
        <f>'Posted Sales Invoice Lines'!L600</f>
        <v>12</v>
      </c>
      <c r="H600" s="8">
        <f>'Posted Sales Invoice Lines'!N600</f>
        <v>43.26</v>
      </c>
      <c r="I600" s="8">
        <f>'Posted Sales Invoice Lines'!O600</f>
        <v>519.12</v>
      </c>
    </row>
    <row r="601" spans="1:9" x14ac:dyDescent="0.25">
      <c r="A601" s="2" t="str">
        <f>'Posted Sales Invoice Lines'!A601</f>
        <v>PS-INV192862</v>
      </c>
      <c r="B601" s="2" t="str">
        <f>'Posted Sales Invoice Lines'!B601</f>
        <v>20334</v>
      </c>
      <c r="C601" s="2" t="str">
        <f>'Posted Sales Invoice Lines'!C601</f>
        <v>Sysco Atlanta</v>
      </c>
      <c r="D601" s="2" t="str">
        <f>'Posted Sales Invoice Lines'!E601</f>
        <v>F51127</v>
      </c>
      <c r="E601" s="2" t="str">
        <f>'Posted Sales Invoice Lines'!F601</f>
        <v>Cs. Challah 3-Braid 8</v>
      </c>
      <c r="F601" s="3">
        <f>'Posted Sales Invoice Lines'!G601</f>
        <v>46086</v>
      </c>
      <c r="G601" s="9">
        <f>'Posted Sales Invoice Lines'!L601</f>
        <v>40</v>
      </c>
      <c r="H601" s="8">
        <f>'Posted Sales Invoice Lines'!N601</f>
        <v>43.26</v>
      </c>
      <c r="I601" s="8">
        <f>'Posted Sales Invoice Lines'!O601</f>
        <v>1730.4</v>
      </c>
    </row>
    <row r="602" spans="1:9" x14ac:dyDescent="0.25">
      <c r="A602" s="2" t="str">
        <f>'Posted Sales Invoice Lines'!A602</f>
        <v>PS-INV192862</v>
      </c>
      <c r="B602" s="2" t="str">
        <f>'Posted Sales Invoice Lines'!B602</f>
        <v>20334</v>
      </c>
      <c r="C602" s="2" t="str">
        <f>'Posted Sales Invoice Lines'!C602</f>
        <v>Sysco Atlanta</v>
      </c>
      <c r="D602" s="2" t="str">
        <f>'Posted Sales Invoice Lines'!E602</f>
        <v>F53001</v>
      </c>
      <c r="E602" s="2" t="str">
        <f>'Posted Sales Invoice Lines'!F602</f>
        <v>Cs. 4" Brioche Bun 8-12pk</v>
      </c>
      <c r="F602" s="3">
        <f>'Posted Sales Invoice Lines'!G602</f>
        <v>46086</v>
      </c>
      <c r="G602" s="9">
        <f>'Posted Sales Invoice Lines'!L602</f>
        <v>84</v>
      </c>
      <c r="H602" s="8">
        <f>'Posted Sales Invoice Lines'!N602</f>
        <v>43.36</v>
      </c>
      <c r="I602" s="8">
        <f>'Posted Sales Invoice Lines'!O602</f>
        <v>3642.24</v>
      </c>
    </row>
    <row r="603" spans="1:9" x14ac:dyDescent="0.25">
      <c r="A603" s="2" t="str">
        <f>'Posted Sales Invoice Lines'!A603</f>
        <v>PS-INV192862</v>
      </c>
      <c r="B603" s="2" t="str">
        <f>'Posted Sales Invoice Lines'!B603</f>
        <v>20334</v>
      </c>
      <c r="C603" s="2" t="str">
        <f>'Posted Sales Invoice Lines'!C603</f>
        <v>Sysco Atlanta</v>
      </c>
      <c r="D603" s="2" t="str">
        <f>'Posted Sales Invoice Lines'!E603</f>
        <v>F51034</v>
      </c>
      <c r="E603" s="2" t="str">
        <f>'Posted Sales Invoice Lines'!F603</f>
        <v>Cs. Sour Dough Hearth 5/8" 8lvs</v>
      </c>
      <c r="F603" s="3">
        <f>'Posted Sales Invoice Lines'!G603</f>
        <v>46086</v>
      </c>
      <c r="G603" s="9">
        <f>'Posted Sales Invoice Lines'!L603</f>
        <v>20</v>
      </c>
      <c r="H603" s="8">
        <f>'Posted Sales Invoice Lines'!N603</f>
        <v>41.2</v>
      </c>
      <c r="I603" s="8">
        <f>'Posted Sales Invoice Lines'!O603</f>
        <v>824</v>
      </c>
    </row>
    <row r="604" spans="1:9" x14ac:dyDescent="0.25">
      <c r="A604" s="2" t="str">
        <f>'Posted Sales Invoice Lines'!A604</f>
        <v>PS-INV192862</v>
      </c>
      <c r="B604" s="2" t="str">
        <f>'Posted Sales Invoice Lines'!B604</f>
        <v>20334</v>
      </c>
      <c r="C604" s="2" t="str">
        <f>'Posted Sales Invoice Lines'!C604</f>
        <v>Sysco Atlanta</v>
      </c>
      <c r="D604" s="2" t="str">
        <f>'Posted Sales Invoice Lines'!E604</f>
        <v>F53007</v>
      </c>
      <c r="E604" s="2" t="str">
        <f>'Posted Sales Invoice Lines'!F604</f>
        <v>Cs. 4" Cracked Wheat 8-12pk</v>
      </c>
      <c r="F604" s="3">
        <f>'Posted Sales Invoice Lines'!G604</f>
        <v>46086</v>
      </c>
      <c r="G604" s="9">
        <f>'Posted Sales Invoice Lines'!L604</f>
        <v>1</v>
      </c>
      <c r="H604" s="8">
        <f>'Posted Sales Invoice Lines'!N604</f>
        <v>39.869999999999997</v>
      </c>
      <c r="I604" s="8">
        <f>'Posted Sales Invoice Lines'!O604</f>
        <v>39.869999999999997</v>
      </c>
    </row>
    <row r="605" spans="1:9" x14ac:dyDescent="0.25">
      <c r="A605" s="2" t="str">
        <f>'Posted Sales Invoice Lines'!A605</f>
        <v>PS-INV192876</v>
      </c>
      <c r="B605" s="2" t="str">
        <f>'Posted Sales Invoice Lines'!B605</f>
        <v>13092</v>
      </c>
      <c r="C605" s="2" t="str">
        <f>'Posted Sales Invoice Lines'!C605</f>
        <v>Sysco WEST COAST</v>
      </c>
      <c r="D605" s="2" t="str">
        <f>'Posted Sales Invoice Lines'!E605</f>
        <v>F51137</v>
      </c>
      <c r="E605" s="2" t="str">
        <f>'Posted Sales Invoice Lines'!F605</f>
        <v>Cs. Texas Toast 3/4" 12lvs</v>
      </c>
      <c r="F605" s="3">
        <f>'Posted Sales Invoice Lines'!G605</f>
        <v>46092</v>
      </c>
      <c r="G605" s="9">
        <f>'Posted Sales Invoice Lines'!L605</f>
        <v>336</v>
      </c>
      <c r="H605" s="8">
        <f>'Posted Sales Invoice Lines'!N605</f>
        <v>35</v>
      </c>
      <c r="I605" s="8">
        <f>'Posted Sales Invoice Lines'!O605</f>
        <v>11760</v>
      </c>
    </row>
    <row r="606" spans="1:9" x14ac:dyDescent="0.25">
      <c r="A606" s="2" t="str">
        <f>'Posted Sales Invoice Lines'!A606</f>
        <v>PS-INV192876</v>
      </c>
      <c r="B606" s="2" t="str">
        <f>'Posted Sales Invoice Lines'!B606</f>
        <v>13092</v>
      </c>
      <c r="C606" s="2" t="str">
        <f>'Posted Sales Invoice Lines'!C606</f>
        <v>Sysco WEST COAST</v>
      </c>
      <c r="D606" s="2" t="str">
        <f>'Posted Sales Invoice Lines'!E606</f>
        <v>F530491</v>
      </c>
      <c r="E606" s="2" t="str">
        <f>'Posted Sales Invoice Lines'!F606</f>
        <v>Cs. 4.5 Brioche Bun 6-12pk</v>
      </c>
      <c r="F606" s="3">
        <f>'Posted Sales Invoice Lines'!G606</f>
        <v>46092</v>
      </c>
      <c r="G606" s="9">
        <f>'Posted Sales Invoice Lines'!L606</f>
        <v>140</v>
      </c>
      <c r="H606" s="8">
        <f>'Posted Sales Invoice Lines'!N606</f>
        <v>39.65</v>
      </c>
      <c r="I606" s="8">
        <f>'Posted Sales Invoice Lines'!O606</f>
        <v>5551</v>
      </c>
    </row>
    <row r="607" spans="1:9" x14ac:dyDescent="0.25">
      <c r="A607" s="2" t="str">
        <f>'Posted Sales Invoice Lines'!A607</f>
        <v>PS-INV192906</v>
      </c>
      <c r="B607" s="2" t="str">
        <f>'Posted Sales Invoice Lines'!B607</f>
        <v>10899</v>
      </c>
      <c r="C607" s="2" t="str">
        <f>'Posted Sales Invoice Lines'!C607</f>
        <v>Wood Fruitticher Grocery Co.</v>
      </c>
      <c r="D607" s="2" t="str">
        <f>'Posted Sales Invoice Lines'!E607</f>
        <v>F53072</v>
      </c>
      <c r="E607" s="2" t="str">
        <f>'Posted Sales Invoice Lines'!F607</f>
        <v>Cs. 5" Challah Bun 8-8pk</v>
      </c>
      <c r="F607" s="3">
        <f>'Posted Sales Invoice Lines'!G607</f>
        <v>46086</v>
      </c>
      <c r="G607" s="9">
        <f>'Posted Sales Invoice Lines'!L607</f>
        <v>16</v>
      </c>
      <c r="H607" s="8">
        <f>'Posted Sales Invoice Lines'!N607</f>
        <v>34.93</v>
      </c>
      <c r="I607" s="8">
        <f>'Posted Sales Invoice Lines'!O607</f>
        <v>558.88</v>
      </c>
    </row>
    <row r="608" spans="1:9" x14ac:dyDescent="0.25">
      <c r="A608" s="2" t="str">
        <f>'Posted Sales Invoice Lines'!A608</f>
        <v>PS-INV192906</v>
      </c>
      <c r="B608" s="2" t="str">
        <f>'Posted Sales Invoice Lines'!B608</f>
        <v>10899</v>
      </c>
      <c r="C608" s="2" t="str">
        <f>'Posted Sales Invoice Lines'!C608</f>
        <v>Wood Fruitticher Grocery Co.</v>
      </c>
      <c r="D608" s="2" t="str">
        <f>'Posted Sales Invoice Lines'!E608</f>
        <v>F53003</v>
      </c>
      <c r="E608" s="2" t="str">
        <f>'Posted Sales Invoice Lines'!F608</f>
        <v>Cs. 4" Unseeded Challah Bun 8-12pk</v>
      </c>
      <c r="F608" s="3">
        <f>'Posted Sales Invoice Lines'!G608</f>
        <v>46086</v>
      </c>
      <c r="G608" s="9">
        <f>'Posted Sales Invoice Lines'!L608</f>
        <v>72</v>
      </c>
      <c r="H608" s="8">
        <f>'Posted Sales Invoice Lines'!N608</f>
        <v>35.479999999999997</v>
      </c>
      <c r="I608" s="8">
        <f>'Posted Sales Invoice Lines'!O608</f>
        <v>2554.56</v>
      </c>
    </row>
    <row r="609" spans="1:9" x14ac:dyDescent="0.25">
      <c r="A609" s="2" t="str">
        <f>'Posted Sales Invoice Lines'!A609</f>
        <v>PS-INV192906</v>
      </c>
      <c r="B609" s="2" t="str">
        <f>'Posted Sales Invoice Lines'!B609</f>
        <v>10899</v>
      </c>
      <c r="C609" s="2" t="str">
        <f>'Posted Sales Invoice Lines'!C609</f>
        <v>Wood Fruitticher Grocery Co.</v>
      </c>
      <c r="D609" s="2" t="str">
        <f>'Posted Sales Invoice Lines'!E609</f>
        <v>F53000</v>
      </c>
      <c r="E609" s="2" t="str">
        <f>'Posted Sales Invoice Lines'!F609</f>
        <v>Cs. 4" Hamburger Bun 8-12pk</v>
      </c>
      <c r="F609" s="3">
        <f>'Posted Sales Invoice Lines'!G609</f>
        <v>46086</v>
      </c>
      <c r="G609" s="9">
        <f>'Posted Sales Invoice Lines'!L609</f>
        <v>168</v>
      </c>
      <c r="H609" s="8">
        <f>'Posted Sales Invoice Lines'!N609</f>
        <v>28.33</v>
      </c>
      <c r="I609" s="8">
        <f>'Posted Sales Invoice Lines'!O609</f>
        <v>4759.4399999999996</v>
      </c>
    </row>
    <row r="610" spans="1:9" x14ac:dyDescent="0.25">
      <c r="A610" s="2" t="str">
        <f>'Posted Sales Invoice Lines'!A610</f>
        <v>PS-INV192906</v>
      </c>
      <c r="B610" s="2" t="str">
        <f>'Posted Sales Invoice Lines'!B610</f>
        <v>10899</v>
      </c>
      <c r="C610" s="2" t="str">
        <f>'Posted Sales Invoice Lines'!C610</f>
        <v>Wood Fruitticher Grocery Co.</v>
      </c>
      <c r="D610" s="2" t="str">
        <f>'Posted Sales Invoice Lines'!E610</f>
        <v>F51137</v>
      </c>
      <c r="E610" s="2" t="str">
        <f>'Posted Sales Invoice Lines'!F610</f>
        <v>Cs. Texas Toast 3/4" 12lvs</v>
      </c>
      <c r="F610" s="3">
        <f>'Posted Sales Invoice Lines'!G610</f>
        <v>46086</v>
      </c>
      <c r="G610" s="9">
        <f>'Posted Sales Invoice Lines'!L610</f>
        <v>120</v>
      </c>
      <c r="H610" s="8">
        <f>'Posted Sales Invoice Lines'!N610</f>
        <v>28.49</v>
      </c>
      <c r="I610" s="8">
        <f>'Posted Sales Invoice Lines'!O610</f>
        <v>3418.8</v>
      </c>
    </row>
    <row r="611" spans="1:9" x14ac:dyDescent="0.25">
      <c r="A611" s="2" t="str">
        <f>'Posted Sales Invoice Lines'!A611</f>
        <v>PS-INV192906</v>
      </c>
      <c r="B611" s="2" t="str">
        <f>'Posted Sales Invoice Lines'!B611</f>
        <v>10899</v>
      </c>
      <c r="C611" s="2" t="str">
        <f>'Posted Sales Invoice Lines'!C611</f>
        <v>Wood Fruitticher Grocery Co.</v>
      </c>
      <c r="D611" s="2" t="str">
        <f>'Posted Sales Invoice Lines'!E611</f>
        <v>F51130</v>
      </c>
      <c r="E611" s="2" t="str">
        <f>'Posted Sales Invoice Lines'!F611</f>
        <v>Cs. Club White 12lvs</v>
      </c>
      <c r="F611" s="3">
        <f>'Posted Sales Invoice Lines'!G611</f>
        <v>46086</v>
      </c>
      <c r="G611" s="9">
        <f>'Posted Sales Invoice Lines'!L611</f>
        <v>64</v>
      </c>
      <c r="H611" s="8">
        <f>'Posted Sales Invoice Lines'!N611</f>
        <v>28.49</v>
      </c>
      <c r="I611" s="8">
        <f>'Posted Sales Invoice Lines'!O611</f>
        <v>1823.36</v>
      </c>
    </row>
    <row r="612" spans="1:9" x14ac:dyDescent="0.25">
      <c r="A612" s="2" t="str">
        <f>'Posted Sales Invoice Lines'!A612</f>
        <v>PS-INV192906</v>
      </c>
      <c r="B612" s="2" t="str">
        <f>'Posted Sales Invoice Lines'!B612</f>
        <v>10899</v>
      </c>
      <c r="C612" s="2" t="str">
        <f>'Posted Sales Invoice Lines'!C612</f>
        <v>Wood Fruitticher Grocery Co.</v>
      </c>
      <c r="D612" s="2" t="str">
        <f>'Posted Sales Invoice Lines'!E612</f>
        <v>F53094</v>
      </c>
      <c r="E612" s="2" t="str">
        <f>'Posted Sales Invoice Lines'!F612</f>
        <v>Cs. 6" Italian 12-6pks</v>
      </c>
      <c r="F612" s="3">
        <f>'Posted Sales Invoice Lines'!G612</f>
        <v>46086</v>
      </c>
      <c r="G612" s="9">
        <f>'Posted Sales Invoice Lines'!L612</f>
        <v>196</v>
      </c>
      <c r="H612" s="8">
        <f>'Posted Sales Invoice Lines'!N612</f>
        <v>25.25</v>
      </c>
      <c r="I612" s="8">
        <f>'Posted Sales Invoice Lines'!O612</f>
        <v>4949</v>
      </c>
    </row>
    <row r="613" spans="1:9" x14ac:dyDescent="0.25">
      <c r="A613" s="2" t="str">
        <f>'Posted Sales Invoice Lines'!A613</f>
        <v>PS-INV192906</v>
      </c>
      <c r="B613" s="2" t="str">
        <f>'Posted Sales Invoice Lines'!B613</f>
        <v>10899</v>
      </c>
      <c r="C613" s="2" t="str">
        <f>'Posted Sales Invoice Lines'!C613</f>
        <v>Wood Fruitticher Grocery Co.</v>
      </c>
      <c r="D613" s="2" t="str">
        <f>'Posted Sales Invoice Lines'!E613</f>
        <v>F51006</v>
      </c>
      <c r="E613" s="2" t="str">
        <f>'Posted Sales Invoice Lines'!F613</f>
        <v>Cs. Rye 3/4" 8lvs</v>
      </c>
      <c r="F613" s="3">
        <f>'Posted Sales Invoice Lines'!G613</f>
        <v>46086</v>
      </c>
      <c r="G613" s="9">
        <f>'Posted Sales Invoice Lines'!L613</f>
        <v>16</v>
      </c>
      <c r="H613" s="8">
        <f>'Posted Sales Invoice Lines'!N613</f>
        <v>36.630000000000003</v>
      </c>
      <c r="I613" s="8">
        <f>'Posted Sales Invoice Lines'!O613</f>
        <v>586.08000000000004</v>
      </c>
    </row>
    <row r="614" spans="1:9" x14ac:dyDescent="0.25">
      <c r="A614" s="2" t="str">
        <f>'Posted Sales Invoice Lines'!A614</f>
        <v>PS-INV192906</v>
      </c>
      <c r="B614" s="2" t="str">
        <f>'Posted Sales Invoice Lines'!B614</f>
        <v>10899</v>
      </c>
      <c r="C614" s="2" t="str">
        <f>'Posted Sales Invoice Lines'!C614</f>
        <v>Wood Fruitticher Grocery Co.</v>
      </c>
      <c r="D614" s="2" t="str">
        <f>'Posted Sales Invoice Lines'!E614</f>
        <v>F51034</v>
      </c>
      <c r="E614" s="2" t="str">
        <f>'Posted Sales Invoice Lines'!F614</f>
        <v>Cs. Sour Dough Hearth 5/8" 8lvs</v>
      </c>
      <c r="F614" s="3">
        <f>'Posted Sales Invoice Lines'!G614</f>
        <v>46086</v>
      </c>
      <c r="G614" s="9">
        <f>'Posted Sales Invoice Lines'!L614</f>
        <v>36</v>
      </c>
      <c r="H614" s="8">
        <f>'Posted Sales Invoice Lines'!N614</f>
        <v>37.950000000000003</v>
      </c>
      <c r="I614" s="8">
        <f>'Posted Sales Invoice Lines'!O614</f>
        <v>1366.2</v>
      </c>
    </row>
    <row r="615" spans="1:9" x14ac:dyDescent="0.25">
      <c r="A615" s="2" t="str">
        <f>'Posted Sales Invoice Lines'!A615</f>
        <v>PS-INV192906</v>
      </c>
      <c r="B615" s="2" t="str">
        <f>'Posted Sales Invoice Lines'!B615</f>
        <v>10899</v>
      </c>
      <c r="C615" s="2" t="str">
        <f>'Posted Sales Invoice Lines'!C615</f>
        <v>Wood Fruitticher Grocery Co.</v>
      </c>
      <c r="D615" s="2" t="str">
        <f>'Posted Sales Invoice Lines'!E615</f>
        <v>F51024</v>
      </c>
      <c r="E615" s="2" t="str">
        <f>'Posted Sales Invoice Lines'!F615</f>
        <v>Cs. Marble Rye 5/8" 8lvs</v>
      </c>
      <c r="F615" s="3">
        <f>'Posted Sales Invoice Lines'!G615</f>
        <v>46086</v>
      </c>
      <c r="G615" s="9">
        <f>'Posted Sales Invoice Lines'!L615</f>
        <v>24</v>
      </c>
      <c r="H615" s="8">
        <f>'Posted Sales Invoice Lines'!N615</f>
        <v>36.630000000000003</v>
      </c>
      <c r="I615" s="8">
        <f>'Posted Sales Invoice Lines'!O615</f>
        <v>879.12</v>
      </c>
    </row>
    <row r="616" spans="1:9" x14ac:dyDescent="0.25">
      <c r="A616" s="2" t="str">
        <f>'Posted Sales Invoice Lines'!A616</f>
        <v>PS-INV192906</v>
      </c>
      <c r="B616" s="2" t="str">
        <f>'Posted Sales Invoice Lines'!B616</f>
        <v>10899</v>
      </c>
      <c r="C616" s="2" t="str">
        <f>'Posted Sales Invoice Lines'!C616</f>
        <v>Wood Fruitticher Grocery Co.</v>
      </c>
      <c r="D616" s="2" t="str">
        <f>'Posted Sales Invoice Lines'!E616</f>
        <v>F530441</v>
      </c>
      <c r="E616" s="2" t="str">
        <f>'Posted Sales Invoice Lines'!F616</f>
        <v>Cs. 4.5"Onion Roll</v>
      </c>
      <c r="F616" s="3">
        <f>'Posted Sales Invoice Lines'!G616</f>
        <v>46086</v>
      </c>
      <c r="G616" s="9">
        <f>'Posted Sales Invoice Lines'!L616</f>
        <v>16</v>
      </c>
      <c r="H616" s="8">
        <f>'Posted Sales Invoice Lines'!N616</f>
        <v>43.34</v>
      </c>
      <c r="I616" s="8">
        <f>'Posted Sales Invoice Lines'!O616</f>
        <v>693.44</v>
      </c>
    </row>
    <row r="617" spans="1:9" x14ac:dyDescent="0.25">
      <c r="A617" s="2" t="str">
        <f>'Posted Sales Invoice Lines'!A617</f>
        <v>PS-INV192906</v>
      </c>
      <c r="B617" s="2" t="str">
        <f>'Posted Sales Invoice Lines'!B617</f>
        <v>10899</v>
      </c>
      <c r="C617" s="2" t="str">
        <f>'Posted Sales Invoice Lines'!C617</f>
        <v>Wood Fruitticher Grocery Co.</v>
      </c>
      <c r="D617" s="2" t="str">
        <f>'Posted Sales Invoice Lines'!E617</f>
        <v>F53001</v>
      </c>
      <c r="E617" s="2" t="str">
        <f>'Posted Sales Invoice Lines'!F617</f>
        <v>Cs. 4" Brioche Bun 8-12pk</v>
      </c>
      <c r="F617" s="3">
        <f>'Posted Sales Invoice Lines'!G617</f>
        <v>46086</v>
      </c>
      <c r="G617" s="9">
        <f>'Posted Sales Invoice Lines'!L617</f>
        <v>112</v>
      </c>
      <c r="H617" s="8">
        <f>'Posted Sales Invoice Lines'!N617</f>
        <v>40.43</v>
      </c>
      <c r="I617" s="8">
        <f>'Posted Sales Invoice Lines'!O617</f>
        <v>4528.16</v>
      </c>
    </row>
    <row r="618" spans="1:9" x14ac:dyDescent="0.25">
      <c r="A618" s="2" t="str">
        <f>'Posted Sales Invoice Lines'!A618</f>
        <v>PS-INV193153</v>
      </c>
      <c r="B618" s="2" t="str">
        <f>'Posted Sales Invoice Lines'!B618</f>
        <v>11005</v>
      </c>
      <c r="C618" s="2" t="str">
        <f>'Posted Sales Invoice Lines'!C618</f>
        <v>Dot Foods Inc.</v>
      </c>
      <c r="D618" s="2" t="str">
        <f>'Posted Sales Invoice Lines'!E618</f>
        <v>F530142</v>
      </c>
      <c r="E618" s="2" t="str">
        <f>'Posted Sales Invoice Lines'!F618</f>
        <v>Cs. Knot Roll 8-12pk</v>
      </c>
      <c r="F618" s="3">
        <f>'Posted Sales Invoice Lines'!G618</f>
        <v>46090</v>
      </c>
      <c r="G618" s="9">
        <f>'Posted Sales Invoice Lines'!L618</f>
        <v>320</v>
      </c>
      <c r="H618" s="8">
        <f>'Posted Sales Invoice Lines'!N618</f>
        <v>33.42</v>
      </c>
      <c r="I618" s="8">
        <f>'Posted Sales Invoice Lines'!O618</f>
        <v>10694.4</v>
      </c>
    </row>
    <row r="619" spans="1:9" x14ac:dyDescent="0.25">
      <c r="A619" s="2" t="str">
        <f>'Posted Sales Invoice Lines'!A619</f>
        <v>PS-INV193156</v>
      </c>
      <c r="B619" s="2" t="str">
        <f>'Posted Sales Invoice Lines'!B619</f>
        <v>10805</v>
      </c>
      <c r="C619" s="2" t="str">
        <f>'Posted Sales Invoice Lines'!C619</f>
        <v>Sysco Jacksonville</v>
      </c>
      <c r="D619" s="2" t="str">
        <f>'Posted Sales Invoice Lines'!E619</f>
        <v>F53100</v>
      </c>
      <c r="E619" s="2" t="str">
        <f>'Posted Sales Invoice Lines'!F619</f>
        <v>Cs. Hot Dog pl/sl 12-8pk</v>
      </c>
      <c r="F619" s="3">
        <f>'Posted Sales Invoice Lines'!G619</f>
        <v>46090</v>
      </c>
      <c r="G619" s="9">
        <f>'Posted Sales Invoice Lines'!L619</f>
        <v>8</v>
      </c>
      <c r="H619" s="8">
        <f>'Posted Sales Invoice Lines'!N619</f>
        <v>36.6</v>
      </c>
      <c r="I619" s="8">
        <f>'Posted Sales Invoice Lines'!O619</f>
        <v>292.8</v>
      </c>
    </row>
    <row r="620" spans="1:9" x14ac:dyDescent="0.25">
      <c r="A620" s="2" t="str">
        <f>'Posted Sales Invoice Lines'!A620</f>
        <v>PS-INV193156</v>
      </c>
      <c r="B620" s="2" t="str">
        <f>'Posted Sales Invoice Lines'!B620</f>
        <v>10805</v>
      </c>
      <c r="C620" s="2" t="str">
        <f>'Posted Sales Invoice Lines'!C620</f>
        <v>Sysco Jacksonville</v>
      </c>
      <c r="D620" s="2" t="str">
        <f>'Posted Sales Invoice Lines'!E620</f>
        <v>F53001</v>
      </c>
      <c r="E620" s="2" t="str">
        <f>'Posted Sales Invoice Lines'!F620</f>
        <v>Cs. 4" Brioche Bun 8-12pk</v>
      </c>
      <c r="F620" s="3">
        <f>'Posted Sales Invoice Lines'!G620</f>
        <v>46090</v>
      </c>
      <c r="G620" s="9">
        <f>'Posted Sales Invoice Lines'!L620</f>
        <v>56</v>
      </c>
      <c r="H620" s="8">
        <f>'Posted Sales Invoice Lines'!N620</f>
        <v>50.6</v>
      </c>
      <c r="I620" s="8">
        <f>'Posted Sales Invoice Lines'!O620</f>
        <v>2833.6</v>
      </c>
    </row>
    <row r="621" spans="1:9" x14ac:dyDescent="0.25">
      <c r="A621" s="2" t="str">
        <f>'Posted Sales Invoice Lines'!A621</f>
        <v>PS-INV193156</v>
      </c>
      <c r="B621" s="2" t="str">
        <f>'Posted Sales Invoice Lines'!B621</f>
        <v>10805</v>
      </c>
      <c r="C621" s="2" t="str">
        <f>'Posted Sales Invoice Lines'!C621</f>
        <v>Sysco Jacksonville</v>
      </c>
      <c r="D621" s="2" t="str">
        <f>'Posted Sales Invoice Lines'!E621</f>
        <v>F53003</v>
      </c>
      <c r="E621" s="2" t="str">
        <f>'Posted Sales Invoice Lines'!F621</f>
        <v>Cs. 4" Unseeded Challah Bun 8-12pk</v>
      </c>
      <c r="F621" s="3">
        <f>'Posted Sales Invoice Lines'!G621</f>
        <v>46090</v>
      </c>
      <c r="G621" s="9">
        <f>'Posted Sales Invoice Lines'!L621</f>
        <v>140</v>
      </c>
      <c r="H621" s="8">
        <f>'Posted Sales Invoice Lines'!N621</f>
        <v>40.799999999999997</v>
      </c>
      <c r="I621" s="8">
        <f>'Posted Sales Invoice Lines'!O621</f>
        <v>5712</v>
      </c>
    </row>
    <row r="622" spans="1:9" x14ac:dyDescent="0.25">
      <c r="A622" s="2" t="str">
        <f>'Posted Sales Invoice Lines'!A622</f>
        <v>PS-INV193156</v>
      </c>
      <c r="B622" s="2" t="str">
        <f>'Posted Sales Invoice Lines'!B622</f>
        <v>10805</v>
      </c>
      <c r="C622" s="2" t="str">
        <f>'Posted Sales Invoice Lines'!C622</f>
        <v>Sysco Jacksonville</v>
      </c>
      <c r="D622" s="2" t="str">
        <f>'Posted Sales Invoice Lines'!E622</f>
        <v>F51137</v>
      </c>
      <c r="E622" s="2" t="str">
        <f>'Posted Sales Invoice Lines'!F622</f>
        <v>Cs. Texas Toast 3/4" 12lvs</v>
      </c>
      <c r="F622" s="3">
        <f>'Posted Sales Invoice Lines'!G622</f>
        <v>46090</v>
      </c>
      <c r="G622" s="9">
        <f>'Posted Sales Invoice Lines'!L622</f>
        <v>196</v>
      </c>
      <c r="H622" s="8">
        <f>'Posted Sales Invoice Lines'!N622</f>
        <v>39.9</v>
      </c>
      <c r="I622" s="8">
        <f>'Posted Sales Invoice Lines'!O622</f>
        <v>7820.4</v>
      </c>
    </row>
    <row r="623" spans="1:9" x14ac:dyDescent="0.25">
      <c r="A623" s="2" t="str">
        <f>'Posted Sales Invoice Lines'!A623</f>
        <v>PS-INV193156</v>
      </c>
      <c r="B623" s="2" t="str">
        <f>'Posted Sales Invoice Lines'!B623</f>
        <v>10805</v>
      </c>
      <c r="C623" s="2" t="str">
        <f>'Posted Sales Invoice Lines'!C623</f>
        <v>Sysco Jacksonville</v>
      </c>
      <c r="D623" s="2" t="str">
        <f>'Posted Sales Invoice Lines'!E623</f>
        <v>F56251</v>
      </c>
      <c r="E623" s="2" t="str">
        <f>'Posted Sales Invoice Lines'!F623</f>
        <v>Cs. Challah Sliders Sliced 18-12pks</v>
      </c>
      <c r="F623" s="3">
        <f>'Posted Sales Invoice Lines'!G623</f>
        <v>46090</v>
      </c>
      <c r="G623" s="9">
        <f>'Posted Sales Invoice Lines'!L623</f>
        <v>56</v>
      </c>
      <c r="H623" s="8">
        <f>'Posted Sales Invoice Lines'!N623</f>
        <v>42.35</v>
      </c>
      <c r="I623" s="8">
        <f>'Posted Sales Invoice Lines'!O623</f>
        <v>2371.6</v>
      </c>
    </row>
    <row r="624" spans="1:9" x14ac:dyDescent="0.25">
      <c r="A624" s="2" t="str">
        <f>'Posted Sales Invoice Lines'!A624</f>
        <v>PS-INV193156</v>
      </c>
      <c r="B624" s="2" t="str">
        <f>'Posted Sales Invoice Lines'!B624</f>
        <v>10805</v>
      </c>
      <c r="C624" s="2" t="str">
        <f>'Posted Sales Invoice Lines'!C624</f>
        <v>Sysco Jacksonville</v>
      </c>
      <c r="D624" s="2" t="str">
        <f>'Posted Sales Invoice Lines'!E624</f>
        <v>F53310</v>
      </c>
      <c r="E624" s="2" t="str">
        <f>'Posted Sales Invoice Lines'!F624</f>
        <v>Cs. LobsterRoll 12-12</v>
      </c>
      <c r="F624" s="3">
        <f>'Posted Sales Invoice Lines'!G624</f>
        <v>46090</v>
      </c>
      <c r="G624" s="9">
        <f>'Posted Sales Invoice Lines'!L624</f>
        <v>8</v>
      </c>
      <c r="H624" s="8">
        <f>'Posted Sales Invoice Lines'!N624</f>
        <v>46.5</v>
      </c>
      <c r="I624" s="8">
        <f>'Posted Sales Invoice Lines'!O624</f>
        <v>372</v>
      </c>
    </row>
    <row r="625" spans="1:9" x14ac:dyDescent="0.25">
      <c r="A625" s="2" t="str">
        <f>'Posted Sales Invoice Lines'!A625</f>
        <v>PS-INV193158</v>
      </c>
      <c r="B625" s="2" t="str">
        <f>'Posted Sales Invoice Lines'!B625</f>
        <v>12438</v>
      </c>
      <c r="C625" s="2" t="str">
        <f>'Posted Sales Invoice Lines'!C625</f>
        <v>SGC Foodservice</v>
      </c>
      <c r="D625" s="2" t="str">
        <f>'Posted Sales Invoice Lines'!E625</f>
        <v>F56251</v>
      </c>
      <c r="E625" s="2" t="str">
        <f>'Posted Sales Invoice Lines'!F625</f>
        <v>Cs. Challah Sliders Sliced 18-12pks</v>
      </c>
      <c r="F625" s="3">
        <f>'Posted Sales Invoice Lines'!G625</f>
        <v>46085</v>
      </c>
      <c r="G625" s="9">
        <f>'Posted Sales Invoice Lines'!L625</f>
        <v>112</v>
      </c>
      <c r="H625" s="8">
        <f>'Posted Sales Invoice Lines'!N625</f>
        <v>33.299999999999997</v>
      </c>
      <c r="I625" s="8">
        <f>'Posted Sales Invoice Lines'!O625</f>
        <v>3729.6</v>
      </c>
    </row>
    <row r="626" spans="1:9" x14ac:dyDescent="0.25">
      <c r="A626" s="2" t="str">
        <f>'Posted Sales Invoice Lines'!A626</f>
        <v>PS-INV193158</v>
      </c>
      <c r="B626" s="2" t="str">
        <f>'Posted Sales Invoice Lines'!B626</f>
        <v>12438</v>
      </c>
      <c r="C626" s="2" t="str">
        <f>'Posted Sales Invoice Lines'!C626</f>
        <v>SGC Foodservice</v>
      </c>
      <c r="D626" s="2" t="str">
        <f>'Posted Sales Invoice Lines'!E626</f>
        <v>F54014</v>
      </c>
      <c r="E626" s="2" t="str">
        <f>'Posted Sales Invoice Lines'!F626</f>
        <v>Cs. White Mountain Dinner Rolls 12-12pk</v>
      </c>
      <c r="F626" s="3">
        <f>'Posted Sales Invoice Lines'!G626</f>
        <v>46085</v>
      </c>
      <c r="G626" s="9">
        <f>'Posted Sales Invoice Lines'!L626</f>
        <v>84</v>
      </c>
      <c r="H626" s="8">
        <f>'Posted Sales Invoice Lines'!N626</f>
        <v>28.3</v>
      </c>
      <c r="I626" s="8">
        <f>'Posted Sales Invoice Lines'!O626</f>
        <v>2377.1999999999998</v>
      </c>
    </row>
    <row r="627" spans="1:9" x14ac:dyDescent="0.25">
      <c r="A627" s="2" t="str">
        <f>'Posted Sales Invoice Lines'!A627</f>
        <v>PS-INV193158</v>
      </c>
      <c r="B627" s="2" t="str">
        <f>'Posted Sales Invoice Lines'!B627</f>
        <v>12438</v>
      </c>
      <c r="C627" s="2" t="str">
        <f>'Posted Sales Invoice Lines'!C627</f>
        <v>SGC Foodservice</v>
      </c>
      <c r="D627" s="2" t="str">
        <f>'Posted Sales Invoice Lines'!E627</f>
        <v>F53116</v>
      </c>
      <c r="E627" s="2" t="str">
        <f>'Posted Sales Invoice Lines'!F627</f>
        <v>Cs. 7" French Hinged 12</v>
      </c>
      <c r="F627" s="3">
        <f>'Posted Sales Invoice Lines'!G627</f>
        <v>46085</v>
      </c>
      <c r="G627" s="9">
        <f>'Posted Sales Invoice Lines'!L627</f>
        <v>84</v>
      </c>
      <c r="H627" s="8">
        <f>'Posted Sales Invoice Lines'!N627</f>
        <v>33.299999999999997</v>
      </c>
      <c r="I627" s="8">
        <f>'Posted Sales Invoice Lines'!O627</f>
        <v>2797.2</v>
      </c>
    </row>
    <row r="628" spans="1:9" x14ac:dyDescent="0.25">
      <c r="A628" s="2" t="str">
        <f>'Posted Sales Invoice Lines'!A628</f>
        <v>PS-INV193158</v>
      </c>
      <c r="B628" s="2" t="str">
        <f>'Posted Sales Invoice Lines'!B628</f>
        <v>12438</v>
      </c>
      <c r="C628" s="2" t="str">
        <f>'Posted Sales Invoice Lines'!C628</f>
        <v>SGC Foodservice</v>
      </c>
      <c r="D628" s="2" t="str">
        <f>'Posted Sales Invoice Lines'!E628</f>
        <v>F53094</v>
      </c>
      <c r="E628" s="2" t="str">
        <f>'Posted Sales Invoice Lines'!F628</f>
        <v>Cs. 6" Italian 12-6pks</v>
      </c>
      <c r="F628" s="3">
        <f>'Posted Sales Invoice Lines'!G628</f>
        <v>46085</v>
      </c>
      <c r="G628" s="9">
        <f>'Posted Sales Invoice Lines'!L628</f>
        <v>56</v>
      </c>
      <c r="H628" s="8">
        <f>'Posted Sales Invoice Lines'!N628</f>
        <v>30.3</v>
      </c>
      <c r="I628" s="8">
        <f>'Posted Sales Invoice Lines'!O628</f>
        <v>1696.8</v>
      </c>
    </row>
    <row r="629" spans="1:9" x14ac:dyDescent="0.25">
      <c r="A629" s="2" t="str">
        <f>'Posted Sales Invoice Lines'!A629</f>
        <v>PS-INV193158</v>
      </c>
      <c r="B629" s="2" t="str">
        <f>'Posted Sales Invoice Lines'!B629</f>
        <v>12438</v>
      </c>
      <c r="C629" s="2" t="str">
        <f>'Posted Sales Invoice Lines'!C629</f>
        <v>SGC Foodservice</v>
      </c>
      <c r="D629" s="2" t="str">
        <f>'Posted Sales Invoice Lines'!E629</f>
        <v>F53105</v>
      </c>
      <c r="E629" s="2" t="str">
        <f>'Posted Sales Invoice Lines'!F629</f>
        <v>Cs. 6" White Hot Dog 16-8pk</v>
      </c>
      <c r="F629" s="3">
        <f>'Posted Sales Invoice Lines'!G629</f>
        <v>46085</v>
      </c>
      <c r="G629" s="9">
        <f>'Posted Sales Invoice Lines'!L629</f>
        <v>77</v>
      </c>
      <c r="H629" s="8">
        <f>'Posted Sales Invoice Lines'!N629</f>
        <v>34.5</v>
      </c>
      <c r="I629" s="8">
        <f>'Posted Sales Invoice Lines'!O629</f>
        <v>2656.5</v>
      </c>
    </row>
    <row r="630" spans="1:9" x14ac:dyDescent="0.25">
      <c r="A630" s="2" t="str">
        <f>'Posted Sales Invoice Lines'!A630</f>
        <v>PS-INV193158</v>
      </c>
      <c r="B630" s="2" t="str">
        <f>'Posted Sales Invoice Lines'!B630</f>
        <v>12438</v>
      </c>
      <c r="C630" s="2" t="str">
        <f>'Posted Sales Invoice Lines'!C630</f>
        <v>SGC Foodservice</v>
      </c>
      <c r="D630" s="2" t="str">
        <f>'Posted Sales Invoice Lines'!E630</f>
        <v>F51034</v>
      </c>
      <c r="E630" s="2" t="str">
        <f>'Posted Sales Invoice Lines'!F630</f>
        <v>Cs. Sour Dough Hearth 5/8" 8lvs</v>
      </c>
      <c r="F630" s="3">
        <f>'Posted Sales Invoice Lines'!G630</f>
        <v>46085</v>
      </c>
      <c r="G630" s="9">
        <f>'Posted Sales Invoice Lines'!L630</f>
        <v>112</v>
      </c>
      <c r="H630" s="8">
        <f>'Posted Sales Invoice Lines'!N630</f>
        <v>37.299999999999997</v>
      </c>
      <c r="I630" s="8">
        <f>'Posted Sales Invoice Lines'!O630</f>
        <v>4177.6000000000004</v>
      </c>
    </row>
    <row r="631" spans="1:9" x14ac:dyDescent="0.25">
      <c r="A631" s="2" t="str">
        <f>'Posted Sales Invoice Lines'!A631</f>
        <v>PS-INV193158</v>
      </c>
      <c r="B631" s="2" t="str">
        <f>'Posted Sales Invoice Lines'!B631</f>
        <v>12438</v>
      </c>
      <c r="C631" s="2" t="str">
        <f>'Posted Sales Invoice Lines'!C631</f>
        <v>SGC Foodservice</v>
      </c>
      <c r="D631" s="2" t="str">
        <f>'Posted Sales Invoice Lines'!E631</f>
        <v>F51080</v>
      </c>
      <c r="E631" s="2" t="str">
        <f>'Posted Sales Invoice Lines'!F631</f>
        <v>Cs. Wheatberry Hearth 1/2" 8lvs</v>
      </c>
      <c r="F631" s="3">
        <f>'Posted Sales Invoice Lines'!G631</f>
        <v>46085</v>
      </c>
      <c r="G631" s="9">
        <f>'Posted Sales Invoice Lines'!L631</f>
        <v>28</v>
      </c>
      <c r="H631" s="8">
        <f>'Posted Sales Invoice Lines'!N631</f>
        <v>47</v>
      </c>
      <c r="I631" s="8">
        <f>'Posted Sales Invoice Lines'!O631</f>
        <v>1316</v>
      </c>
    </row>
    <row r="632" spans="1:9" x14ac:dyDescent="0.25">
      <c r="A632" s="2" t="str">
        <f>'Posted Sales Invoice Lines'!A632</f>
        <v>PS-INV193158</v>
      </c>
      <c r="B632" s="2" t="str">
        <f>'Posted Sales Invoice Lines'!B632</f>
        <v>12438</v>
      </c>
      <c r="C632" s="2" t="str">
        <f>'Posted Sales Invoice Lines'!C632</f>
        <v>SGC Foodservice</v>
      </c>
      <c r="D632" s="2" t="str">
        <f>'Posted Sales Invoice Lines'!E632</f>
        <v>F53001</v>
      </c>
      <c r="E632" s="2" t="str">
        <f>'Posted Sales Invoice Lines'!F632</f>
        <v>Cs. 4" Brioche Bun 8-12pk</v>
      </c>
      <c r="F632" s="3">
        <f>'Posted Sales Invoice Lines'!G632</f>
        <v>46085</v>
      </c>
      <c r="G632" s="9">
        <f>'Posted Sales Invoice Lines'!L632</f>
        <v>168</v>
      </c>
      <c r="H632" s="8">
        <f>'Posted Sales Invoice Lines'!N632</f>
        <v>42.6</v>
      </c>
      <c r="I632" s="8">
        <f>'Posted Sales Invoice Lines'!O632</f>
        <v>7156.8</v>
      </c>
    </row>
    <row r="633" spans="1:9" x14ac:dyDescent="0.25">
      <c r="A633" s="2" t="str">
        <f>'Posted Sales Invoice Lines'!A633</f>
        <v>PS-INV193158</v>
      </c>
      <c r="B633" s="2" t="str">
        <f>'Posted Sales Invoice Lines'!B633</f>
        <v>12438</v>
      </c>
      <c r="C633" s="2" t="str">
        <f>'Posted Sales Invoice Lines'!C633</f>
        <v>SGC Foodservice</v>
      </c>
      <c r="D633" s="2" t="str">
        <f>'Posted Sales Invoice Lines'!E633</f>
        <v>F53010</v>
      </c>
      <c r="E633" s="2" t="str">
        <f>'Posted Sales Invoice Lines'!F633</f>
        <v>Cs. Onion Roll 8-12pk</v>
      </c>
      <c r="F633" s="3">
        <f>'Posted Sales Invoice Lines'!G633</f>
        <v>46085</v>
      </c>
      <c r="G633" s="9">
        <f>'Posted Sales Invoice Lines'!L633</f>
        <v>56</v>
      </c>
      <c r="H633" s="8">
        <f>'Posted Sales Invoice Lines'!N633</f>
        <v>44</v>
      </c>
      <c r="I633" s="8">
        <f>'Posted Sales Invoice Lines'!O633</f>
        <v>2464</v>
      </c>
    </row>
    <row r="634" spans="1:9" x14ac:dyDescent="0.25">
      <c r="A634" s="2" t="str">
        <f>'Posted Sales Invoice Lines'!A634</f>
        <v>PS-INV193158</v>
      </c>
      <c r="B634" s="2" t="str">
        <f>'Posted Sales Invoice Lines'!B634</f>
        <v>12438</v>
      </c>
      <c r="C634" s="2" t="str">
        <f>'Posted Sales Invoice Lines'!C634</f>
        <v>SGC Foodservice</v>
      </c>
      <c r="D634" s="2" t="str">
        <f>'Posted Sales Invoice Lines'!E634</f>
        <v>F530931</v>
      </c>
      <c r="E634" s="2" t="str">
        <f>'Posted Sales Invoice Lines'!F634</f>
        <v>Cs. 6" Philly Hinged 12-6pk</v>
      </c>
      <c r="F634" s="3">
        <f>'Posted Sales Invoice Lines'!G634</f>
        <v>46085</v>
      </c>
      <c r="G634" s="9">
        <f>'Posted Sales Invoice Lines'!L634</f>
        <v>56</v>
      </c>
      <c r="H634" s="8">
        <f>'Posted Sales Invoice Lines'!N634</f>
        <v>48.2</v>
      </c>
      <c r="I634" s="8">
        <f>'Posted Sales Invoice Lines'!O634</f>
        <v>2699.2</v>
      </c>
    </row>
    <row r="635" spans="1:9" x14ac:dyDescent="0.25">
      <c r="A635" s="2" t="str">
        <f>'Posted Sales Invoice Lines'!A635</f>
        <v>PS-INV193821</v>
      </c>
      <c r="B635" s="2" t="str">
        <f>'Posted Sales Invoice Lines'!B635</f>
        <v>10719-2</v>
      </c>
      <c r="C635" s="2" t="str">
        <f>'Posted Sales Invoice Lines'!C635</f>
        <v>US Foods - Fairburn</v>
      </c>
      <c r="D635" s="2" t="str">
        <f>'Posted Sales Invoice Lines'!E635</f>
        <v>F53005</v>
      </c>
      <c r="E635" s="2" t="str">
        <f>'Posted Sales Invoice Lines'!F635</f>
        <v>Cs. 4" Gourmet PDS Bun 8-12pk</v>
      </c>
      <c r="F635" s="3">
        <f>'Posted Sales Invoice Lines'!G635</f>
        <v>46098</v>
      </c>
      <c r="G635" s="9">
        <f>'Posted Sales Invoice Lines'!L635</f>
        <v>40</v>
      </c>
      <c r="H635" s="8">
        <f>'Posted Sales Invoice Lines'!N635</f>
        <v>40.11</v>
      </c>
      <c r="I635" s="8">
        <f>'Posted Sales Invoice Lines'!O635</f>
        <v>1604.4</v>
      </c>
    </row>
    <row r="636" spans="1:9" x14ac:dyDescent="0.25">
      <c r="A636" s="2" t="str">
        <f>'Posted Sales Invoice Lines'!A636</f>
        <v>PS-INV193821</v>
      </c>
      <c r="B636" s="2" t="str">
        <f>'Posted Sales Invoice Lines'!B636</f>
        <v>10719-2</v>
      </c>
      <c r="C636" s="2" t="str">
        <f>'Posted Sales Invoice Lines'!C636</f>
        <v>US Foods - Fairburn</v>
      </c>
      <c r="D636" s="2" t="str">
        <f>'Posted Sales Invoice Lines'!E636</f>
        <v>F56560</v>
      </c>
      <c r="E636" s="2" t="str">
        <f>'Posted Sales Invoice Lines'!F636</f>
        <v>Gluten Free 3.5" Hamburger 36ct</v>
      </c>
      <c r="F636" s="3">
        <f>'Posted Sales Invoice Lines'!G636</f>
        <v>46098</v>
      </c>
      <c r="G636" s="9">
        <f>'Posted Sales Invoice Lines'!L636</f>
        <v>12</v>
      </c>
      <c r="H636" s="8">
        <f>'Posted Sales Invoice Lines'!N636</f>
        <v>48.57</v>
      </c>
      <c r="I636" s="8">
        <f>'Posted Sales Invoice Lines'!O636</f>
        <v>582.84</v>
      </c>
    </row>
    <row r="637" spans="1:9" x14ac:dyDescent="0.25">
      <c r="A637" s="2" t="str">
        <f>'Posted Sales Invoice Lines'!A637</f>
        <v>PS-INV193821</v>
      </c>
      <c r="B637" s="2" t="str">
        <f>'Posted Sales Invoice Lines'!B637</f>
        <v>10719-2</v>
      </c>
      <c r="C637" s="2" t="str">
        <f>'Posted Sales Invoice Lines'!C637</f>
        <v>US Foods - Fairburn</v>
      </c>
      <c r="D637" s="2" t="str">
        <f>'Posted Sales Invoice Lines'!E637</f>
        <v>F53010</v>
      </c>
      <c r="E637" s="2" t="str">
        <f>'Posted Sales Invoice Lines'!F637</f>
        <v>Cs. Onion Roll 8-12pk</v>
      </c>
      <c r="F637" s="3">
        <f>'Posted Sales Invoice Lines'!G637</f>
        <v>46098</v>
      </c>
      <c r="G637" s="9">
        <f>'Posted Sales Invoice Lines'!L637</f>
        <v>28</v>
      </c>
      <c r="H637" s="8">
        <f>'Posted Sales Invoice Lines'!N637</f>
        <v>40.85</v>
      </c>
      <c r="I637" s="8">
        <f>'Posted Sales Invoice Lines'!O637</f>
        <v>1143.8</v>
      </c>
    </row>
    <row r="638" spans="1:9" x14ac:dyDescent="0.25">
      <c r="A638" s="2" t="str">
        <f>'Posted Sales Invoice Lines'!A638</f>
        <v>PS-INV193821</v>
      </c>
      <c r="B638" s="2" t="str">
        <f>'Posted Sales Invoice Lines'!B638</f>
        <v>10719-2</v>
      </c>
      <c r="C638" s="2" t="str">
        <f>'Posted Sales Invoice Lines'!C638</f>
        <v>US Foods - Fairburn</v>
      </c>
      <c r="D638" s="2" t="str">
        <f>'Posted Sales Invoice Lines'!E638</f>
        <v>F53122</v>
      </c>
      <c r="E638" s="2" t="str">
        <f>'Posted Sales Invoice Lines'!F638</f>
        <v>Cs. 8" Italian Hinged 12-6pk</v>
      </c>
      <c r="F638" s="3">
        <f>'Posted Sales Invoice Lines'!G638</f>
        <v>46098</v>
      </c>
      <c r="G638" s="9">
        <f>'Posted Sales Invoice Lines'!L638</f>
        <v>156</v>
      </c>
      <c r="H638" s="8">
        <f>'Posted Sales Invoice Lines'!N638</f>
        <v>40.9</v>
      </c>
      <c r="I638" s="8">
        <f>'Posted Sales Invoice Lines'!O638</f>
        <v>6380.4</v>
      </c>
    </row>
    <row r="639" spans="1:9" x14ac:dyDescent="0.25">
      <c r="A639" s="2" t="str">
        <f>'Posted Sales Invoice Lines'!A639</f>
        <v>PS-INV193821</v>
      </c>
      <c r="B639" s="2" t="str">
        <f>'Posted Sales Invoice Lines'!B639</f>
        <v>10719-2</v>
      </c>
      <c r="C639" s="2" t="str">
        <f>'Posted Sales Invoice Lines'!C639</f>
        <v>US Foods - Fairburn</v>
      </c>
      <c r="D639" s="2" t="str">
        <f>'Posted Sales Invoice Lines'!E639</f>
        <v>F53003</v>
      </c>
      <c r="E639" s="2" t="str">
        <f>'Posted Sales Invoice Lines'!F639</f>
        <v>Cs. 4" Unseeded Challah Bun 8-12pk</v>
      </c>
      <c r="F639" s="3">
        <f>'Posted Sales Invoice Lines'!G639</f>
        <v>46098</v>
      </c>
      <c r="G639" s="9">
        <f>'Posted Sales Invoice Lines'!L639</f>
        <v>56</v>
      </c>
      <c r="H639" s="8">
        <f>'Posted Sales Invoice Lines'!N639</f>
        <v>38.08</v>
      </c>
      <c r="I639" s="8">
        <f>'Posted Sales Invoice Lines'!O639</f>
        <v>2132.48</v>
      </c>
    </row>
    <row r="640" spans="1:9" x14ac:dyDescent="0.25">
      <c r="A640" s="2" t="str">
        <f>'Posted Sales Invoice Lines'!A640</f>
        <v>PS-INV193821</v>
      </c>
      <c r="B640" s="2" t="str">
        <f>'Posted Sales Invoice Lines'!B640</f>
        <v>10719-2</v>
      </c>
      <c r="C640" s="2" t="str">
        <f>'Posted Sales Invoice Lines'!C640</f>
        <v>US Foods - Fairburn</v>
      </c>
      <c r="D640" s="2" t="str">
        <f>'Posted Sales Invoice Lines'!E640</f>
        <v>F53024</v>
      </c>
      <c r="E640" s="2" t="str">
        <f>'Posted Sales Invoice Lines'!F640</f>
        <v>Cs. 4" Challah Kaiser 8-12pk</v>
      </c>
      <c r="F640" s="3">
        <f>'Posted Sales Invoice Lines'!G640</f>
        <v>46098</v>
      </c>
      <c r="G640" s="9">
        <f>'Posted Sales Invoice Lines'!L640</f>
        <v>60</v>
      </c>
      <c r="H640" s="8">
        <f>'Posted Sales Invoice Lines'!N640</f>
        <v>40.22</v>
      </c>
      <c r="I640" s="8">
        <f>'Posted Sales Invoice Lines'!O640</f>
        <v>2413.1999999999998</v>
      </c>
    </row>
    <row r="641" spans="1:9" x14ac:dyDescent="0.25">
      <c r="A641" s="2" t="str">
        <f>'Posted Sales Invoice Lines'!A641</f>
        <v>PS-INV194058</v>
      </c>
      <c r="B641" s="2" t="str">
        <f>'Posted Sales Invoice Lines'!B641</f>
        <v>10800-05</v>
      </c>
      <c r="C641" s="2" t="str">
        <f>'Posted Sales Invoice Lines'!C641</f>
        <v>Knuckie's Milton TTHS</v>
      </c>
      <c r="D641" s="2" t="str">
        <f>'Posted Sales Invoice Lines'!E641</f>
        <v>F53140</v>
      </c>
      <c r="E641" s="2" t="str">
        <f>'Posted Sales Invoice Lines'!F641</f>
        <v>Cs. Knuckies 8" White 12-6pk</v>
      </c>
      <c r="F641" s="3">
        <f>'Posted Sales Invoice Lines'!G641</f>
        <v>46077</v>
      </c>
      <c r="G641" s="9">
        <f>'Posted Sales Invoice Lines'!L641</f>
        <v>5</v>
      </c>
      <c r="H641" s="8">
        <f>'Posted Sales Invoice Lines'!N641</f>
        <v>44</v>
      </c>
      <c r="I641" s="8">
        <f>'Posted Sales Invoice Lines'!O641</f>
        <v>220</v>
      </c>
    </row>
    <row r="642" spans="1:9" x14ac:dyDescent="0.25">
      <c r="A642" s="2" t="str">
        <f>'Posted Sales Invoice Lines'!A642</f>
        <v>PS-INV194144</v>
      </c>
      <c r="B642" s="2" t="str">
        <f>'Posted Sales Invoice Lines'!B642</f>
        <v>20334</v>
      </c>
      <c r="C642" s="2" t="str">
        <f>'Posted Sales Invoice Lines'!C642</f>
        <v>Sysco Atlanta</v>
      </c>
      <c r="D642" s="2" t="str">
        <f>'Posted Sales Invoice Lines'!E642</f>
        <v>F53106</v>
      </c>
      <c r="E642" s="2" t="str">
        <f>'Posted Sales Invoice Lines'!F642</f>
        <v>Cs. Large Hot Dog 12-6pk</v>
      </c>
      <c r="F642" s="3">
        <f>'Posted Sales Invoice Lines'!G642</f>
        <v>46090</v>
      </c>
      <c r="G642" s="9">
        <f>'Posted Sales Invoice Lines'!L642</f>
        <v>16</v>
      </c>
      <c r="H642" s="8">
        <f>'Posted Sales Invoice Lines'!N642</f>
        <v>36.5</v>
      </c>
      <c r="I642" s="8">
        <f>'Posted Sales Invoice Lines'!O642</f>
        <v>584</v>
      </c>
    </row>
    <row r="643" spans="1:9" x14ac:dyDescent="0.25">
      <c r="A643" s="2" t="str">
        <f>'Posted Sales Invoice Lines'!A643</f>
        <v>PS-INV194144</v>
      </c>
      <c r="B643" s="2" t="str">
        <f>'Posted Sales Invoice Lines'!B643</f>
        <v>20334</v>
      </c>
      <c r="C643" s="2" t="str">
        <f>'Posted Sales Invoice Lines'!C643</f>
        <v>Sysco Atlanta</v>
      </c>
      <c r="D643" s="2" t="str">
        <f>'Posted Sales Invoice Lines'!E643</f>
        <v>F53116</v>
      </c>
      <c r="E643" s="2" t="str">
        <f>'Posted Sales Invoice Lines'!F643</f>
        <v>Cs. 7" French Hinged 12</v>
      </c>
      <c r="F643" s="3">
        <f>'Posted Sales Invoice Lines'!G643</f>
        <v>46090</v>
      </c>
      <c r="G643" s="9">
        <f>'Posted Sales Invoice Lines'!L643</f>
        <v>28</v>
      </c>
      <c r="H643" s="8">
        <f>'Posted Sales Invoice Lines'!N643</f>
        <v>31.42</v>
      </c>
      <c r="I643" s="8">
        <f>'Posted Sales Invoice Lines'!O643</f>
        <v>879.76</v>
      </c>
    </row>
    <row r="644" spans="1:9" x14ac:dyDescent="0.25">
      <c r="A644" s="2" t="str">
        <f>'Posted Sales Invoice Lines'!A644</f>
        <v>PS-INV194144</v>
      </c>
      <c r="B644" s="2" t="str">
        <f>'Posted Sales Invoice Lines'!B644</f>
        <v>20334</v>
      </c>
      <c r="C644" s="2" t="str">
        <f>'Posted Sales Invoice Lines'!C644</f>
        <v>Sysco Atlanta</v>
      </c>
      <c r="D644" s="2" t="str">
        <f>'Posted Sales Invoice Lines'!E644</f>
        <v>F53087</v>
      </c>
      <c r="E644" s="2" t="str">
        <f>'Posted Sales Invoice Lines'!F644</f>
        <v>Cs. 3.5" Challah Bun 8-12 pk</v>
      </c>
      <c r="F644" s="3">
        <f>'Posted Sales Invoice Lines'!G644</f>
        <v>46090</v>
      </c>
      <c r="G644" s="9">
        <f>'Posted Sales Invoice Lines'!L644</f>
        <v>28</v>
      </c>
      <c r="H644" s="8">
        <f>'Posted Sales Invoice Lines'!N644</f>
        <v>34</v>
      </c>
      <c r="I644" s="8">
        <f>'Posted Sales Invoice Lines'!O644</f>
        <v>952</v>
      </c>
    </row>
    <row r="645" spans="1:9" x14ac:dyDescent="0.25">
      <c r="A645" s="2" t="str">
        <f>'Posted Sales Invoice Lines'!A645</f>
        <v>PS-INV194144</v>
      </c>
      <c r="B645" s="2" t="str">
        <f>'Posted Sales Invoice Lines'!B645</f>
        <v>20334</v>
      </c>
      <c r="C645" s="2" t="str">
        <f>'Posted Sales Invoice Lines'!C645</f>
        <v>Sysco Atlanta</v>
      </c>
      <c r="D645" s="2" t="str">
        <f>'Posted Sales Invoice Lines'!E645</f>
        <v>F51024</v>
      </c>
      <c r="E645" s="2" t="str">
        <f>'Posted Sales Invoice Lines'!F645</f>
        <v>Cs. Marble Rye 5/8" 8lvs</v>
      </c>
      <c r="F645" s="3">
        <f>'Posted Sales Invoice Lines'!G645</f>
        <v>46090</v>
      </c>
      <c r="G645" s="9">
        <f>'Posted Sales Invoice Lines'!L645</f>
        <v>12</v>
      </c>
      <c r="H645" s="8">
        <f>'Posted Sales Invoice Lines'!N645</f>
        <v>43.26</v>
      </c>
      <c r="I645" s="8">
        <f>'Posted Sales Invoice Lines'!O645</f>
        <v>519.12</v>
      </c>
    </row>
    <row r="646" spans="1:9" x14ac:dyDescent="0.25">
      <c r="A646" s="2" t="str">
        <f>'Posted Sales Invoice Lines'!A646</f>
        <v>PS-INV194144</v>
      </c>
      <c r="B646" s="2" t="str">
        <f>'Posted Sales Invoice Lines'!B646</f>
        <v>20334</v>
      </c>
      <c r="C646" s="2" t="str">
        <f>'Posted Sales Invoice Lines'!C646</f>
        <v>Sysco Atlanta</v>
      </c>
      <c r="D646" s="2" t="str">
        <f>'Posted Sales Invoice Lines'!E646</f>
        <v>F53001</v>
      </c>
      <c r="E646" s="2" t="str">
        <f>'Posted Sales Invoice Lines'!F646</f>
        <v>Cs. 4" Brioche Bun 8-12pk</v>
      </c>
      <c r="F646" s="3">
        <f>'Posted Sales Invoice Lines'!G646</f>
        <v>46090</v>
      </c>
      <c r="G646" s="9">
        <f>'Posted Sales Invoice Lines'!L646</f>
        <v>56</v>
      </c>
      <c r="H646" s="8">
        <f>'Posted Sales Invoice Lines'!N646</f>
        <v>43.36</v>
      </c>
      <c r="I646" s="8">
        <f>'Posted Sales Invoice Lines'!O646</f>
        <v>2428.16</v>
      </c>
    </row>
    <row r="647" spans="1:9" x14ac:dyDescent="0.25">
      <c r="A647" s="2" t="str">
        <f>'Posted Sales Invoice Lines'!A647</f>
        <v>PS-INV194144</v>
      </c>
      <c r="B647" s="2" t="str">
        <f>'Posted Sales Invoice Lines'!B647</f>
        <v>20334</v>
      </c>
      <c r="C647" s="2" t="str">
        <f>'Posted Sales Invoice Lines'!C647</f>
        <v>Sysco Atlanta</v>
      </c>
      <c r="D647" s="2" t="str">
        <f>'Posted Sales Invoice Lines'!E647</f>
        <v>F51034</v>
      </c>
      <c r="E647" s="2" t="str">
        <f>'Posted Sales Invoice Lines'!F647</f>
        <v>Cs. Sour Dough Hearth 5/8" 8lvs</v>
      </c>
      <c r="F647" s="3">
        <f>'Posted Sales Invoice Lines'!G647</f>
        <v>46090</v>
      </c>
      <c r="G647" s="9">
        <f>'Posted Sales Invoice Lines'!L647</f>
        <v>80</v>
      </c>
      <c r="H647" s="8">
        <f>'Posted Sales Invoice Lines'!N647</f>
        <v>41.2</v>
      </c>
      <c r="I647" s="8">
        <f>'Posted Sales Invoice Lines'!O647</f>
        <v>3296</v>
      </c>
    </row>
    <row r="648" spans="1:9" x14ac:dyDescent="0.25">
      <c r="A648" s="2" t="str">
        <f>'Posted Sales Invoice Lines'!A648</f>
        <v>PS-INV194144</v>
      </c>
      <c r="B648" s="2" t="str">
        <f>'Posted Sales Invoice Lines'!B648</f>
        <v>20334</v>
      </c>
      <c r="C648" s="2" t="str">
        <f>'Posted Sales Invoice Lines'!C648</f>
        <v>Sysco Atlanta</v>
      </c>
      <c r="D648" s="2" t="str">
        <f>'Posted Sales Invoice Lines'!E648</f>
        <v>F53007</v>
      </c>
      <c r="E648" s="2" t="str">
        <f>'Posted Sales Invoice Lines'!F648</f>
        <v>Cs. 4" Cracked Wheat 8-12pk</v>
      </c>
      <c r="F648" s="3">
        <f>'Posted Sales Invoice Lines'!G648</f>
        <v>46090</v>
      </c>
      <c r="G648" s="9">
        <f>'Posted Sales Invoice Lines'!L648</f>
        <v>10</v>
      </c>
      <c r="H648" s="8">
        <f>'Posted Sales Invoice Lines'!N648</f>
        <v>39.869999999999997</v>
      </c>
      <c r="I648" s="8">
        <f>'Posted Sales Invoice Lines'!O648</f>
        <v>398.7</v>
      </c>
    </row>
    <row r="649" spans="1:9" x14ac:dyDescent="0.25">
      <c r="A649" s="2" t="str">
        <f>'Posted Sales Invoice Lines'!A649</f>
        <v>PS-INV194144</v>
      </c>
      <c r="B649" s="2" t="str">
        <f>'Posted Sales Invoice Lines'!B649</f>
        <v>20334</v>
      </c>
      <c r="C649" s="2" t="str">
        <f>'Posted Sales Invoice Lines'!C649</f>
        <v>Sysco Atlanta</v>
      </c>
      <c r="D649" s="2" t="str">
        <f>'Posted Sales Invoice Lines'!E649</f>
        <v>F53140</v>
      </c>
      <c r="E649" s="2" t="str">
        <f>'Posted Sales Invoice Lines'!F649</f>
        <v>Cs. Knuckies 8" White 12-6pk</v>
      </c>
      <c r="F649" s="3">
        <f>'Posted Sales Invoice Lines'!G649</f>
        <v>46090</v>
      </c>
      <c r="G649" s="9">
        <f>'Posted Sales Invoice Lines'!L649</f>
        <v>141</v>
      </c>
      <c r="H649" s="8">
        <f>'Posted Sales Invoice Lines'!N649</f>
        <v>41</v>
      </c>
      <c r="I649" s="8">
        <f>'Posted Sales Invoice Lines'!O649</f>
        <v>5781</v>
      </c>
    </row>
    <row r="650" spans="1:9" x14ac:dyDescent="0.25">
      <c r="A650" s="2" t="str">
        <f>'Posted Sales Invoice Lines'!A650</f>
        <v>PS-INV194440</v>
      </c>
      <c r="B650" s="2" t="str">
        <f>'Posted Sales Invoice Lines'!B650</f>
        <v>1-4</v>
      </c>
      <c r="C650" s="2" t="str">
        <f>'Posted Sales Invoice Lines'!C650</f>
        <v>Heath West</v>
      </c>
      <c r="D650" s="2" t="str">
        <f>'Posted Sales Invoice Lines'!E650</f>
        <v>F53098</v>
      </c>
      <c r="E650" s="2" t="str">
        <f>'Posted Sales Invoice Lines'!F650</f>
        <v>Cs. Onion Club 12-6pk</v>
      </c>
      <c r="F650" s="3">
        <f>'Posted Sales Invoice Lines'!G650</f>
        <v>46078</v>
      </c>
      <c r="G650" s="9">
        <f>'Posted Sales Invoice Lines'!L650</f>
        <v>2</v>
      </c>
      <c r="H650" s="8">
        <f>'Posted Sales Invoice Lines'!N650</f>
        <v>0</v>
      </c>
      <c r="I650" s="8">
        <f>'Posted Sales Invoice Lines'!O650</f>
        <v>0</v>
      </c>
    </row>
    <row r="651" spans="1:9" x14ac:dyDescent="0.25">
      <c r="A651" s="2" t="str">
        <f>'Posted Sales Invoice Lines'!A651</f>
        <v>PS-INV194556</v>
      </c>
      <c r="B651" s="2" t="str">
        <f>'Posted Sales Invoice Lines'!B651</f>
        <v>12314</v>
      </c>
      <c r="C651" s="2" t="str">
        <f>'Posted Sales Invoice Lines'!C651</f>
        <v>Gordon Food Services - Concord</v>
      </c>
      <c r="D651" s="2" t="str">
        <f>'Posted Sales Invoice Lines'!E651</f>
        <v>F53002</v>
      </c>
      <c r="E651" s="2" t="str">
        <f>'Posted Sales Invoice Lines'!F651</f>
        <v>Cs. 4" Challah Sesame Bun 8-12pk</v>
      </c>
      <c r="F651" s="3">
        <f>'Posted Sales Invoice Lines'!G651</f>
        <v>46092</v>
      </c>
      <c r="G651" s="9">
        <f>'Posted Sales Invoice Lines'!L651</f>
        <v>45</v>
      </c>
      <c r="H651" s="8">
        <f>'Posted Sales Invoice Lines'!N651</f>
        <v>41.7</v>
      </c>
      <c r="I651" s="8">
        <f>'Posted Sales Invoice Lines'!O651</f>
        <v>1876.5</v>
      </c>
    </row>
    <row r="652" spans="1:9" x14ac:dyDescent="0.25">
      <c r="A652" s="2" t="str">
        <f>'Posted Sales Invoice Lines'!A652</f>
        <v>PS-INV194556</v>
      </c>
      <c r="B652" s="2" t="str">
        <f>'Posted Sales Invoice Lines'!B652</f>
        <v>12314</v>
      </c>
      <c r="C652" s="2" t="str">
        <f>'Posted Sales Invoice Lines'!C652</f>
        <v>Gordon Food Services - Concord</v>
      </c>
      <c r="D652" s="2" t="str">
        <f>'Posted Sales Invoice Lines'!E652</f>
        <v>F51361</v>
      </c>
      <c r="E652" s="2" t="str">
        <f>'Posted Sales Invoice Lines'!F652</f>
        <v>Cs. Honey Wheat Pullman 7/8" 10lvs</v>
      </c>
      <c r="F652" s="3">
        <f>'Posted Sales Invoice Lines'!G652</f>
        <v>46092</v>
      </c>
      <c r="G652" s="9">
        <f>'Posted Sales Invoice Lines'!L652</f>
        <v>60</v>
      </c>
      <c r="H652" s="8">
        <f>'Posted Sales Invoice Lines'!N652</f>
        <v>41.49</v>
      </c>
      <c r="I652" s="8">
        <f>'Posted Sales Invoice Lines'!O652</f>
        <v>2489.4</v>
      </c>
    </row>
    <row r="653" spans="1:9" x14ac:dyDescent="0.25">
      <c r="A653" s="2" t="str">
        <f>'Posted Sales Invoice Lines'!A653</f>
        <v>PS-INV194556</v>
      </c>
      <c r="B653" s="2" t="str">
        <f>'Posted Sales Invoice Lines'!B653</f>
        <v>12314</v>
      </c>
      <c r="C653" s="2" t="str">
        <f>'Posted Sales Invoice Lines'!C653</f>
        <v>Gordon Food Services - Concord</v>
      </c>
      <c r="D653" s="2" t="str">
        <f>'Posted Sales Invoice Lines'!E653</f>
        <v>F51384</v>
      </c>
      <c r="E653" s="2" t="str">
        <f>'Posted Sales Invoice Lines'!F653</f>
        <v>Cs. Challah Pullman 7/8"</v>
      </c>
      <c r="F653" s="3">
        <f>'Posted Sales Invoice Lines'!G653</f>
        <v>46092</v>
      </c>
      <c r="G653" s="9">
        <f>'Posted Sales Invoice Lines'!L653</f>
        <v>312</v>
      </c>
      <c r="H653" s="8">
        <f>'Posted Sales Invoice Lines'!N653</f>
        <v>48.49</v>
      </c>
      <c r="I653" s="8">
        <f>'Posted Sales Invoice Lines'!O653</f>
        <v>15128.88</v>
      </c>
    </row>
    <row r="654" spans="1:9" x14ac:dyDescent="0.25">
      <c r="A654" s="2" t="str">
        <f>'Posted Sales Invoice Lines'!A654</f>
        <v>PS-INV194556</v>
      </c>
      <c r="B654" s="2" t="str">
        <f>'Posted Sales Invoice Lines'!B654</f>
        <v>12314</v>
      </c>
      <c r="C654" s="2" t="str">
        <f>'Posted Sales Invoice Lines'!C654</f>
        <v>Gordon Food Services - Concord</v>
      </c>
      <c r="D654" s="2" t="str">
        <f>'Posted Sales Invoice Lines'!E654</f>
        <v>F56255</v>
      </c>
      <c r="E654" s="2" t="str">
        <f>'Posted Sales Invoice Lines'!F654</f>
        <v>Cs. English Muffin 30-6pk</v>
      </c>
      <c r="F654" s="3">
        <f>'Posted Sales Invoice Lines'!G654</f>
        <v>46092</v>
      </c>
      <c r="G654" s="9">
        <f>'Posted Sales Invoice Lines'!L654</f>
        <v>40</v>
      </c>
      <c r="H654" s="8">
        <f>'Posted Sales Invoice Lines'!N654</f>
        <v>36.299999999999997</v>
      </c>
      <c r="I654" s="8">
        <f>'Posted Sales Invoice Lines'!O654</f>
        <v>1452</v>
      </c>
    </row>
    <row r="655" spans="1:9" x14ac:dyDescent="0.25">
      <c r="A655" s="2" t="str">
        <f>'Posted Sales Invoice Lines'!A655</f>
        <v>PS-INV194556</v>
      </c>
      <c r="B655" s="2" t="str">
        <f>'Posted Sales Invoice Lines'!B655</f>
        <v>12314</v>
      </c>
      <c r="C655" s="2" t="str">
        <f>'Posted Sales Invoice Lines'!C655</f>
        <v>Gordon Food Services - Concord</v>
      </c>
      <c r="D655" s="2" t="str">
        <f>'Posted Sales Invoice Lines'!E655</f>
        <v>F51084</v>
      </c>
      <c r="E655" s="2" t="str">
        <f>'Posted Sales Invoice Lines'!F655</f>
        <v>Cs. Wheatberry Hearth</v>
      </c>
      <c r="F655" s="3">
        <f>'Posted Sales Invoice Lines'!G655</f>
        <v>46092</v>
      </c>
      <c r="G655" s="9">
        <f>'Posted Sales Invoice Lines'!L655</f>
        <v>24</v>
      </c>
      <c r="H655" s="8">
        <f>'Posted Sales Invoice Lines'!N655</f>
        <v>33.299999999999997</v>
      </c>
      <c r="I655" s="8">
        <f>'Posted Sales Invoice Lines'!O655</f>
        <v>799.2</v>
      </c>
    </row>
    <row r="656" spans="1:9" x14ac:dyDescent="0.25">
      <c r="A656" s="2" t="str">
        <f>'Posted Sales Invoice Lines'!A656</f>
        <v>PS-INV194556</v>
      </c>
      <c r="B656" s="2" t="str">
        <f>'Posted Sales Invoice Lines'!B656</f>
        <v>12314</v>
      </c>
      <c r="C656" s="2" t="str">
        <f>'Posted Sales Invoice Lines'!C656</f>
        <v>Gordon Food Services - Concord</v>
      </c>
      <c r="D656" s="2" t="str">
        <f>'Posted Sales Invoice Lines'!E656</f>
        <v>F53001</v>
      </c>
      <c r="E656" s="2" t="str">
        <f>'Posted Sales Invoice Lines'!F656</f>
        <v>Cs. 4" Brioche Bun 8-12pk</v>
      </c>
      <c r="F656" s="3">
        <f>'Posted Sales Invoice Lines'!G656</f>
        <v>46092</v>
      </c>
      <c r="G656" s="9">
        <f>'Posted Sales Invoice Lines'!L656</f>
        <v>112</v>
      </c>
      <c r="H656" s="8">
        <f>'Posted Sales Invoice Lines'!N656</f>
        <v>36.82</v>
      </c>
      <c r="I656" s="8">
        <f>'Posted Sales Invoice Lines'!O656</f>
        <v>4123.84</v>
      </c>
    </row>
    <row r="657" spans="1:9" x14ac:dyDescent="0.25">
      <c r="A657" s="2" t="str">
        <f>'Posted Sales Invoice Lines'!A657</f>
        <v>PS-INV194556</v>
      </c>
      <c r="B657" s="2" t="str">
        <f>'Posted Sales Invoice Lines'!B657</f>
        <v>12314</v>
      </c>
      <c r="C657" s="2" t="str">
        <f>'Posted Sales Invoice Lines'!C657</f>
        <v>Gordon Food Services - Concord</v>
      </c>
      <c r="D657" s="2" t="str">
        <f>'Posted Sales Invoice Lines'!E657</f>
        <v>F51114</v>
      </c>
      <c r="E657" s="2" t="str">
        <f>'Posted Sales Invoice Lines'!F657</f>
        <v>Cs. Old Fashioned Hearth 5/8" 8lvs</v>
      </c>
      <c r="F657" s="3">
        <f>'Posted Sales Invoice Lines'!G657</f>
        <v>46092</v>
      </c>
      <c r="G657" s="9">
        <f>'Posted Sales Invoice Lines'!L657</f>
        <v>36</v>
      </c>
      <c r="H657" s="8">
        <f>'Posted Sales Invoice Lines'!N657</f>
        <v>39.700000000000003</v>
      </c>
      <c r="I657" s="8">
        <f>'Posted Sales Invoice Lines'!O657</f>
        <v>1429.2</v>
      </c>
    </row>
    <row r="658" spans="1:9" x14ac:dyDescent="0.25">
      <c r="A658" s="2" t="str">
        <f>'Posted Sales Invoice Lines'!A658</f>
        <v>PS-INV194556</v>
      </c>
      <c r="B658" s="2" t="str">
        <f>'Posted Sales Invoice Lines'!B658</f>
        <v>12314</v>
      </c>
      <c r="C658" s="2" t="str">
        <f>'Posted Sales Invoice Lines'!C658</f>
        <v>Gordon Food Services - Concord</v>
      </c>
      <c r="D658" s="2" t="str">
        <f>'Posted Sales Invoice Lines'!E658</f>
        <v>F56251</v>
      </c>
      <c r="E658" s="2" t="str">
        <f>'Posted Sales Invoice Lines'!F658</f>
        <v>Cs. Challah Sliders Sliced 18-12pks</v>
      </c>
      <c r="F658" s="3">
        <f>'Posted Sales Invoice Lines'!G658</f>
        <v>46092</v>
      </c>
      <c r="G658" s="9">
        <f>'Posted Sales Invoice Lines'!L658</f>
        <v>96</v>
      </c>
      <c r="H658" s="8">
        <f>'Posted Sales Invoice Lines'!N658</f>
        <v>39.700000000000003</v>
      </c>
      <c r="I658" s="8">
        <f>'Posted Sales Invoice Lines'!O658</f>
        <v>3811.2</v>
      </c>
    </row>
    <row r="659" spans="1:9" x14ac:dyDescent="0.25">
      <c r="A659" s="2" t="str">
        <f>'Posted Sales Invoice Lines'!A659</f>
        <v>PS-INV194562</v>
      </c>
      <c r="B659" s="2" t="str">
        <f>'Posted Sales Invoice Lines'!B659</f>
        <v>12358</v>
      </c>
      <c r="C659" s="2" t="str">
        <f>'Posted Sales Invoice Lines'!C659</f>
        <v>PFG Powell GA</v>
      </c>
      <c r="D659" s="2" t="str">
        <f>'Posted Sales Invoice Lines'!E659</f>
        <v>F51024</v>
      </c>
      <c r="E659" s="2" t="str">
        <f>'Posted Sales Invoice Lines'!F659</f>
        <v>Cs. Marble Rye 5/8" 8lvs</v>
      </c>
      <c r="F659" s="3">
        <f>'Posted Sales Invoice Lines'!G659</f>
        <v>46092</v>
      </c>
      <c r="G659" s="9">
        <f>'Posted Sales Invoice Lines'!L659</f>
        <v>24</v>
      </c>
      <c r="H659" s="8">
        <f>'Posted Sales Invoice Lines'!N659</f>
        <v>45</v>
      </c>
      <c r="I659" s="8">
        <f>'Posted Sales Invoice Lines'!O659</f>
        <v>1080</v>
      </c>
    </row>
    <row r="660" spans="1:9" x14ac:dyDescent="0.25">
      <c r="A660" s="2" t="str">
        <f>'Posted Sales Invoice Lines'!A660</f>
        <v>PS-INV194562</v>
      </c>
      <c r="B660" s="2" t="str">
        <f>'Posted Sales Invoice Lines'!B660</f>
        <v>12358</v>
      </c>
      <c r="C660" s="2" t="str">
        <f>'Posted Sales Invoice Lines'!C660</f>
        <v>PFG Powell GA</v>
      </c>
      <c r="D660" s="2" t="str">
        <f>'Posted Sales Invoice Lines'!E660</f>
        <v>F53001</v>
      </c>
      <c r="E660" s="2" t="str">
        <f>'Posted Sales Invoice Lines'!F660</f>
        <v>Cs. 4" Brioche Bun 8-12pk</v>
      </c>
      <c r="F660" s="3">
        <f>'Posted Sales Invoice Lines'!G660</f>
        <v>46092</v>
      </c>
      <c r="G660" s="9">
        <f>'Posted Sales Invoice Lines'!L660</f>
        <v>64</v>
      </c>
      <c r="H660" s="8">
        <f>'Posted Sales Invoice Lines'!N660</f>
        <v>42.6</v>
      </c>
      <c r="I660" s="8">
        <f>'Posted Sales Invoice Lines'!O660</f>
        <v>2726.4</v>
      </c>
    </row>
    <row r="661" spans="1:9" x14ac:dyDescent="0.25">
      <c r="A661" s="2" t="str">
        <f>'Posted Sales Invoice Lines'!A661</f>
        <v>PS-INV194562</v>
      </c>
      <c r="B661" s="2" t="str">
        <f>'Posted Sales Invoice Lines'!B661</f>
        <v>12358</v>
      </c>
      <c r="C661" s="2" t="str">
        <f>'Posted Sales Invoice Lines'!C661</f>
        <v>PFG Powell GA</v>
      </c>
      <c r="D661" s="2" t="str">
        <f>'Posted Sales Invoice Lines'!E661</f>
        <v>F53003</v>
      </c>
      <c r="E661" s="2" t="str">
        <f>'Posted Sales Invoice Lines'!F661</f>
        <v>Cs. 4" Unseeded Challah Bun 8-12pk</v>
      </c>
      <c r="F661" s="3">
        <f>'Posted Sales Invoice Lines'!G661</f>
        <v>46092</v>
      </c>
      <c r="G661" s="9">
        <f>'Posted Sales Invoice Lines'!L661</f>
        <v>140</v>
      </c>
      <c r="H661" s="8">
        <f>'Posted Sales Invoice Lines'!N661</f>
        <v>40</v>
      </c>
      <c r="I661" s="8">
        <f>'Posted Sales Invoice Lines'!O661</f>
        <v>5600</v>
      </c>
    </row>
    <row r="662" spans="1:9" x14ac:dyDescent="0.25">
      <c r="A662" s="2" t="str">
        <f>'Posted Sales Invoice Lines'!A662</f>
        <v>PS-INV194577</v>
      </c>
      <c r="B662" s="2" t="str">
        <f>'Posted Sales Invoice Lines'!B662</f>
        <v>11394</v>
      </c>
      <c r="C662" s="2" t="str">
        <f>'Posted Sales Invoice Lines'!C662</f>
        <v>La Cosecha Food Service</v>
      </c>
      <c r="D662" s="2" t="str">
        <f>'Posted Sales Invoice Lines'!E662</f>
        <v>F53003</v>
      </c>
      <c r="E662" s="2" t="str">
        <f>'Posted Sales Invoice Lines'!F662</f>
        <v>Cs. 4" Unseeded Challah Bun 8-12pk</v>
      </c>
      <c r="F662" s="3">
        <f>'Posted Sales Invoice Lines'!G662</f>
        <v>46092</v>
      </c>
      <c r="G662" s="9">
        <f>'Posted Sales Invoice Lines'!L662</f>
        <v>25</v>
      </c>
      <c r="H662" s="8">
        <f>'Posted Sales Invoice Lines'!N662</f>
        <v>30.32</v>
      </c>
      <c r="I662" s="8">
        <f>'Posted Sales Invoice Lines'!O662</f>
        <v>758</v>
      </c>
    </row>
    <row r="663" spans="1:9" x14ac:dyDescent="0.25">
      <c r="A663" s="2" t="str">
        <f>'Posted Sales Invoice Lines'!A663</f>
        <v>PS-INV194577</v>
      </c>
      <c r="B663" s="2" t="str">
        <f>'Posted Sales Invoice Lines'!B663</f>
        <v>11394</v>
      </c>
      <c r="C663" s="2" t="str">
        <f>'Posted Sales Invoice Lines'!C663</f>
        <v>La Cosecha Food Service</v>
      </c>
      <c r="D663" s="2" t="str">
        <f>'Posted Sales Invoice Lines'!E663</f>
        <v>F530401</v>
      </c>
      <c r="E663" s="2" t="str">
        <f>'Posted Sales Invoice Lines'!F663</f>
        <v>Cs. 4.5" Sesame 6-12pk</v>
      </c>
      <c r="F663" s="3">
        <f>'Posted Sales Invoice Lines'!G663</f>
        <v>46092</v>
      </c>
      <c r="G663" s="9">
        <f>'Posted Sales Invoice Lines'!L663</f>
        <v>40</v>
      </c>
      <c r="H663" s="8">
        <f>'Posted Sales Invoice Lines'!N663</f>
        <v>34.18</v>
      </c>
      <c r="I663" s="8">
        <f>'Posted Sales Invoice Lines'!O663</f>
        <v>1367.2</v>
      </c>
    </row>
    <row r="664" spans="1:9" x14ac:dyDescent="0.25">
      <c r="A664" s="2" t="str">
        <f>'Posted Sales Invoice Lines'!A664</f>
        <v>PS-INV194577</v>
      </c>
      <c r="B664" s="2" t="str">
        <f>'Posted Sales Invoice Lines'!B664</f>
        <v>11394</v>
      </c>
      <c r="C664" s="2" t="str">
        <f>'Posted Sales Invoice Lines'!C664</f>
        <v>La Cosecha Food Service</v>
      </c>
      <c r="D664" s="2" t="str">
        <f>'Posted Sales Invoice Lines'!E664</f>
        <v>F53127</v>
      </c>
      <c r="E664" s="2" t="str">
        <f>'Posted Sales Invoice Lines'!F664</f>
        <v>Cs. 8" Philly 10-6pks</v>
      </c>
      <c r="F664" s="3">
        <f>'Posted Sales Invoice Lines'!G664</f>
        <v>46092</v>
      </c>
      <c r="G664" s="9">
        <f>'Posted Sales Invoice Lines'!L664</f>
        <v>25</v>
      </c>
      <c r="H664" s="8">
        <f>'Posted Sales Invoice Lines'!N664</f>
        <v>53.2</v>
      </c>
      <c r="I664" s="8">
        <f>'Posted Sales Invoice Lines'!O664</f>
        <v>1330</v>
      </c>
    </row>
    <row r="665" spans="1:9" x14ac:dyDescent="0.25">
      <c r="A665" s="2" t="str">
        <f>'Posted Sales Invoice Lines'!A665</f>
        <v>PS-INV194680</v>
      </c>
      <c r="B665" s="2" t="str">
        <f>'Posted Sales Invoice Lines'!B665</f>
        <v>10719-6</v>
      </c>
      <c r="C665" s="2" t="str">
        <f>'Posted Sales Invoice Lines'!C665</f>
        <v>US Foods - Alcoa TN.</v>
      </c>
      <c r="D665" s="2" t="str">
        <f>'Posted Sales Invoice Lines'!E665</f>
        <v>F53094</v>
      </c>
      <c r="E665" s="2" t="str">
        <f>'Posted Sales Invoice Lines'!F665</f>
        <v>Cs. 6" Italian 12-6pks</v>
      </c>
      <c r="F665" s="3">
        <f>'Posted Sales Invoice Lines'!G665</f>
        <v>46099</v>
      </c>
      <c r="G665" s="9">
        <f>'Posted Sales Invoice Lines'!L665</f>
        <v>76</v>
      </c>
      <c r="H665" s="8">
        <f>'Posted Sales Invoice Lines'!N665</f>
        <v>35</v>
      </c>
      <c r="I665" s="8">
        <f>'Posted Sales Invoice Lines'!O665</f>
        <v>2660</v>
      </c>
    </row>
    <row r="666" spans="1:9" x14ac:dyDescent="0.25">
      <c r="A666" s="2" t="str">
        <f>'Posted Sales Invoice Lines'!A666</f>
        <v>PS-INV194680</v>
      </c>
      <c r="B666" s="2" t="str">
        <f>'Posted Sales Invoice Lines'!B666</f>
        <v>10719-6</v>
      </c>
      <c r="C666" s="2" t="str">
        <f>'Posted Sales Invoice Lines'!C666</f>
        <v>US Foods - Alcoa TN.</v>
      </c>
      <c r="D666" s="2" t="str">
        <f>'Posted Sales Invoice Lines'!E666</f>
        <v>F51136</v>
      </c>
      <c r="E666" s="2" t="str">
        <f>'Posted Sales Invoice Lines'!F666</f>
        <v>Cs. Texas Toast 1" 12lvs</v>
      </c>
      <c r="F666" s="3">
        <f>'Posted Sales Invoice Lines'!G666</f>
        <v>46099</v>
      </c>
      <c r="G666" s="9">
        <f>'Posted Sales Invoice Lines'!L666</f>
        <v>80</v>
      </c>
      <c r="H666" s="8">
        <f>'Posted Sales Invoice Lines'!N666</f>
        <v>40.119999999999997</v>
      </c>
      <c r="I666" s="8">
        <f>'Posted Sales Invoice Lines'!O666</f>
        <v>3209.6</v>
      </c>
    </row>
    <row r="667" spans="1:9" x14ac:dyDescent="0.25">
      <c r="A667" s="2" t="str">
        <f>'Posted Sales Invoice Lines'!A667</f>
        <v>PS-INV194680</v>
      </c>
      <c r="B667" s="2" t="str">
        <f>'Posted Sales Invoice Lines'!B667</f>
        <v>10719-6</v>
      </c>
      <c r="C667" s="2" t="str">
        <f>'Posted Sales Invoice Lines'!C667</f>
        <v>US Foods - Alcoa TN.</v>
      </c>
      <c r="D667" s="2" t="str">
        <f>'Posted Sales Invoice Lines'!E667</f>
        <v>F51004</v>
      </c>
      <c r="E667" s="2" t="str">
        <f>'Posted Sales Invoice Lines'!F667</f>
        <v>Cs. Rye 5/8" 8lvs</v>
      </c>
      <c r="F667" s="3">
        <f>'Posted Sales Invoice Lines'!G667</f>
        <v>46099</v>
      </c>
      <c r="G667" s="9">
        <f>'Posted Sales Invoice Lines'!L667</f>
        <v>4</v>
      </c>
      <c r="H667" s="8">
        <f>'Posted Sales Invoice Lines'!N667</f>
        <v>42.03</v>
      </c>
      <c r="I667" s="8">
        <f>'Posted Sales Invoice Lines'!O667</f>
        <v>168.12</v>
      </c>
    </row>
    <row r="668" spans="1:9" x14ac:dyDescent="0.25">
      <c r="A668" s="2" t="str">
        <f>'Posted Sales Invoice Lines'!A668</f>
        <v>PS-INV194680</v>
      </c>
      <c r="B668" s="2" t="str">
        <f>'Posted Sales Invoice Lines'!B668</f>
        <v>10719-6</v>
      </c>
      <c r="C668" s="2" t="str">
        <f>'Posted Sales Invoice Lines'!C668</f>
        <v>US Foods - Alcoa TN.</v>
      </c>
      <c r="D668" s="2" t="str">
        <f>'Posted Sales Invoice Lines'!E668</f>
        <v>F53025</v>
      </c>
      <c r="E668" s="2" t="str">
        <f>'Posted Sales Invoice Lines'!F668</f>
        <v>Cs. Sesame Challah Kaiser 8-12pk</v>
      </c>
      <c r="F668" s="3">
        <f>'Posted Sales Invoice Lines'!G668</f>
        <v>46099</v>
      </c>
      <c r="G668" s="9">
        <f>'Posted Sales Invoice Lines'!L668</f>
        <v>144</v>
      </c>
      <c r="H668" s="8">
        <f>'Posted Sales Invoice Lines'!N668</f>
        <v>39</v>
      </c>
      <c r="I668" s="8">
        <f>'Posted Sales Invoice Lines'!O668</f>
        <v>5616</v>
      </c>
    </row>
    <row r="669" spans="1:9" x14ac:dyDescent="0.25">
      <c r="A669" s="2" t="str">
        <f>'Posted Sales Invoice Lines'!A669</f>
        <v>PS-INV194680</v>
      </c>
      <c r="B669" s="2" t="str">
        <f>'Posted Sales Invoice Lines'!B669</f>
        <v>10719-6</v>
      </c>
      <c r="C669" s="2" t="str">
        <f>'Posted Sales Invoice Lines'!C669</f>
        <v>US Foods - Alcoa TN.</v>
      </c>
      <c r="D669" s="2" t="str">
        <f>'Posted Sales Invoice Lines'!E669</f>
        <v>F53087</v>
      </c>
      <c r="E669" s="2" t="str">
        <f>'Posted Sales Invoice Lines'!F669</f>
        <v>Cs. 3.5" Challah Bun 8-12 pk</v>
      </c>
      <c r="F669" s="3">
        <f>'Posted Sales Invoice Lines'!G669</f>
        <v>46099</v>
      </c>
      <c r="G669" s="9">
        <f>'Posted Sales Invoice Lines'!L669</f>
        <v>64</v>
      </c>
      <c r="H669" s="8">
        <f>'Posted Sales Invoice Lines'!N669</f>
        <v>36.24</v>
      </c>
      <c r="I669" s="8">
        <f>'Posted Sales Invoice Lines'!O669</f>
        <v>2319.36</v>
      </c>
    </row>
    <row r="670" spans="1:9" x14ac:dyDescent="0.25">
      <c r="A670" s="2" t="str">
        <f>'Posted Sales Invoice Lines'!A670</f>
        <v>PS-INV194680</v>
      </c>
      <c r="B670" s="2" t="str">
        <f>'Posted Sales Invoice Lines'!B670</f>
        <v>10719-6</v>
      </c>
      <c r="C670" s="2" t="str">
        <f>'Posted Sales Invoice Lines'!C670</f>
        <v>US Foods - Alcoa TN.</v>
      </c>
      <c r="D670" s="2" t="str">
        <f>'Posted Sales Invoice Lines'!E670</f>
        <v>F56251</v>
      </c>
      <c r="E670" s="2" t="str">
        <f>'Posted Sales Invoice Lines'!F670</f>
        <v>Cs. Challah Sliders Sliced 18-12pks</v>
      </c>
      <c r="F670" s="3">
        <f>'Posted Sales Invoice Lines'!G670</f>
        <v>46099</v>
      </c>
      <c r="G670" s="9">
        <f>'Posted Sales Invoice Lines'!L670</f>
        <v>28</v>
      </c>
      <c r="H670" s="8">
        <f>'Posted Sales Invoice Lines'!N670</f>
        <v>41.5</v>
      </c>
      <c r="I670" s="8">
        <f>'Posted Sales Invoice Lines'!O670</f>
        <v>1162</v>
      </c>
    </row>
    <row r="671" spans="1:9" x14ac:dyDescent="0.25">
      <c r="A671" s="2" t="str">
        <f>'Posted Sales Invoice Lines'!A671</f>
        <v>PS-INV194680</v>
      </c>
      <c r="B671" s="2" t="str">
        <f>'Posted Sales Invoice Lines'!B671</f>
        <v>10719-6</v>
      </c>
      <c r="C671" s="2" t="str">
        <f>'Posted Sales Invoice Lines'!C671</f>
        <v>US Foods - Alcoa TN.</v>
      </c>
      <c r="D671" s="2" t="str">
        <f>'Posted Sales Invoice Lines'!E671</f>
        <v>F51066</v>
      </c>
      <c r="E671" s="2" t="str">
        <f>'Posted Sales Invoice Lines'!F671</f>
        <v>Cs. Honey Wheat 3/4" 8lvs</v>
      </c>
      <c r="F671" s="3">
        <f>'Posted Sales Invoice Lines'!G671</f>
        <v>46099</v>
      </c>
      <c r="G671" s="9">
        <f>'Posted Sales Invoice Lines'!L671</f>
        <v>28</v>
      </c>
      <c r="H671" s="8">
        <f>'Posted Sales Invoice Lines'!N671</f>
        <v>35.21</v>
      </c>
      <c r="I671" s="8">
        <f>'Posted Sales Invoice Lines'!O671</f>
        <v>985.88</v>
      </c>
    </row>
    <row r="672" spans="1:9" x14ac:dyDescent="0.25">
      <c r="A672" s="2" t="str">
        <f>'Posted Sales Invoice Lines'!A672</f>
        <v>PS-INV194680</v>
      </c>
      <c r="B672" s="2" t="str">
        <f>'Posted Sales Invoice Lines'!B672</f>
        <v>10719-6</v>
      </c>
      <c r="C672" s="2" t="str">
        <f>'Posted Sales Invoice Lines'!C672</f>
        <v>US Foods - Alcoa TN.</v>
      </c>
      <c r="D672" s="2" t="str">
        <f>'Posted Sales Invoice Lines'!E672</f>
        <v>F53001</v>
      </c>
      <c r="E672" s="2" t="str">
        <f>'Posted Sales Invoice Lines'!F672</f>
        <v>Cs. 4" Brioche Bun 8-12pk</v>
      </c>
      <c r="F672" s="3">
        <f>'Posted Sales Invoice Lines'!G672</f>
        <v>46099</v>
      </c>
      <c r="G672" s="9">
        <f>'Posted Sales Invoice Lines'!L672</f>
        <v>190</v>
      </c>
      <c r="H672" s="8">
        <f>'Posted Sales Invoice Lines'!N672</f>
        <v>45.49</v>
      </c>
      <c r="I672" s="8">
        <f>'Posted Sales Invoice Lines'!O672</f>
        <v>8643.1</v>
      </c>
    </row>
    <row r="673" spans="1:9" x14ac:dyDescent="0.25">
      <c r="A673" s="2" t="str">
        <f>'Posted Sales Invoice Lines'!A673</f>
        <v>PS-INV194680</v>
      </c>
      <c r="B673" s="2" t="str">
        <f>'Posted Sales Invoice Lines'!B673</f>
        <v>10719-6</v>
      </c>
      <c r="C673" s="2" t="str">
        <f>'Posted Sales Invoice Lines'!C673</f>
        <v>US Foods - Alcoa TN.</v>
      </c>
      <c r="D673" s="2" t="str">
        <f>'Posted Sales Invoice Lines'!E673</f>
        <v>F51084</v>
      </c>
      <c r="E673" s="2" t="str">
        <f>'Posted Sales Invoice Lines'!F673</f>
        <v>Cs. Wheatberry Hearth</v>
      </c>
      <c r="F673" s="3">
        <f>'Posted Sales Invoice Lines'!G673</f>
        <v>46099</v>
      </c>
      <c r="G673" s="9">
        <f>'Posted Sales Invoice Lines'!L673</f>
        <v>4</v>
      </c>
      <c r="H673" s="8">
        <f>'Posted Sales Invoice Lines'!N673</f>
        <v>52.47</v>
      </c>
      <c r="I673" s="8">
        <f>'Posted Sales Invoice Lines'!O673</f>
        <v>209.88</v>
      </c>
    </row>
    <row r="674" spans="1:9" x14ac:dyDescent="0.25">
      <c r="A674" s="2" t="str">
        <f>'Posted Sales Invoice Lines'!A674</f>
        <v>PS-INV194680</v>
      </c>
      <c r="B674" s="2" t="str">
        <f>'Posted Sales Invoice Lines'!B674</f>
        <v>10719-6</v>
      </c>
      <c r="C674" s="2" t="str">
        <f>'Posted Sales Invoice Lines'!C674</f>
        <v>US Foods - Alcoa TN.</v>
      </c>
      <c r="D674" s="2" t="str">
        <f>'Posted Sales Invoice Lines'!E674</f>
        <v>F51024</v>
      </c>
      <c r="E674" s="2" t="str">
        <f>'Posted Sales Invoice Lines'!F674</f>
        <v>Cs. Marble Rye 5/8" 8lvs</v>
      </c>
      <c r="F674" s="3">
        <f>'Posted Sales Invoice Lines'!G674</f>
        <v>46099</v>
      </c>
      <c r="G674" s="9">
        <f>'Posted Sales Invoice Lines'!L674</f>
        <v>8</v>
      </c>
      <c r="H674" s="8">
        <f>'Posted Sales Invoice Lines'!N674</f>
        <v>54</v>
      </c>
      <c r="I674" s="8">
        <f>'Posted Sales Invoice Lines'!O674</f>
        <v>432</v>
      </c>
    </row>
    <row r="675" spans="1:9" x14ac:dyDescent="0.25">
      <c r="A675" s="2" t="str">
        <f>'Posted Sales Invoice Lines'!A675</f>
        <v>PS-INV194680</v>
      </c>
      <c r="B675" s="2" t="str">
        <f>'Posted Sales Invoice Lines'!B675</f>
        <v>10719-6</v>
      </c>
      <c r="C675" s="2" t="str">
        <f>'Posted Sales Invoice Lines'!C675</f>
        <v>US Foods - Alcoa TN.</v>
      </c>
      <c r="D675" s="2" t="str">
        <f>'Posted Sales Invoice Lines'!E675</f>
        <v>F51157</v>
      </c>
      <c r="E675" s="2" t="str">
        <f>'Posted Sales Invoice Lines'!F675</f>
        <v>Cs. Challah Hearth 7/8" 8lvs</v>
      </c>
      <c r="F675" s="3">
        <f>'Posted Sales Invoice Lines'!G675</f>
        <v>46099</v>
      </c>
      <c r="G675" s="9">
        <f>'Posted Sales Invoice Lines'!L675</f>
        <v>28</v>
      </c>
      <c r="H675" s="8">
        <f>'Posted Sales Invoice Lines'!N675</f>
        <v>44.15</v>
      </c>
      <c r="I675" s="8">
        <f>'Posted Sales Invoice Lines'!O675</f>
        <v>1236.2</v>
      </c>
    </row>
    <row r="676" spans="1:9" x14ac:dyDescent="0.25">
      <c r="A676" s="2" t="str">
        <f>'Posted Sales Invoice Lines'!A676</f>
        <v>PS-INV194680</v>
      </c>
      <c r="B676" s="2" t="str">
        <f>'Posted Sales Invoice Lines'!B676</f>
        <v>10719-6</v>
      </c>
      <c r="C676" s="2" t="str">
        <f>'Posted Sales Invoice Lines'!C676</f>
        <v>US Foods - Alcoa TN.</v>
      </c>
      <c r="D676" s="2" t="str">
        <f>'Posted Sales Invoice Lines'!E676</f>
        <v>F53028</v>
      </c>
      <c r="E676" s="2" t="str">
        <f>'Posted Sales Invoice Lines'!F676</f>
        <v>Cs. 4" Sour Dough Bun 8-12pk</v>
      </c>
      <c r="F676" s="3">
        <f>'Posted Sales Invoice Lines'!G676</f>
        <v>46099</v>
      </c>
      <c r="G676" s="9">
        <f>'Posted Sales Invoice Lines'!L676</f>
        <v>4</v>
      </c>
      <c r="H676" s="8">
        <f>'Posted Sales Invoice Lines'!N676</f>
        <v>47.4</v>
      </c>
      <c r="I676" s="8">
        <f>'Posted Sales Invoice Lines'!O676</f>
        <v>189.6</v>
      </c>
    </row>
    <row r="677" spans="1:9" x14ac:dyDescent="0.25">
      <c r="A677" s="2" t="str">
        <f>'Posted Sales Invoice Lines'!A677</f>
        <v>PS-INV194680</v>
      </c>
      <c r="B677" s="2" t="str">
        <f>'Posted Sales Invoice Lines'!B677</f>
        <v>10719-6</v>
      </c>
      <c r="C677" s="2" t="str">
        <f>'Posted Sales Invoice Lines'!C677</f>
        <v>US Foods - Alcoa TN.</v>
      </c>
      <c r="D677" s="2" t="str">
        <f>'Posted Sales Invoice Lines'!E677</f>
        <v>F53006</v>
      </c>
      <c r="E677" s="2" t="str">
        <f>'Posted Sales Invoice Lines'!F677</f>
        <v>Cs. 4" Wheat Bun 8-12pk</v>
      </c>
      <c r="F677" s="3">
        <f>'Posted Sales Invoice Lines'!G677</f>
        <v>46099</v>
      </c>
      <c r="G677" s="9">
        <f>'Posted Sales Invoice Lines'!L677</f>
        <v>8</v>
      </c>
      <c r="H677" s="8">
        <f>'Posted Sales Invoice Lines'!N677</f>
        <v>40.22</v>
      </c>
      <c r="I677" s="8">
        <f>'Posted Sales Invoice Lines'!O677</f>
        <v>321.76</v>
      </c>
    </row>
    <row r="678" spans="1:9" x14ac:dyDescent="0.25">
      <c r="A678" s="2" t="str">
        <f>'Posted Sales Invoice Lines'!A678</f>
        <v>PS-INV194680</v>
      </c>
      <c r="B678" s="2" t="str">
        <f>'Posted Sales Invoice Lines'!B678</f>
        <v>10719-6</v>
      </c>
      <c r="C678" s="2" t="str">
        <f>'Posted Sales Invoice Lines'!C678</f>
        <v>US Foods - Alcoa TN.</v>
      </c>
      <c r="D678" s="2" t="str">
        <f>'Posted Sales Invoice Lines'!E678</f>
        <v>F53127</v>
      </c>
      <c r="E678" s="2" t="str">
        <f>'Posted Sales Invoice Lines'!F678</f>
        <v>Cs. 8" Philly 10-6pks</v>
      </c>
      <c r="F678" s="3">
        <f>'Posted Sales Invoice Lines'!G678</f>
        <v>46099</v>
      </c>
      <c r="G678" s="9">
        <f>'Posted Sales Invoice Lines'!L678</f>
        <v>63</v>
      </c>
      <c r="H678" s="8">
        <f>'Posted Sales Invoice Lines'!N678</f>
        <v>42.37</v>
      </c>
      <c r="I678" s="8">
        <f>'Posted Sales Invoice Lines'!O678</f>
        <v>2669.31</v>
      </c>
    </row>
    <row r="679" spans="1:9" x14ac:dyDescent="0.25">
      <c r="A679" s="2" t="str">
        <f>'Posted Sales Invoice Lines'!A679</f>
        <v>PS-INV194680</v>
      </c>
      <c r="B679" s="2" t="str">
        <f>'Posted Sales Invoice Lines'!B679</f>
        <v>10719-6</v>
      </c>
      <c r="C679" s="2" t="str">
        <f>'Posted Sales Invoice Lines'!C679</f>
        <v>US Foods - Alcoa TN.</v>
      </c>
      <c r="D679" s="2" t="str">
        <f>'Posted Sales Invoice Lines'!E679</f>
        <v>F51343</v>
      </c>
      <c r="E679" s="2" t="str">
        <f>'Posted Sales Invoice Lines'!F679</f>
        <v>Cs. White Bread Pullman 3/4" 10lvs</v>
      </c>
      <c r="F679" s="3">
        <f>'Posted Sales Invoice Lines'!G679</f>
        <v>46099</v>
      </c>
      <c r="G679" s="9">
        <f>'Posted Sales Invoice Lines'!L679</f>
        <v>7</v>
      </c>
      <c r="H679" s="8">
        <f>'Posted Sales Invoice Lines'!N679</f>
        <v>42.22</v>
      </c>
      <c r="I679" s="8">
        <f>'Posted Sales Invoice Lines'!O679</f>
        <v>295.54000000000002</v>
      </c>
    </row>
    <row r="680" spans="1:9" x14ac:dyDescent="0.25">
      <c r="A680" s="2" t="str">
        <f>'Posted Sales Invoice Lines'!A680</f>
        <v>PS-INV194680</v>
      </c>
      <c r="B680" s="2" t="str">
        <f>'Posted Sales Invoice Lines'!B680</f>
        <v>10719-6</v>
      </c>
      <c r="C680" s="2" t="str">
        <f>'Posted Sales Invoice Lines'!C680</f>
        <v>US Foods - Alcoa TN.</v>
      </c>
      <c r="D680" s="2" t="str">
        <f>'Posted Sales Invoice Lines'!E680</f>
        <v>F53086</v>
      </c>
      <c r="E680" s="2" t="str">
        <f>'Posted Sales Invoice Lines'!F680</f>
        <v>Cs. 3.5" Plain Hamburger Bun 8-12pk</v>
      </c>
      <c r="F680" s="3">
        <f>'Posted Sales Invoice Lines'!G680</f>
        <v>46099</v>
      </c>
      <c r="G680" s="9">
        <f>'Posted Sales Invoice Lines'!L680</f>
        <v>4</v>
      </c>
      <c r="H680" s="8">
        <f>'Posted Sales Invoice Lines'!N680</f>
        <v>36.24</v>
      </c>
      <c r="I680" s="8">
        <f>'Posted Sales Invoice Lines'!O680</f>
        <v>144.96</v>
      </c>
    </row>
    <row r="681" spans="1:9" x14ac:dyDescent="0.25">
      <c r="A681" s="2" t="str">
        <f>'Posted Sales Invoice Lines'!A681</f>
        <v>PS-INV194680</v>
      </c>
      <c r="B681" s="2" t="str">
        <f>'Posted Sales Invoice Lines'!B681</f>
        <v>10719-6</v>
      </c>
      <c r="C681" s="2" t="str">
        <f>'Posted Sales Invoice Lines'!C681</f>
        <v>US Foods - Alcoa TN.</v>
      </c>
      <c r="D681" s="2" t="str">
        <f>'Posted Sales Invoice Lines'!E681</f>
        <v>F52035</v>
      </c>
      <c r="E681" s="2" t="str">
        <f>'Posted Sales Invoice Lines'!F681</f>
        <v>Cs. French Boule 12-2pk</v>
      </c>
      <c r="F681" s="3">
        <f>'Posted Sales Invoice Lines'!G681</f>
        <v>46099</v>
      </c>
      <c r="G681" s="9">
        <f>'Posted Sales Invoice Lines'!L681</f>
        <v>40</v>
      </c>
      <c r="H681" s="8">
        <f>'Posted Sales Invoice Lines'!N681</f>
        <v>32.549999999999997</v>
      </c>
      <c r="I681" s="8">
        <f>'Posted Sales Invoice Lines'!O681</f>
        <v>1302</v>
      </c>
    </row>
    <row r="682" spans="1:9" x14ac:dyDescent="0.25">
      <c r="A682" s="2" t="str">
        <f>'Posted Sales Invoice Lines'!A682</f>
        <v>PS-INV194680</v>
      </c>
      <c r="B682" s="2" t="str">
        <f>'Posted Sales Invoice Lines'!B682</f>
        <v>10719-6</v>
      </c>
      <c r="C682" s="2" t="str">
        <f>'Posted Sales Invoice Lines'!C682</f>
        <v>US Foods - Alcoa TN.</v>
      </c>
      <c r="D682" s="2" t="str">
        <f>'Posted Sales Invoice Lines'!E682</f>
        <v>F53106</v>
      </c>
      <c r="E682" s="2" t="str">
        <f>'Posted Sales Invoice Lines'!F682</f>
        <v>Cs. Large Hot Dog 12-6pk</v>
      </c>
      <c r="F682" s="3">
        <f>'Posted Sales Invoice Lines'!G682</f>
        <v>46099</v>
      </c>
      <c r="G682" s="9">
        <f>'Posted Sales Invoice Lines'!L682</f>
        <v>4</v>
      </c>
      <c r="H682" s="8">
        <f>'Posted Sales Invoice Lines'!N682</f>
        <v>35.57</v>
      </c>
      <c r="I682" s="8">
        <f>'Posted Sales Invoice Lines'!O682</f>
        <v>142.28</v>
      </c>
    </row>
    <row r="683" spans="1:9" x14ac:dyDescent="0.25">
      <c r="A683" s="2" t="str">
        <f>'Posted Sales Invoice Lines'!A683</f>
        <v>PS-INV194680</v>
      </c>
      <c r="B683" s="2" t="str">
        <f>'Posted Sales Invoice Lines'!B683</f>
        <v>10719-6</v>
      </c>
      <c r="C683" s="2" t="str">
        <f>'Posted Sales Invoice Lines'!C683</f>
        <v>US Foods - Alcoa TN.</v>
      </c>
      <c r="D683" s="2" t="str">
        <f>'Posted Sales Invoice Lines'!E683</f>
        <v>F52032</v>
      </c>
      <c r="E683" s="2" t="str">
        <f>'Posted Sales Invoice Lines'!F683</f>
        <v>Cs. 8oz Sour Dough Boule 12-2pk</v>
      </c>
      <c r="F683" s="3">
        <f>'Posted Sales Invoice Lines'!G683</f>
        <v>46099</v>
      </c>
      <c r="G683" s="9">
        <f>'Posted Sales Invoice Lines'!L683</f>
        <v>28</v>
      </c>
      <c r="H683" s="8">
        <f>'Posted Sales Invoice Lines'!N683</f>
        <v>41.25</v>
      </c>
      <c r="I683" s="8">
        <f>'Posted Sales Invoice Lines'!O683</f>
        <v>1155</v>
      </c>
    </row>
    <row r="684" spans="1:9" x14ac:dyDescent="0.25">
      <c r="A684" s="2" t="str">
        <f>'Posted Sales Invoice Lines'!A684</f>
        <v>PS-INV194680</v>
      </c>
      <c r="B684" s="2" t="str">
        <f>'Posted Sales Invoice Lines'!B684</f>
        <v>10719-6</v>
      </c>
      <c r="C684" s="2" t="str">
        <f>'Posted Sales Invoice Lines'!C684</f>
        <v>US Foods - Alcoa TN.</v>
      </c>
      <c r="D684" s="2" t="str">
        <f>'Posted Sales Invoice Lines'!E684</f>
        <v>F53024</v>
      </c>
      <c r="E684" s="2" t="str">
        <f>'Posted Sales Invoice Lines'!F684</f>
        <v>Cs. 4" Challah Kaiser 8-12pk</v>
      </c>
      <c r="F684" s="3">
        <f>'Posted Sales Invoice Lines'!G684</f>
        <v>46099</v>
      </c>
      <c r="G684" s="9">
        <f>'Posted Sales Invoice Lines'!L684</f>
        <v>28</v>
      </c>
      <c r="H684" s="8">
        <f>'Posted Sales Invoice Lines'!N684</f>
        <v>40.22</v>
      </c>
      <c r="I684" s="8">
        <f>'Posted Sales Invoice Lines'!O684</f>
        <v>1126.1600000000001</v>
      </c>
    </row>
    <row r="685" spans="1:9" x14ac:dyDescent="0.25">
      <c r="A685" s="2" t="str">
        <f>'Posted Sales Invoice Lines'!A685</f>
        <v>PS-INV194780</v>
      </c>
      <c r="B685" s="2" t="str">
        <f>'Posted Sales Invoice Lines'!B685</f>
        <v>12988</v>
      </c>
      <c r="C685" s="2" t="str">
        <f>'Posted Sales Invoice Lines'!C685</f>
        <v>Sysco Norman OK</v>
      </c>
      <c r="D685" s="2" t="str">
        <f>'Posted Sales Invoice Lines'!E685</f>
        <v>F53001</v>
      </c>
      <c r="E685" s="2" t="str">
        <f>'Posted Sales Invoice Lines'!F685</f>
        <v>Cs. 4" Brioche Bun 8-12pk</v>
      </c>
      <c r="F685" s="3">
        <f>'Posted Sales Invoice Lines'!G685</f>
        <v>46091</v>
      </c>
      <c r="G685" s="9">
        <f>'Posted Sales Invoice Lines'!L685</f>
        <v>840</v>
      </c>
      <c r="H685" s="8">
        <f>'Posted Sales Invoice Lines'!N685</f>
        <v>46</v>
      </c>
      <c r="I685" s="8">
        <f>'Posted Sales Invoice Lines'!O685</f>
        <v>38640</v>
      </c>
    </row>
    <row r="686" spans="1:9" x14ac:dyDescent="0.25">
      <c r="A686" s="2" t="str">
        <f>'Posted Sales Invoice Lines'!A686</f>
        <v>PS-INV194782</v>
      </c>
      <c r="B686" s="2" t="str">
        <f>'Posted Sales Invoice Lines'!B686</f>
        <v>12988</v>
      </c>
      <c r="C686" s="2" t="str">
        <f>'Posted Sales Invoice Lines'!C686</f>
        <v>Sysco Norman OK</v>
      </c>
      <c r="D686" s="2" t="str">
        <f>'Posted Sales Invoice Lines'!E686</f>
        <v>F53001</v>
      </c>
      <c r="E686" s="2" t="str">
        <f>'Posted Sales Invoice Lines'!F686</f>
        <v>Cs. 4" Brioche Bun 8-12pk</v>
      </c>
      <c r="F686" s="3">
        <f>'Posted Sales Invoice Lines'!G686</f>
        <v>46091</v>
      </c>
      <c r="G686" s="9">
        <f>'Posted Sales Invoice Lines'!L686</f>
        <v>840</v>
      </c>
      <c r="H686" s="8">
        <f>'Posted Sales Invoice Lines'!N686</f>
        <v>46</v>
      </c>
      <c r="I686" s="8">
        <f>'Posted Sales Invoice Lines'!O686</f>
        <v>38640</v>
      </c>
    </row>
    <row r="687" spans="1:9" x14ac:dyDescent="0.25">
      <c r="A687" s="2" t="str">
        <f>'Posted Sales Invoice Lines'!A687</f>
        <v>PS-INV194786</v>
      </c>
      <c r="B687" s="2" t="str">
        <f>'Posted Sales Invoice Lines'!B687</f>
        <v>10711</v>
      </c>
      <c r="C687" s="2" t="str">
        <f>'Posted Sales Invoice Lines'!C687</f>
        <v>Cheney Bros Statesville</v>
      </c>
      <c r="D687" s="2" t="str">
        <f>'Posted Sales Invoice Lines'!E687</f>
        <v>F530142</v>
      </c>
      <c r="E687" s="2" t="str">
        <f>'Posted Sales Invoice Lines'!F687</f>
        <v>Cs. Knot Roll 8-12pk</v>
      </c>
      <c r="F687" s="3">
        <f>'Posted Sales Invoice Lines'!G687</f>
        <v>46093</v>
      </c>
      <c r="G687" s="9">
        <f>'Posted Sales Invoice Lines'!L687</f>
        <v>224</v>
      </c>
      <c r="H687" s="8">
        <f>'Posted Sales Invoice Lines'!N687</f>
        <v>33.42</v>
      </c>
      <c r="I687" s="8">
        <f>'Posted Sales Invoice Lines'!O687</f>
        <v>7486.08</v>
      </c>
    </row>
    <row r="688" spans="1:9" x14ac:dyDescent="0.25">
      <c r="A688" s="2" t="str">
        <f>'Posted Sales Invoice Lines'!A688</f>
        <v>PS-INV194786</v>
      </c>
      <c r="B688" s="2" t="str">
        <f>'Posted Sales Invoice Lines'!B688</f>
        <v>10711</v>
      </c>
      <c r="C688" s="2" t="str">
        <f>'Posted Sales Invoice Lines'!C688</f>
        <v>Cheney Bros Statesville</v>
      </c>
      <c r="D688" s="2" t="str">
        <f>'Posted Sales Invoice Lines'!E688</f>
        <v>F540212</v>
      </c>
      <c r="E688" s="2" t="str">
        <f>'Posted Sales Invoice Lines'!F688</f>
        <v>Cs. HBH White Mountain Roll</v>
      </c>
      <c r="F688" s="3">
        <f>'Posted Sales Invoice Lines'!G688</f>
        <v>46093</v>
      </c>
      <c r="G688" s="9">
        <f>'Posted Sales Invoice Lines'!L688</f>
        <v>204</v>
      </c>
      <c r="H688" s="8">
        <f>'Posted Sales Invoice Lines'!N688</f>
        <v>26.96</v>
      </c>
      <c r="I688" s="8">
        <f>'Posted Sales Invoice Lines'!O688</f>
        <v>5499.84</v>
      </c>
    </row>
    <row r="689" spans="1:9" x14ac:dyDescent="0.25">
      <c r="A689" s="2" t="str">
        <f>'Posted Sales Invoice Lines'!A689</f>
        <v>PS-INV194786</v>
      </c>
      <c r="B689" s="2" t="str">
        <f>'Posted Sales Invoice Lines'!B689</f>
        <v>10711</v>
      </c>
      <c r="C689" s="2" t="str">
        <f>'Posted Sales Invoice Lines'!C689</f>
        <v>Cheney Bros Statesville</v>
      </c>
      <c r="D689" s="2" t="str">
        <f>'Posted Sales Invoice Lines'!E689</f>
        <v>F540222</v>
      </c>
      <c r="E689" s="2" t="str">
        <f>'Posted Sales Invoice Lines'!F689</f>
        <v>Cs. HBH Mini Twist</v>
      </c>
      <c r="F689" s="3">
        <f>'Posted Sales Invoice Lines'!G689</f>
        <v>46093</v>
      </c>
      <c r="G689" s="9">
        <f>'Posted Sales Invoice Lines'!L689</f>
        <v>44</v>
      </c>
      <c r="H689" s="8">
        <f>'Posted Sales Invoice Lines'!N689</f>
        <v>29.53</v>
      </c>
      <c r="I689" s="8">
        <f>'Posted Sales Invoice Lines'!O689</f>
        <v>1299.32</v>
      </c>
    </row>
    <row r="690" spans="1:9" x14ac:dyDescent="0.25">
      <c r="A690" s="2" t="str">
        <f>'Posted Sales Invoice Lines'!A690</f>
        <v>PS-INV194786</v>
      </c>
      <c r="B690" s="2" t="str">
        <f>'Posted Sales Invoice Lines'!B690</f>
        <v>10711</v>
      </c>
      <c r="C690" s="2" t="str">
        <f>'Posted Sales Invoice Lines'!C690</f>
        <v>Cheney Bros Statesville</v>
      </c>
      <c r="D690" s="2" t="str">
        <f>'Posted Sales Invoice Lines'!E690</f>
        <v>F53032</v>
      </c>
      <c r="E690" s="2" t="str">
        <f>'Posted Sales Invoice Lines'!F690</f>
        <v>Cs. 4" Potato Bun 8-12pk</v>
      </c>
      <c r="F690" s="3">
        <f>'Posted Sales Invoice Lines'!G690</f>
        <v>46093</v>
      </c>
      <c r="G690" s="9">
        <f>'Posted Sales Invoice Lines'!L690</f>
        <v>14</v>
      </c>
      <c r="H690" s="8">
        <f>'Posted Sales Invoice Lines'!N690</f>
        <v>40.6</v>
      </c>
      <c r="I690" s="8">
        <f>'Posted Sales Invoice Lines'!O690</f>
        <v>568.4</v>
      </c>
    </row>
    <row r="691" spans="1:9" x14ac:dyDescent="0.25">
      <c r="A691" s="2" t="str">
        <f>'Posted Sales Invoice Lines'!A691</f>
        <v>PS-INV194786</v>
      </c>
      <c r="B691" s="2" t="str">
        <f>'Posted Sales Invoice Lines'!B691</f>
        <v>10711</v>
      </c>
      <c r="C691" s="2" t="str">
        <f>'Posted Sales Invoice Lines'!C691</f>
        <v>Cheney Bros Statesville</v>
      </c>
      <c r="D691" s="2" t="str">
        <f>'Posted Sales Invoice Lines'!E691</f>
        <v>F540202</v>
      </c>
      <c r="E691" s="2" t="str">
        <f>'Posted Sales Invoice Lines'!F691</f>
        <v>Cs. HBH Wheat Roll</v>
      </c>
      <c r="F691" s="3">
        <f>'Posted Sales Invoice Lines'!G691</f>
        <v>46093</v>
      </c>
      <c r="G691" s="9">
        <f>'Posted Sales Invoice Lines'!L691</f>
        <v>8</v>
      </c>
      <c r="H691" s="8">
        <f>'Posted Sales Invoice Lines'!N691</f>
        <v>26.22</v>
      </c>
      <c r="I691" s="8">
        <f>'Posted Sales Invoice Lines'!O691</f>
        <v>209.76</v>
      </c>
    </row>
    <row r="692" spans="1:9" x14ac:dyDescent="0.25">
      <c r="A692" s="2" t="str">
        <f>'Posted Sales Invoice Lines'!A692</f>
        <v>PS-INV194997</v>
      </c>
      <c r="B692" s="2" t="str">
        <f>'Posted Sales Invoice Lines'!B692</f>
        <v>12988</v>
      </c>
      <c r="C692" s="2" t="str">
        <f>'Posted Sales Invoice Lines'!C692</f>
        <v>Sysco Norman OK</v>
      </c>
      <c r="D692" s="2" t="str">
        <f>'Posted Sales Invoice Lines'!E692</f>
        <v>F53001</v>
      </c>
      <c r="E692" s="2" t="str">
        <f>'Posted Sales Invoice Lines'!F692</f>
        <v>Cs. 4" Brioche Bun 8-12pk</v>
      </c>
      <c r="F692" s="3">
        <f>'Posted Sales Invoice Lines'!G692</f>
        <v>46090</v>
      </c>
      <c r="G692" s="9">
        <f>'Posted Sales Invoice Lines'!L692</f>
        <v>406</v>
      </c>
      <c r="H692" s="8">
        <f>'Posted Sales Invoice Lines'!N692</f>
        <v>46</v>
      </c>
      <c r="I692" s="8">
        <f>'Posted Sales Invoice Lines'!O692</f>
        <v>18676</v>
      </c>
    </row>
    <row r="693" spans="1:9" x14ac:dyDescent="0.25">
      <c r="A693" s="2" t="str">
        <f>'Posted Sales Invoice Lines'!A693</f>
        <v>PS-INV194997</v>
      </c>
      <c r="B693" s="2" t="str">
        <f>'Posted Sales Invoice Lines'!B693</f>
        <v>12988</v>
      </c>
      <c r="C693" s="2" t="str">
        <f>'Posted Sales Invoice Lines'!C693</f>
        <v>Sysco Norman OK</v>
      </c>
      <c r="D693" s="2" t="str">
        <f>'Posted Sales Invoice Lines'!E693</f>
        <v>F530491</v>
      </c>
      <c r="E693" s="2" t="str">
        <f>'Posted Sales Invoice Lines'!F693</f>
        <v>Cs. 4.5 Brioche Bun 6-12pk</v>
      </c>
      <c r="F693" s="3">
        <f>'Posted Sales Invoice Lines'!G693</f>
        <v>46090</v>
      </c>
      <c r="G693" s="9">
        <f>'Posted Sales Invoice Lines'!L693</f>
        <v>294</v>
      </c>
      <c r="H693" s="8">
        <f>'Posted Sales Invoice Lines'!N693</f>
        <v>40</v>
      </c>
      <c r="I693" s="8">
        <f>'Posted Sales Invoice Lines'!O693</f>
        <v>11760</v>
      </c>
    </row>
    <row r="694" spans="1:9" x14ac:dyDescent="0.25">
      <c r="A694" s="2" t="str">
        <f>'Posted Sales Invoice Lines'!A694</f>
        <v>PS-INV194997</v>
      </c>
      <c r="B694" s="2" t="str">
        <f>'Posted Sales Invoice Lines'!B694</f>
        <v>12988</v>
      </c>
      <c r="C694" s="2" t="str">
        <f>'Posted Sales Invoice Lines'!C694</f>
        <v>Sysco Norman OK</v>
      </c>
      <c r="D694" s="2" t="str">
        <f>'Posted Sales Invoice Lines'!E694</f>
        <v>F53106</v>
      </c>
      <c r="E694" s="2" t="str">
        <f>'Posted Sales Invoice Lines'!F694</f>
        <v>Cs. Large Hot Dog 12-6pk</v>
      </c>
      <c r="F694" s="3">
        <f>'Posted Sales Invoice Lines'!G694</f>
        <v>46090</v>
      </c>
      <c r="G694" s="9">
        <f>'Posted Sales Invoice Lines'!L694</f>
        <v>140</v>
      </c>
      <c r="H694" s="8">
        <f>'Posted Sales Invoice Lines'!N694</f>
        <v>38</v>
      </c>
      <c r="I694" s="8">
        <f>'Posted Sales Invoice Lines'!O694</f>
        <v>5320</v>
      </c>
    </row>
    <row r="695" spans="1:9" x14ac:dyDescent="0.25">
      <c r="A695" s="2" t="str">
        <f>'Posted Sales Invoice Lines'!A695</f>
        <v>PS-INV194999</v>
      </c>
      <c r="B695" s="2" t="str">
        <f>'Posted Sales Invoice Lines'!B695</f>
        <v>20334</v>
      </c>
      <c r="C695" s="2" t="str">
        <f>'Posted Sales Invoice Lines'!C695</f>
        <v>Sysco Atlanta</v>
      </c>
      <c r="D695" s="2" t="str">
        <f>'Posted Sales Invoice Lines'!E695</f>
        <v>F53116</v>
      </c>
      <c r="E695" s="2" t="str">
        <f>'Posted Sales Invoice Lines'!F695</f>
        <v>Cs. 7" French Hinged 12</v>
      </c>
      <c r="F695" s="3">
        <f>'Posted Sales Invoice Lines'!G695</f>
        <v>46093</v>
      </c>
      <c r="G695" s="9">
        <f>'Posted Sales Invoice Lines'!L695</f>
        <v>56</v>
      </c>
      <c r="H695" s="8">
        <f>'Posted Sales Invoice Lines'!N695</f>
        <v>31.42</v>
      </c>
      <c r="I695" s="8">
        <f>'Posted Sales Invoice Lines'!O695</f>
        <v>1759.52</v>
      </c>
    </row>
    <row r="696" spans="1:9" x14ac:dyDescent="0.25">
      <c r="A696" s="2" t="str">
        <f>'Posted Sales Invoice Lines'!A696</f>
        <v>PS-INV194999</v>
      </c>
      <c r="B696" s="2" t="str">
        <f>'Posted Sales Invoice Lines'!B696</f>
        <v>20334</v>
      </c>
      <c r="C696" s="2" t="str">
        <f>'Posted Sales Invoice Lines'!C696</f>
        <v>Sysco Atlanta</v>
      </c>
      <c r="D696" s="2" t="str">
        <f>'Posted Sales Invoice Lines'!E696</f>
        <v>F53087</v>
      </c>
      <c r="E696" s="2" t="str">
        <f>'Posted Sales Invoice Lines'!F696</f>
        <v>Cs. 3.5" Challah Bun 8-12 pk</v>
      </c>
      <c r="F696" s="3">
        <f>'Posted Sales Invoice Lines'!G696</f>
        <v>46093</v>
      </c>
      <c r="G696" s="9">
        <f>'Posted Sales Invoice Lines'!L696</f>
        <v>112</v>
      </c>
      <c r="H696" s="8">
        <f>'Posted Sales Invoice Lines'!N696</f>
        <v>34</v>
      </c>
      <c r="I696" s="8">
        <f>'Posted Sales Invoice Lines'!O696</f>
        <v>3808</v>
      </c>
    </row>
    <row r="697" spans="1:9" x14ac:dyDescent="0.25">
      <c r="A697" s="2" t="str">
        <f>'Posted Sales Invoice Lines'!A697</f>
        <v>PS-INV194999</v>
      </c>
      <c r="B697" s="2" t="str">
        <f>'Posted Sales Invoice Lines'!B697</f>
        <v>20334</v>
      </c>
      <c r="C697" s="2" t="str">
        <f>'Posted Sales Invoice Lines'!C697</f>
        <v>Sysco Atlanta</v>
      </c>
      <c r="D697" s="2" t="str">
        <f>'Posted Sales Invoice Lines'!E697</f>
        <v>F51024</v>
      </c>
      <c r="E697" s="2" t="str">
        <f>'Posted Sales Invoice Lines'!F697</f>
        <v>Cs. Marble Rye 5/8" 8lvs</v>
      </c>
      <c r="F697" s="3">
        <f>'Posted Sales Invoice Lines'!G697</f>
        <v>46093</v>
      </c>
      <c r="G697" s="9">
        <f>'Posted Sales Invoice Lines'!L697</f>
        <v>12</v>
      </c>
      <c r="H697" s="8">
        <f>'Posted Sales Invoice Lines'!N697</f>
        <v>43.26</v>
      </c>
      <c r="I697" s="8">
        <f>'Posted Sales Invoice Lines'!O697</f>
        <v>519.12</v>
      </c>
    </row>
    <row r="698" spans="1:9" x14ac:dyDescent="0.25">
      <c r="A698" s="2" t="str">
        <f>'Posted Sales Invoice Lines'!A698</f>
        <v>PS-INV194999</v>
      </c>
      <c r="B698" s="2" t="str">
        <f>'Posted Sales Invoice Lines'!B698</f>
        <v>20334</v>
      </c>
      <c r="C698" s="2" t="str">
        <f>'Posted Sales Invoice Lines'!C698</f>
        <v>Sysco Atlanta</v>
      </c>
      <c r="D698" s="2" t="str">
        <f>'Posted Sales Invoice Lines'!E698</f>
        <v>F51127</v>
      </c>
      <c r="E698" s="2" t="str">
        <f>'Posted Sales Invoice Lines'!F698</f>
        <v>Cs. Challah 3-Braid 8</v>
      </c>
      <c r="F698" s="3">
        <f>'Posted Sales Invoice Lines'!G698</f>
        <v>46093</v>
      </c>
      <c r="G698" s="9">
        <f>'Posted Sales Invoice Lines'!L698</f>
        <v>20</v>
      </c>
      <c r="H698" s="8">
        <f>'Posted Sales Invoice Lines'!N698</f>
        <v>43.26</v>
      </c>
      <c r="I698" s="8">
        <f>'Posted Sales Invoice Lines'!O698</f>
        <v>865.2</v>
      </c>
    </row>
    <row r="699" spans="1:9" x14ac:dyDescent="0.25">
      <c r="A699" s="2" t="str">
        <f>'Posted Sales Invoice Lines'!A699</f>
        <v>PS-INV194999</v>
      </c>
      <c r="B699" s="2" t="str">
        <f>'Posted Sales Invoice Lines'!B699</f>
        <v>20334</v>
      </c>
      <c r="C699" s="2" t="str">
        <f>'Posted Sales Invoice Lines'!C699</f>
        <v>Sysco Atlanta</v>
      </c>
      <c r="D699" s="2" t="str">
        <f>'Posted Sales Invoice Lines'!E699</f>
        <v>F53001</v>
      </c>
      <c r="E699" s="2" t="str">
        <f>'Posted Sales Invoice Lines'!F699</f>
        <v>Cs. 4" Brioche Bun 8-12pk</v>
      </c>
      <c r="F699" s="3">
        <f>'Posted Sales Invoice Lines'!G699</f>
        <v>46093</v>
      </c>
      <c r="G699" s="9">
        <f>'Posted Sales Invoice Lines'!L699</f>
        <v>112</v>
      </c>
      <c r="H699" s="8">
        <f>'Posted Sales Invoice Lines'!N699</f>
        <v>43.36</v>
      </c>
      <c r="I699" s="8">
        <f>'Posted Sales Invoice Lines'!O699</f>
        <v>4856.32</v>
      </c>
    </row>
    <row r="700" spans="1:9" x14ac:dyDescent="0.25">
      <c r="A700" s="2" t="str">
        <f>'Posted Sales Invoice Lines'!A700</f>
        <v>PS-INV194999</v>
      </c>
      <c r="B700" s="2" t="str">
        <f>'Posted Sales Invoice Lines'!B700</f>
        <v>20334</v>
      </c>
      <c r="C700" s="2" t="str">
        <f>'Posted Sales Invoice Lines'!C700</f>
        <v>Sysco Atlanta</v>
      </c>
      <c r="D700" s="2" t="str">
        <f>'Posted Sales Invoice Lines'!E700</f>
        <v>F51157</v>
      </c>
      <c r="E700" s="2" t="str">
        <f>'Posted Sales Invoice Lines'!F700</f>
        <v>Cs. Challah Hearth 7/8" 8lvs</v>
      </c>
      <c r="F700" s="3">
        <f>'Posted Sales Invoice Lines'!G700</f>
        <v>46093</v>
      </c>
      <c r="G700" s="9">
        <f>'Posted Sales Invoice Lines'!L700</f>
        <v>12</v>
      </c>
      <c r="H700" s="8">
        <f>'Posted Sales Invoice Lines'!N700</f>
        <v>42.02</v>
      </c>
      <c r="I700" s="8">
        <f>'Posted Sales Invoice Lines'!O700</f>
        <v>504.24</v>
      </c>
    </row>
    <row r="701" spans="1:9" x14ac:dyDescent="0.25">
      <c r="A701" s="2" t="str">
        <f>'Posted Sales Invoice Lines'!A701</f>
        <v>PS-INV194999</v>
      </c>
      <c r="B701" s="2" t="str">
        <f>'Posted Sales Invoice Lines'!B701</f>
        <v>20334</v>
      </c>
      <c r="C701" s="2" t="str">
        <f>'Posted Sales Invoice Lines'!C701</f>
        <v>Sysco Atlanta</v>
      </c>
      <c r="D701" s="2" t="str">
        <f>'Posted Sales Invoice Lines'!E701</f>
        <v>F53140</v>
      </c>
      <c r="E701" s="2" t="str">
        <f>'Posted Sales Invoice Lines'!F701</f>
        <v>Cs. Knuckies 8" White 12-6pk</v>
      </c>
      <c r="F701" s="3">
        <f>'Posted Sales Invoice Lines'!G701</f>
        <v>46093</v>
      </c>
      <c r="G701" s="9">
        <f>'Posted Sales Invoice Lines'!L701</f>
        <v>59</v>
      </c>
      <c r="H701" s="8">
        <f>'Posted Sales Invoice Lines'!N701</f>
        <v>41</v>
      </c>
      <c r="I701" s="8">
        <f>'Posted Sales Invoice Lines'!O701</f>
        <v>2419</v>
      </c>
    </row>
    <row r="702" spans="1:9" x14ac:dyDescent="0.25">
      <c r="A702" s="2" t="str">
        <f>'Posted Sales Invoice Lines'!A702</f>
        <v>PS-INV195158</v>
      </c>
      <c r="B702" s="2" t="str">
        <f>'Posted Sales Invoice Lines'!B702</f>
        <v>Z10700</v>
      </c>
      <c r="C702" s="2" t="str">
        <f>'Posted Sales Invoice Lines'!C702</f>
        <v>Sysco-Charlotte</v>
      </c>
      <c r="D702" s="2" t="str">
        <f>'Posted Sales Invoice Lines'!E702</f>
        <v>F51384</v>
      </c>
      <c r="E702" s="2" t="str">
        <f>'Posted Sales Invoice Lines'!F702</f>
        <v>Cs. Challah Pullman 7/8"</v>
      </c>
      <c r="F702" s="3">
        <f>'Posted Sales Invoice Lines'!G702</f>
        <v>46093</v>
      </c>
      <c r="G702" s="9">
        <f>'Posted Sales Invoice Lines'!L702</f>
        <v>100</v>
      </c>
      <c r="H702" s="8">
        <f>'Posted Sales Invoice Lines'!N702</f>
        <v>51.38</v>
      </c>
      <c r="I702" s="8">
        <f>'Posted Sales Invoice Lines'!O702</f>
        <v>5138</v>
      </c>
    </row>
    <row r="703" spans="1:9" x14ac:dyDescent="0.25">
      <c r="A703" s="2" t="str">
        <f>'Posted Sales Invoice Lines'!A703</f>
        <v>PS-INV195158</v>
      </c>
      <c r="B703" s="2" t="str">
        <f>'Posted Sales Invoice Lines'!B703</f>
        <v>Z10700</v>
      </c>
      <c r="C703" s="2" t="str">
        <f>'Posted Sales Invoice Lines'!C703</f>
        <v>Sysco-Charlotte</v>
      </c>
      <c r="D703" s="2" t="str">
        <f>'Posted Sales Invoice Lines'!E703</f>
        <v>F51044</v>
      </c>
      <c r="E703" s="2" t="str">
        <f>'Posted Sales Invoice Lines'!F703</f>
        <v>Cs. Vienna 5/8" 8lvs</v>
      </c>
      <c r="F703" s="3">
        <f>'Posted Sales Invoice Lines'!G703</f>
        <v>46093</v>
      </c>
      <c r="G703" s="9">
        <f>'Posted Sales Invoice Lines'!L703</f>
        <v>72</v>
      </c>
      <c r="H703" s="8">
        <f>'Posted Sales Invoice Lines'!N703</f>
        <v>28.5</v>
      </c>
      <c r="I703" s="8">
        <f>'Posted Sales Invoice Lines'!O703</f>
        <v>2052</v>
      </c>
    </row>
    <row r="704" spans="1:9" x14ac:dyDescent="0.25">
      <c r="A704" s="2" t="str">
        <f>'Posted Sales Invoice Lines'!A704</f>
        <v>PS-INV195158</v>
      </c>
      <c r="B704" s="2" t="str">
        <f>'Posted Sales Invoice Lines'!B704</f>
        <v>Z10700</v>
      </c>
      <c r="C704" s="2" t="str">
        <f>'Posted Sales Invoice Lines'!C704</f>
        <v>Sysco-Charlotte</v>
      </c>
      <c r="D704" s="2" t="str">
        <f>'Posted Sales Invoice Lines'!E704</f>
        <v>F52544</v>
      </c>
      <c r="E704" s="2" t="str">
        <f>'Posted Sales Invoice Lines'!F704</f>
        <v>Cs. Sour Dough Batard 5/8" 8lvs</v>
      </c>
      <c r="F704" s="3">
        <f>'Posted Sales Invoice Lines'!G704</f>
        <v>46093</v>
      </c>
      <c r="G704" s="9">
        <f>'Posted Sales Invoice Lines'!L704</f>
        <v>300</v>
      </c>
      <c r="H704" s="8">
        <f>'Posted Sales Invoice Lines'!N704</f>
        <v>61.02</v>
      </c>
      <c r="I704" s="8">
        <f>'Posted Sales Invoice Lines'!O704</f>
        <v>18306</v>
      </c>
    </row>
    <row r="705" spans="1:9" x14ac:dyDescent="0.25">
      <c r="A705" s="2" t="str">
        <f>'Posted Sales Invoice Lines'!A705</f>
        <v>PS-INV195548</v>
      </c>
      <c r="B705" s="2" t="str">
        <f>'Posted Sales Invoice Lines'!B705</f>
        <v>13128</v>
      </c>
      <c r="C705" s="2" t="str">
        <f>'Posted Sales Invoice Lines'!C705</f>
        <v>Gordon Food Service - Shepherdsville</v>
      </c>
      <c r="D705" s="2" t="str">
        <f>'Posted Sales Invoice Lines'!E705</f>
        <v>F51084</v>
      </c>
      <c r="E705" s="2" t="str">
        <f>'Posted Sales Invoice Lines'!F705</f>
        <v>Cs. Wheatberry Hearth</v>
      </c>
      <c r="F705" s="3">
        <f>'Posted Sales Invoice Lines'!G705</f>
        <v>46097</v>
      </c>
      <c r="G705" s="9">
        <f>'Posted Sales Invoice Lines'!L705</f>
        <v>80</v>
      </c>
      <c r="H705" s="8">
        <f>'Posted Sales Invoice Lines'!N705</f>
        <v>33.299999999999997</v>
      </c>
      <c r="I705" s="8">
        <f>'Posted Sales Invoice Lines'!O705</f>
        <v>2664</v>
      </c>
    </row>
    <row r="706" spans="1:9" x14ac:dyDescent="0.25">
      <c r="A706" s="2" t="str">
        <f>'Posted Sales Invoice Lines'!A706</f>
        <v>PS-INV195548</v>
      </c>
      <c r="B706" s="2" t="str">
        <f>'Posted Sales Invoice Lines'!B706</f>
        <v>13128</v>
      </c>
      <c r="C706" s="2" t="str">
        <f>'Posted Sales Invoice Lines'!C706</f>
        <v>Gordon Food Service - Shepherdsville</v>
      </c>
      <c r="D706" s="2" t="str">
        <f>'Posted Sales Invoice Lines'!E706</f>
        <v>F53001</v>
      </c>
      <c r="E706" s="2" t="str">
        <f>'Posted Sales Invoice Lines'!F706</f>
        <v>Cs. 4" Brioche Bun 8-12pk</v>
      </c>
      <c r="F706" s="3">
        <f>'Posted Sales Invoice Lines'!G706</f>
        <v>46097</v>
      </c>
      <c r="G706" s="9">
        <f>'Posted Sales Invoice Lines'!L706</f>
        <v>332</v>
      </c>
      <c r="H706" s="8">
        <f>'Posted Sales Invoice Lines'!N706</f>
        <v>36.82</v>
      </c>
      <c r="I706" s="8">
        <f>'Posted Sales Invoice Lines'!O706</f>
        <v>12224.24</v>
      </c>
    </row>
    <row r="707" spans="1:9" x14ac:dyDescent="0.25">
      <c r="A707" s="2" t="str">
        <f>'Posted Sales Invoice Lines'!A707</f>
        <v>PS-INV195548</v>
      </c>
      <c r="B707" s="2" t="str">
        <f>'Posted Sales Invoice Lines'!B707</f>
        <v>13128</v>
      </c>
      <c r="C707" s="2" t="str">
        <f>'Posted Sales Invoice Lines'!C707</f>
        <v>Gordon Food Service - Shepherdsville</v>
      </c>
      <c r="D707" s="2" t="str">
        <f>'Posted Sales Invoice Lines'!E707</f>
        <v>F51114</v>
      </c>
      <c r="E707" s="2" t="str">
        <f>'Posted Sales Invoice Lines'!F707</f>
        <v>Cs. Old Fashioned Hearth 5/8" 8lvs</v>
      </c>
      <c r="F707" s="3">
        <f>'Posted Sales Invoice Lines'!G707</f>
        <v>46097</v>
      </c>
      <c r="G707" s="9">
        <f>'Posted Sales Invoice Lines'!L707</f>
        <v>112</v>
      </c>
      <c r="H707" s="8">
        <f>'Posted Sales Invoice Lines'!N707</f>
        <v>39.700000000000003</v>
      </c>
      <c r="I707" s="8">
        <f>'Posted Sales Invoice Lines'!O707</f>
        <v>4446.3999999999996</v>
      </c>
    </row>
    <row r="708" spans="1:9" x14ac:dyDescent="0.25">
      <c r="A708" s="2" t="str">
        <f>'Posted Sales Invoice Lines'!A708</f>
        <v>PS-INV195548</v>
      </c>
      <c r="B708" s="2" t="str">
        <f>'Posted Sales Invoice Lines'!B708</f>
        <v>13128</v>
      </c>
      <c r="C708" s="2" t="str">
        <f>'Posted Sales Invoice Lines'!C708</f>
        <v>Gordon Food Service - Shepherdsville</v>
      </c>
      <c r="D708" s="2" t="str">
        <f>'Posted Sales Invoice Lines'!E708</f>
        <v>F56251</v>
      </c>
      <c r="E708" s="2" t="str">
        <f>'Posted Sales Invoice Lines'!F708</f>
        <v>Cs. Challah Sliders Sliced 18-12pks</v>
      </c>
      <c r="F708" s="3">
        <f>'Posted Sales Invoice Lines'!G708</f>
        <v>46097</v>
      </c>
      <c r="G708" s="9">
        <f>'Posted Sales Invoice Lines'!L708</f>
        <v>304</v>
      </c>
      <c r="H708" s="8">
        <f>'Posted Sales Invoice Lines'!N708</f>
        <v>39.700000000000003</v>
      </c>
      <c r="I708" s="8">
        <f>'Posted Sales Invoice Lines'!O708</f>
        <v>12068.8</v>
      </c>
    </row>
    <row r="709" spans="1:9" x14ac:dyDescent="0.25">
      <c r="A709" s="2" t="str">
        <f>'Posted Sales Invoice Lines'!A709</f>
        <v>PS-INV195560</v>
      </c>
      <c r="B709" s="2" t="str">
        <f>'Posted Sales Invoice Lines'!B709</f>
        <v>10540-03</v>
      </c>
      <c r="C709" s="2" t="str">
        <f>'Posted Sales Invoice Lines'!C709</f>
        <v>PFG Louisville TN</v>
      </c>
      <c r="D709" s="2" t="str">
        <f>'Posted Sales Invoice Lines'!E709</f>
        <v>F53001</v>
      </c>
      <c r="E709" s="2" t="str">
        <f>'Posted Sales Invoice Lines'!F709</f>
        <v>Cs. 4" Brioche Bun 8-12pk</v>
      </c>
      <c r="F709" s="3">
        <f>'Posted Sales Invoice Lines'!G709</f>
        <v>46093</v>
      </c>
      <c r="G709" s="9">
        <f>'Posted Sales Invoice Lines'!L709</f>
        <v>0</v>
      </c>
      <c r="H709" s="8">
        <f>'Posted Sales Invoice Lines'!N709</f>
        <v>42.6</v>
      </c>
      <c r="I709" s="8">
        <f>'Posted Sales Invoice Lines'!O709</f>
        <v>0</v>
      </c>
    </row>
    <row r="710" spans="1:9" x14ac:dyDescent="0.25">
      <c r="A710" s="2" t="str">
        <f>'Posted Sales Invoice Lines'!A710</f>
        <v>PS-INV195560</v>
      </c>
      <c r="B710" s="2" t="str">
        <f>'Posted Sales Invoice Lines'!B710</f>
        <v>10540-03</v>
      </c>
      <c r="C710" s="2" t="str">
        <f>'Posted Sales Invoice Lines'!C710</f>
        <v>PFG Louisville TN</v>
      </c>
      <c r="D710" s="2" t="str">
        <f>'Posted Sales Invoice Lines'!E710</f>
        <v>F530501</v>
      </c>
      <c r="E710" s="2" t="str">
        <f>'Posted Sales Invoice Lines'!F710</f>
        <v>Cs. 4.5" Challah Kaiser 6-12pk</v>
      </c>
      <c r="F710" s="3">
        <f>'Posted Sales Invoice Lines'!G710</f>
        <v>46093</v>
      </c>
      <c r="G710" s="9">
        <f>'Posted Sales Invoice Lines'!L710</f>
        <v>28</v>
      </c>
      <c r="H710" s="8">
        <f>'Posted Sales Invoice Lines'!N710</f>
        <v>38.299999999999997</v>
      </c>
      <c r="I710" s="8">
        <f>'Posted Sales Invoice Lines'!O710</f>
        <v>1072.4000000000001</v>
      </c>
    </row>
    <row r="711" spans="1:9" x14ac:dyDescent="0.25">
      <c r="A711" s="2" t="str">
        <f>'Posted Sales Invoice Lines'!A711</f>
        <v>PS-INV195560</v>
      </c>
      <c r="B711" s="2" t="str">
        <f>'Posted Sales Invoice Lines'!B711</f>
        <v>10540-03</v>
      </c>
      <c r="C711" s="2" t="str">
        <f>'Posted Sales Invoice Lines'!C711</f>
        <v>PFG Louisville TN</v>
      </c>
      <c r="D711" s="2" t="str">
        <f>'Posted Sales Invoice Lines'!E711</f>
        <v>F51137</v>
      </c>
      <c r="E711" s="2" t="str">
        <f>'Posted Sales Invoice Lines'!F711</f>
        <v>Cs. Texas Toast 3/4" 12lvs</v>
      </c>
      <c r="F711" s="3">
        <f>'Posted Sales Invoice Lines'!G711</f>
        <v>46093</v>
      </c>
      <c r="G711" s="9">
        <f>'Posted Sales Invoice Lines'!L711</f>
        <v>0</v>
      </c>
      <c r="H711" s="8">
        <f>'Posted Sales Invoice Lines'!N711</f>
        <v>40.619999999999997</v>
      </c>
      <c r="I711" s="8">
        <f>'Posted Sales Invoice Lines'!O711</f>
        <v>0</v>
      </c>
    </row>
    <row r="712" spans="1:9" x14ac:dyDescent="0.25">
      <c r="A712" s="2" t="str">
        <f>'Posted Sales Invoice Lines'!A712</f>
        <v>PS-INV195560</v>
      </c>
      <c r="B712" s="2" t="str">
        <f>'Posted Sales Invoice Lines'!B712</f>
        <v>10540-03</v>
      </c>
      <c r="C712" s="2" t="str">
        <f>'Posted Sales Invoice Lines'!C712</f>
        <v>PFG Louisville TN</v>
      </c>
      <c r="D712" s="2" t="str">
        <f>'Posted Sales Invoice Lines'!E712</f>
        <v>F53091</v>
      </c>
      <c r="E712" s="2" t="str">
        <f>'Posted Sales Invoice Lines'!F712</f>
        <v>Cs. 6" Hoagie Slab Cut</v>
      </c>
      <c r="F712" s="3">
        <f>'Posted Sales Invoice Lines'!G712</f>
        <v>46093</v>
      </c>
      <c r="G712" s="9">
        <f>'Posted Sales Invoice Lines'!L712</f>
        <v>48</v>
      </c>
      <c r="H712" s="8">
        <f>'Posted Sales Invoice Lines'!N712</f>
        <v>35</v>
      </c>
      <c r="I712" s="8">
        <f>'Posted Sales Invoice Lines'!O712</f>
        <v>1680</v>
      </c>
    </row>
    <row r="713" spans="1:9" x14ac:dyDescent="0.25">
      <c r="A713" s="2" t="str">
        <f>'Posted Sales Invoice Lines'!A713</f>
        <v>PS-INV195560</v>
      </c>
      <c r="B713" s="2" t="str">
        <f>'Posted Sales Invoice Lines'!B713</f>
        <v>10540-03</v>
      </c>
      <c r="C713" s="2" t="str">
        <f>'Posted Sales Invoice Lines'!C713</f>
        <v>PFG Louisville TN</v>
      </c>
      <c r="D713" s="2" t="str">
        <f>'Posted Sales Invoice Lines'!E713</f>
        <v>F530421</v>
      </c>
      <c r="E713" s="2" t="str">
        <f>'Posted Sales Invoice Lines'!F713</f>
        <v>Cs. 4.5" Challah Buns 6-12pk.</v>
      </c>
      <c r="F713" s="3">
        <f>'Posted Sales Invoice Lines'!G713</f>
        <v>46093</v>
      </c>
      <c r="G713" s="9">
        <f>'Posted Sales Invoice Lines'!L713</f>
        <v>84</v>
      </c>
      <c r="H713" s="8">
        <f>'Posted Sales Invoice Lines'!N713</f>
        <v>38.299999999999997</v>
      </c>
      <c r="I713" s="8">
        <f>'Posted Sales Invoice Lines'!O713</f>
        <v>3217.2</v>
      </c>
    </row>
    <row r="714" spans="1:9" x14ac:dyDescent="0.25">
      <c r="A714" s="2" t="str">
        <f>'Posted Sales Invoice Lines'!A714</f>
        <v>PS-INV195560</v>
      </c>
      <c r="B714" s="2" t="str">
        <f>'Posted Sales Invoice Lines'!B714</f>
        <v>10540-03</v>
      </c>
      <c r="C714" s="2" t="str">
        <f>'Posted Sales Invoice Lines'!C714</f>
        <v>PFG Louisville TN</v>
      </c>
      <c r="D714" s="2" t="str">
        <f>'Posted Sales Invoice Lines'!E714</f>
        <v>F53094</v>
      </c>
      <c r="E714" s="2" t="str">
        <f>'Posted Sales Invoice Lines'!F714</f>
        <v>Cs. 6" Italian 12-6pks</v>
      </c>
      <c r="F714" s="3">
        <f>'Posted Sales Invoice Lines'!G714</f>
        <v>46093</v>
      </c>
      <c r="G714" s="9">
        <f>'Posted Sales Invoice Lines'!L714</f>
        <v>140</v>
      </c>
      <c r="H714" s="8">
        <f>'Posted Sales Invoice Lines'!N714</f>
        <v>35</v>
      </c>
      <c r="I714" s="8">
        <f>'Posted Sales Invoice Lines'!O714</f>
        <v>4900</v>
      </c>
    </row>
    <row r="715" spans="1:9" x14ac:dyDescent="0.25">
      <c r="A715" s="2" t="str">
        <f>'Posted Sales Invoice Lines'!A715</f>
        <v>PS-INV195560</v>
      </c>
      <c r="B715" s="2" t="str">
        <f>'Posted Sales Invoice Lines'!B715</f>
        <v>10540-03</v>
      </c>
      <c r="C715" s="2" t="str">
        <f>'Posted Sales Invoice Lines'!C715</f>
        <v>PFG Louisville TN</v>
      </c>
      <c r="D715" s="2" t="str">
        <f>'Posted Sales Invoice Lines'!E715</f>
        <v>F53072</v>
      </c>
      <c r="E715" s="2" t="str">
        <f>'Posted Sales Invoice Lines'!F715</f>
        <v>Cs. 5" Challah Bun 8-8pk</v>
      </c>
      <c r="F715" s="3">
        <f>'Posted Sales Invoice Lines'!G715</f>
        <v>46093</v>
      </c>
      <c r="G715" s="9">
        <f>'Posted Sales Invoice Lines'!L715</f>
        <v>12</v>
      </c>
      <c r="H715" s="8">
        <f>'Posted Sales Invoice Lines'!N715</f>
        <v>38.07</v>
      </c>
      <c r="I715" s="8">
        <f>'Posted Sales Invoice Lines'!O715</f>
        <v>456.84</v>
      </c>
    </row>
    <row r="716" spans="1:9" x14ac:dyDescent="0.25">
      <c r="A716" s="2" t="str">
        <f>'Posted Sales Invoice Lines'!A716</f>
        <v>PS-INV195560</v>
      </c>
      <c r="B716" s="2" t="str">
        <f>'Posted Sales Invoice Lines'!B716</f>
        <v>10540-03</v>
      </c>
      <c r="C716" s="2" t="str">
        <f>'Posted Sales Invoice Lines'!C716</f>
        <v>PFG Louisville TN</v>
      </c>
      <c r="D716" s="2" t="str">
        <f>'Posted Sales Invoice Lines'!E716</f>
        <v>F53100</v>
      </c>
      <c r="E716" s="2" t="str">
        <f>'Posted Sales Invoice Lines'!F716</f>
        <v>Cs. Hot Dog pl/sl 12-8pk</v>
      </c>
      <c r="F716" s="3">
        <f>'Posted Sales Invoice Lines'!G716</f>
        <v>46093</v>
      </c>
      <c r="G716" s="9">
        <f>'Posted Sales Invoice Lines'!L716</f>
        <v>10</v>
      </c>
      <c r="H716" s="8">
        <f>'Posted Sales Invoice Lines'!N716</f>
        <v>36.18</v>
      </c>
      <c r="I716" s="8">
        <f>'Posted Sales Invoice Lines'!O716</f>
        <v>361.8</v>
      </c>
    </row>
    <row r="717" spans="1:9" x14ac:dyDescent="0.25">
      <c r="A717" s="2" t="str">
        <f>'Posted Sales Invoice Lines'!A717</f>
        <v>PS-INV195560</v>
      </c>
      <c r="B717" s="2" t="str">
        <f>'Posted Sales Invoice Lines'!B717</f>
        <v>10540-03</v>
      </c>
      <c r="C717" s="2" t="str">
        <f>'Posted Sales Invoice Lines'!C717</f>
        <v>PFG Louisville TN</v>
      </c>
      <c r="D717" s="2" t="str">
        <f>'Posted Sales Invoice Lines'!E717</f>
        <v>F53106</v>
      </c>
      <c r="E717" s="2" t="str">
        <f>'Posted Sales Invoice Lines'!F717</f>
        <v>Cs. Large Hot Dog 12-6pk</v>
      </c>
      <c r="F717" s="3">
        <f>'Posted Sales Invoice Lines'!G717</f>
        <v>46093</v>
      </c>
      <c r="G717" s="9">
        <f>'Posted Sales Invoice Lines'!L717</f>
        <v>8</v>
      </c>
      <c r="H717" s="8">
        <f>'Posted Sales Invoice Lines'!N717</f>
        <v>36.07</v>
      </c>
      <c r="I717" s="8">
        <f>'Posted Sales Invoice Lines'!O717</f>
        <v>288.56</v>
      </c>
    </row>
    <row r="718" spans="1:9" x14ac:dyDescent="0.25">
      <c r="A718" s="2" t="str">
        <f>'Posted Sales Invoice Lines'!A718</f>
        <v>PS-INV195560</v>
      </c>
      <c r="B718" s="2" t="str">
        <f>'Posted Sales Invoice Lines'!B718</f>
        <v>10540-03</v>
      </c>
      <c r="C718" s="2" t="str">
        <f>'Posted Sales Invoice Lines'!C718</f>
        <v>PFG Louisville TN</v>
      </c>
      <c r="D718" s="2" t="str">
        <f>'Posted Sales Invoice Lines'!E718</f>
        <v>F51034</v>
      </c>
      <c r="E718" s="2" t="str">
        <f>'Posted Sales Invoice Lines'!F718</f>
        <v>Cs. Sour Dough Hearth 5/8" 8lvs</v>
      </c>
      <c r="F718" s="3">
        <f>'Posted Sales Invoice Lines'!G718</f>
        <v>46093</v>
      </c>
      <c r="G718" s="9">
        <f>'Posted Sales Invoice Lines'!L718</f>
        <v>128</v>
      </c>
      <c r="H718" s="8">
        <f>'Posted Sales Invoice Lines'!N718</f>
        <v>43.82</v>
      </c>
      <c r="I718" s="8">
        <f>'Posted Sales Invoice Lines'!O718</f>
        <v>5608.96</v>
      </c>
    </row>
    <row r="719" spans="1:9" x14ac:dyDescent="0.25">
      <c r="A719" s="2" t="str">
        <f>'Posted Sales Invoice Lines'!A719</f>
        <v>PS-INV195560</v>
      </c>
      <c r="B719" s="2" t="str">
        <f>'Posted Sales Invoice Lines'!B719</f>
        <v>10540-03</v>
      </c>
      <c r="C719" s="2" t="str">
        <f>'Posted Sales Invoice Lines'!C719</f>
        <v>PFG Louisville TN</v>
      </c>
      <c r="D719" s="2" t="str">
        <f>'Posted Sales Invoice Lines'!E719</f>
        <v>F53180</v>
      </c>
      <c r="E719" s="2" t="str">
        <f>'Posted Sales Invoice Lines'!F719</f>
        <v>Cs. Large Pumpernickel Sub 6-6pk</v>
      </c>
      <c r="F719" s="3">
        <f>'Posted Sales Invoice Lines'!G719</f>
        <v>46093</v>
      </c>
      <c r="G719" s="9">
        <f>'Posted Sales Invoice Lines'!L719</f>
        <v>84</v>
      </c>
      <c r="H719" s="8">
        <f>'Posted Sales Invoice Lines'!N719</f>
        <v>35.65</v>
      </c>
      <c r="I719" s="8">
        <f>'Posted Sales Invoice Lines'!O719</f>
        <v>2994.6</v>
      </c>
    </row>
    <row r="720" spans="1:9" x14ac:dyDescent="0.25">
      <c r="A720" s="2" t="str">
        <f>'Posted Sales Invoice Lines'!A720</f>
        <v>PS-INV195560</v>
      </c>
      <c r="B720" s="2" t="str">
        <f>'Posted Sales Invoice Lines'!B720</f>
        <v>10540-03</v>
      </c>
      <c r="C720" s="2" t="str">
        <f>'Posted Sales Invoice Lines'!C720</f>
        <v>PFG Louisville TN</v>
      </c>
      <c r="D720" s="2" t="str">
        <f>'Posted Sales Invoice Lines'!E720</f>
        <v>F53170</v>
      </c>
      <c r="E720" s="2" t="str">
        <f>'Posted Sales Invoice Lines'!F720</f>
        <v>Cs. Large Country Wheat Sub 6-6pk</v>
      </c>
      <c r="F720" s="3">
        <f>'Posted Sales Invoice Lines'!G720</f>
        <v>46093</v>
      </c>
      <c r="G720" s="9">
        <f>'Posted Sales Invoice Lines'!L720</f>
        <v>56</v>
      </c>
      <c r="H720" s="8">
        <f>'Posted Sales Invoice Lines'!N720</f>
        <v>35.65</v>
      </c>
      <c r="I720" s="8">
        <f>'Posted Sales Invoice Lines'!O720</f>
        <v>1996.4</v>
      </c>
    </row>
    <row r="721" spans="1:9" x14ac:dyDescent="0.25">
      <c r="A721" s="2" t="str">
        <f>'Posted Sales Invoice Lines'!A721</f>
        <v>PS-INV195560</v>
      </c>
      <c r="B721" s="2" t="str">
        <f>'Posted Sales Invoice Lines'!B721</f>
        <v>10540-03</v>
      </c>
      <c r="C721" s="2" t="str">
        <f>'Posted Sales Invoice Lines'!C721</f>
        <v>PFG Louisville TN</v>
      </c>
      <c r="D721" s="2" t="str">
        <f>'Posted Sales Invoice Lines'!E721</f>
        <v>F53160</v>
      </c>
      <c r="E721" s="2" t="str">
        <f>'Posted Sales Invoice Lines'!F721</f>
        <v>Cs. Large White Sub 6-6pk</v>
      </c>
      <c r="F721" s="3">
        <f>'Posted Sales Invoice Lines'!G721</f>
        <v>46093</v>
      </c>
      <c r="G721" s="9">
        <f>'Posted Sales Invoice Lines'!L721</f>
        <v>112</v>
      </c>
      <c r="H721" s="8">
        <f>'Posted Sales Invoice Lines'!N721</f>
        <v>34.200000000000003</v>
      </c>
      <c r="I721" s="8">
        <f>'Posted Sales Invoice Lines'!O721</f>
        <v>3830.4</v>
      </c>
    </row>
    <row r="722" spans="1:9" x14ac:dyDescent="0.25">
      <c r="A722" s="2" t="str">
        <f>'Posted Sales Invoice Lines'!A722</f>
        <v>PS-INV195562</v>
      </c>
      <c r="B722" s="2" t="str">
        <f>'Posted Sales Invoice Lines'!B722</f>
        <v>12988</v>
      </c>
      <c r="C722" s="2" t="str">
        <f>'Posted Sales Invoice Lines'!C722</f>
        <v>Sysco Norman OK</v>
      </c>
      <c r="D722" s="2" t="str">
        <f>'Posted Sales Invoice Lines'!E722</f>
        <v>F53001</v>
      </c>
      <c r="E722" s="2" t="str">
        <f>'Posted Sales Invoice Lines'!F722</f>
        <v>Cs. 4" Brioche Bun 8-12pk</v>
      </c>
      <c r="F722" s="3">
        <f>'Posted Sales Invoice Lines'!G722</f>
        <v>46100</v>
      </c>
      <c r="G722" s="9">
        <f>'Posted Sales Invoice Lines'!L722</f>
        <v>252</v>
      </c>
      <c r="H722" s="8">
        <f>'Posted Sales Invoice Lines'!N722</f>
        <v>46</v>
      </c>
      <c r="I722" s="8">
        <f>'Posted Sales Invoice Lines'!O722</f>
        <v>11592</v>
      </c>
    </row>
    <row r="723" spans="1:9" x14ac:dyDescent="0.25">
      <c r="A723" s="2" t="str">
        <f>'Posted Sales Invoice Lines'!A723</f>
        <v>PS-INV196095</v>
      </c>
      <c r="B723" s="2" t="str">
        <f>'Posted Sales Invoice Lines'!B723</f>
        <v>12438</v>
      </c>
      <c r="C723" s="2" t="str">
        <f>'Posted Sales Invoice Lines'!C723</f>
        <v>SGC Foodservice</v>
      </c>
      <c r="D723" s="2" t="str">
        <f>'Posted Sales Invoice Lines'!E723</f>
        <v>F530931</v>
      </c>
      <c r="E723" s="2" t="str">
        <f>'Posted Sales Invoice Lines'!F723</f>
        <v>Cs. 6" Philly Hinged 12-6pk</v>
      </c>
      <c r="F723" s="3">
        <f>'Posted Sales Invoice Lines'!G723</f>
        <v>46097</v>
      </c>
      <c r="G723" s="9">
        <f>'Posted Sales Invoice Lines'!L723</f>
        <v>56</v>
      </c>
      <c r="H723" s="8">
        <f>'Posted Sales Invoice Lines'!N723</f>
        <v>48.2</v>
      </c>
      <c r="I723" s="8">
        <f>'Posted Sales Invoice Lines'!O723</f>
        <v>2699.2</v>
      </c>
    </row>
    <row r="724" spans="1:9" x14ac:dyDescent="0.25">
      <c r="A724" s="2" t="str">
        <f>'Posted Sales Invoice Lines'!A724</f>
        <v>PS-INV196095</v>
      </c>
      <c r="B724" s="2" t="str">
        <f>'Posted Sales Invoice Lines'!B724</f>
        <v>12438</v>
      </c>
      <c r="C724" s="2" t="str">
        <f>'Posted Sales Invoice Lines'!C724</f>
        <v>SGC Foodservice</v>
      </c>
      <c r="D724" s="2" t="str">
        <f>'Posted Sales Invoice Lines'!E724</f>
        <v>F56251</v>
      </c>
      <c r="E724" s="2" t="str">
        <f>'Posted Sales Invoice Lines'!F724</f>
        <v>Cs. Challah Sliders Sliced 18-12pks</v>
      </c>
      <c r="F724" s="3">
        <f>'Posted Sales Invoice Lines'!G724</f>
        <v>46097</v>
      </c>
      <c r="G724" s="9">
        <f>'Posted Sales Invoice Lines'!L724</f>
        <v>112</v>
      </c>
      <c r="H724" s="8">
        <f>'Posted Sales Invoice Lines'!N724</f>
        <v>44</v>
      </c>
      <c r="I724" s="8">
        <f>'Posted Sales Invoice Lines'!O724</f>
        <v>4928</v>
      </c>
    </row>
    <row r="725" spans="1:9" x14ac:dyDescent="0.25">
      <c r="A725" s="2" t="str">
        <f>'Posted Sales Invoice Lines'!A725</f>
        <v>PS-INV196095</v>
      </c>
      <c r="B725" s="2" t="str">
        <f>'Posted Sales Invoice Lines'!B725</f>
        <v>12438</v>
      </c>
      <c r="C725" s="2" t="str">
        <f>'Posted Sales Invoice Lines'!C725</f>
        <v>SGC Foodservice</v>
      </c>
      <c r="D725" s="2" t="str">
        <f>'Posted Sales Invoice Lines'!E725</f>
        <v>F54014</v>
      </c>
      <c r="E725" s="2" t="str">
        <f>'Posted Sales Invoice Lines'!F725</f>
        <v>Cs. White Mountain Dinner Rolls 12-12pk</v>
      </c>
      <c r="F725" s="3">
        <f>'Posted Sales Invoice Lines'!G725</f>
        <v>46097</v>
      </c>
      <c r="G725" s="9">
        <f>'Posted Sales Invoice Lines'!L725</f>
        <v>56</v>
      </c>
      <c r="H725" s="8">
        <f>'Posted Sales Invoice Lines'!N725</f>
        <v>38</v>
      </c>
      <c r="I725" s="8">
        <f>'Posted Sales Invoice Lines'!O725</f>
        <v>2128</v>
      </c>
    </row>
    <row r="726" spans="1:9" x14ac:dyDescent="0.25">
      <c r="A726" s="2" t="str">
        <f>'Posted Sales Invoice Lines'!A726</f>
        <v>PS-INV196095</v>
      </c>
      <c r="B726" s="2" t="str">
        <f>'Posted Sales Invoice Lines'!B726</f>
        <v>12438</v>
      </c>
      <c r="C726" s="2" t="str">
        <f>'Posted Sales Invoice Lines'!C726</f>
        <v>SGC Foodservice</v>
      </c>
      <c r="D726" s="2" t="str">
        <f>'Posted Sales Invoice Lines'!E726</f>
        <v>F53116</v>
      </c>
      <c r="E726" s="2" t="str">
        <f>'Posted Sales Invoice Lines'!F726</f>
        <v>Cs. 7" French Hinged 12</v>
      </c>
      <c r="F726" s="3">
        <f>'Posted Sales Invoice Lines'!G726</f>
        <v>46097</v>
      </c>
      <c r="G726" s="9">
        <f>'Posted Sales Invoice Lines'!L726</f>
        <v>56</v>
      </c>
      <c r="H726" s="8">
        <f>'Posted Sales Invoice Lines'!N726</f>
        <v>36</v>
      </c>
      <c r="I726" s="8">
        <f>'Posted Sales Invoice Lines'!O726</f>
        <v>2016</v>
      </c>
    </row>
    <row r="727" spans="1:9" x14ac:dyDescent="0.25">
      <c r="A727" s="2" t="str">
        <f>'Posted Sales Invoice Lines'!A727</f>
        <v>PS-INV196095</v>
      </c>
      <c r="B727" s="2" t="str">
        <f>'Posted Sales Invoice Lines'!B727</f>
        <v>12438</v>
      </c>
      <c r="C727" s="2" t="str">
        <f>'Posted Sales Invoice Lines'!C727</f>
        <v>SGC Foodservice</v>
      </c>
      <c r="D727" s="2" t="str">
        <f>'Posted Sales Invoice Lines'!E727</f>
        <v>F53094</v>
      </c>
      <c r="E727" s="2" t="str">
        <f>'Posted Sales Invoice Lines'!F727</f>
        <v>Cs. 6" Italian 12-6pks</v>
      </c>
      <c r="F727" s="3">
        <f>'Posted Sales Invoice Lines'!G727</f>
        <v>46097</v>
      </c>
      <c r="G727" s="9">
        <f>'Posted Sales Invoice Lines'!L727</f>
        <v>28</v>
      </c>
      <c r="H727" s="8">
        <f>'Posted Sales Invoice Lines'!N727</f>
        <v>35</v>
      </c>
      <c r="I727" s="8">
        <f>'Posted Sales Invoice Lines'!O727</f>
        <v>980</v>
      </c>
    </row>
    <row r="728" spans="1:9" x14ac:dyDescent="0.25">
      <c r="A728" s="2" t="str">
        <f>'Posted Sales Invoice Lines'!A728</f>
        <v>PS-INV196095</v>
      </c>
      <c r="B728" s="2" t="str">
        <f>'Posted Sales Invoice Lines'!B728</f>
        <v>12438</v>
      </c>
      <c r="C728" s="2" t="str">
        <f>'Posted Sales Invoice Lines'!C728</f>
        <v>SGC Foodservice</v>
      </c>
      <c r="D728" s="2" t="str">
        <f>'Posted Sales Invoice Lines'!E728</f>
        <v>F53105</v>
      </c>
      <c r="E728" s="2" t="str">
        <f>'Posted Sales Invoice Lines'!F728</f>
        <v>Cs. 6" White Hot Dog 16-8pk</v>
      </c>
      <c r="F728" s="3">
        <f>'Posted Sales Invoice Lines'!G728</f>
        <v>46097</v>
      </c>
      <c r="G728" s="9">
        <f>'Posted Sales Invoice Lines'!L728</f>
        <v>84</v>
      </c>
      <c r="H728" s="8">
        <f>'Posted Sales Invoice Lines'!N728</f>
        <v>34.5</v>
      </c>
      <c r="I728" s="8">
        <f>'Posted Sales Invoice Lines'!O728</f>
        <v>2898</v>
      </c>
    </row>
    <row r="729" spans="1:9" x14ac:dyDescent="0.25">
      <c r="A729" s="2" t="str">
        <f>'Posted Sales Invoice Lines'!A729</f>
        <v>PS-INV196095</v>
      </c>
      <c r="B729" s="2" t="str">
        <f>'Posted Sales Invoice Lines'!B729</f>
        <v>12438</v>
      </c>
      <c r="C729" s="2" t="str">
        <f>'Posted Sales Invoice Lines'!C729</f>
        <v>SGC Foodservice</v>
      </c>
      <c r="D729" s="2" t="str">
        <f>'Posted Sales Invoice Lines'!E729</f>
        <v>F51034</v>
      </c>
      <c r="E729" s="2" t="str">
        <f>'Posted Sales Invoice Lines'!F729</f>
        <v>Cs. Sour Dough Hearth 5/8" 8lvs</v>
      </c>
      <c r="F729" s="3">
        <f>'Posted Sales Invoice Lines'!G729</f>
        <v>46097</v>
      </c>
      <c r="G729" s="9">
        <f>'Posted Sales Invoice Lines'!L729</f>
        <v>84</v>
      </c>
      <c r="H729" s="8">
        <f>'Posted Sales Invoice Lines'!N729</f>
        <v>41.12</v>
      </c>
      <c r="I729" s="8">
        <f>'Posted Sales Invoice Lines'!O729</f>
        <v>3454.08</v>
      </c>
    </row>
    <row r="730" spans="1:9" x14ac:dyDescent="0.25">
      <c r="A730" s="2" t="str">
        <f>'Posted Sales Invoice Lines'!A730</f>
        <v>PS-INV196095</v>
      </c>
      <c r="B730" s="2" t="str">
        <f>'Posted Sales Invoice Lines'!B730</f>
        <v>12438</v>
      </c>
      <c r="C730" s="2" t="str">
        <f>'Posted Sales Invoice Lines'!C730</f>
        <v>SGC Foodservice</v>
      </c>
      <c r="D730" s="2" t="str">
        <f>'Posted Sales Invoice Lines'!E730</f>
        <v>F51080</v>
      </c>
      <c r="E730" s="2" t="str">
        <f>'Posted Sales Invoice Lines'!F730</f>
        <v>Cs. Wheatberry Hearth 1/2" 8lvs</v>
      </c>
      <c r="F730" s="3">
        <f>'Posted Sales Invoice Lines'!G730</f>
        <v>46097</v>
      </c>
      <c r="G730" s="9">
        <f>'Posted Sales Invoice Lines'!L730</f>
        <v>28</v>
      </c>
      <c r="H730" s="8">
        <f>'Posted Sales Invoice Lines'!N730</f>
        <v>47</v>
      </c>
      <c r="I730" s="8">
        <f>'Posted Sales Invoice Lines'!O730</f>
        <v>1316</v>
      </c>
    </row>
    <row r="731" spans="1:9" x14ac:dyDescent="0.25">
      <c r="A731" s="2" t="str">
        <f>'Posted Sales Invoice Lines'!A731</f>
        <v>PS-INV196095</v>
      </c>
      <c r="B731" s="2" t="str">
        <f>'Posted Sales Invoice Lines'!B731</f>
        <v>12438</v>
      </c>
      <c r="C731" s="2" t="str">
        <f>'Posted Sales Invoice Lines'!C731</f>
        <v>SGC Foodservice</v>
      </c>
      <c r="D731" s="2" t="str">
        <f>'Posted Sales Invoice Lines'!E731</f>
        <v>F53001</v>
      </c>
      <c r="E731" s="2" t="str">
        <f>'Posted Sales Invoice Lines'!F731</f>
        <v>Cs. 4" Brioche Bun 8-12pk</v>
      </c>
      <c r="F731" s="3">
        <f>'Posted Sales Invoice Lines'!G731</f>
        <v>46097</v>
      </c>
      <c r="G731" s="9">
        <f>'Posted Sales Invoice Lines'!L731</f>
        <v>196</v>
      </c>
      <c r="H731" s="8">
        <f>'Posted Sales Invoice Lines'!N731</f>
        <v>42.6</v>
      </c>
      <c r="I731" s="8">
        <f>'Posted Sales Invoice Lines'!O731</f>
        <v>8349.6</v>
      </c>
    </row>
    <row r="732" spans="1:9" x14ac:dyDescent="0.25">
      <c r="A732" s="2" t="str">
        <f>'Posted Sales Invoice Lines'!A732</f>
        <v>PS-INV196095</v>
      </c>
      <c r="B732" s="2" t="str">
        <f>'Posted Sales Invoice Lines'!B732</f>
        <v>12438</v>
      </c>
      <c r="C732" s="2" t="str">
        <f>'Posted Sales Invoice Lines'!C732</f>
        <v>SGC Foodservice</v>
      </c>
      <c r="D732" s="2" t="str">
        <f>'Posted Sales Invoice Lines'!E732</f>
        <v>F53010</v>
      </c>
      <c r="E732" s="2" t="str">
        <f>'Posted Sales Invoice Lines'!F732</f>
        <v>Cs. Onion Roll 8-12pk</v>
      </c>
      <c r="F732" s="3">
        <f>'Posted Sales Invoice Lines'!G732</f>
        <v>46097</v>
      </c>
      <c r="G732" s="9">
        <f>'Posted Sales Invoice Lines'!L732</f>
        <v>28</v>
      </c>
      <c r="H732" s="8">
        <f>'Posted Sales Invoice Lines'!N732</f>
        <v>44</v>
      </c>
      <c r="I732" s="8">
        <f>'Posted Sales Invoice Lines'!O732</f>
        <v>1232</v>
      </c>
    </row>
    <row r="733" spans="1:9" x14ac:dyDescent="0.25">
      <c r="A733" s="2" t="str">
        <f>'Posted Sales Invoice Lines'!A733</f>
        <v>PS-INV196105</v>
      </c>
      <c r="B733" s="2" t="str">
        <f>'Posted Sales Invoice Lines'!B733</f>
        <v>Z10700</v>
      </c>
      <c r="C733" s="2" t="str">
        <f>'Posted Sales Invoice Lines'!C733</f>
        <v>Sysco-Charlotte</v>
      </c>
      <c r="D733" s="2" t="str">
        <f>'Posted Sales Invoice Lines'!E733</f>
        <v>F52564</v>
      </c>
      <c r="E733" s="2" t="str">
        <f>'Posted Sales Invoice Lines'!F733</f>
        <v>Cs. Rye Batard 5/8" 8lvs</v>
      </c>
      <c r="F733" s="3">
        <f>'Posted Sales Invoice Lines'!G733</f>
        <v>46097</v>
      </c>
      <c r="G733" s="9">
        <f>'Posted Sales Invoice Lines'!L733</f>
        <v>36</v>
      </c>
      <c r="H733" s="8">
        <f>'Posted Sales Invoice Lines'!N733</f>
        <v>46.38</v>
      </c>
      <c r="I733" s="8">
        <f>'Posted Sales Invoice Lines'!O733</f>
        <v>1669.68</v>
      </c>
    </row>
    <row r="734" spans="1:9" x14ac:dyDescent="0.25">
      <c r="A734" s="2" t="str">
        <f>'Posted Sales Invoice Lines'!A734</f>
        <v>PS-INV196105</v>
      </c>
      <c r="B734" s="2" t="str">
        <f>'Posted Sales Invoice Lines'!B734</f>
        <v>Z10700</v>
      </c>
      <c r="C734" s="2" t="str">
        <f>'Posted Sales Invoice Lines'!C734</f>
        <v>Sysco-Charlotte</v>
      </c>
      <c r="D734" s="2" t="str">
        <f>'Posted Sales Invoice Lines'!E734</f>
        <v>F51384</v>
      </c>
      <c r="E734" s="2" t="str">
        <f>'Posted Sales Invoice Lines'!F734</f>
        <v>Cs. Challah Pullman 7/8"</v>
      </c>
      <c r="F734" s="3">
        <f>'Posted Sales Invoice Lines'!G734</f>
        <v>46097</v>
      </c>
      <c r="G734" s="9">
        <f>'Posted Sales Invoice Lines'!L734</f>
        <v>60</v>
      </c>
      <c r="H734" s="8">
        <f>'Posted Sales Invoice Lines'!N734</f>
        <v>51.38</v>
      </c>
      <c r="I734" s="8">
        <f>'Posted Sales Invoice Lines'!O734</f>
        <v>3082.8</v>
      </c>
    </row>
    <row r="735" spans="1:9" x14ac:dyDescent="0.25">
      <c r="A735" s="2" t="str">
        <f>'Posted Sales Invoice Lines'!A735</f>
        <v>PS-INV196105</v>
      </c>
      <c r="B735" s="2" t="str">
        <f>'Posted Sales Invoice Lines'!B735</f>
        <v>Z10700</v>
      </c>
      <c r="C735" s="2" t="str">
        <f>'Posted Sales Invoice Lines'!C735</f>
        <v>Sysco-Charlotte</v>
      </c>
      <c r="D735" s="2" t="str">
        <f>'Posted Sales Invoice Lines'!E735</f>
        <v>F51077</v>
      </c>
      <c r="E735" s="2" t="str">
        <f>'Posted Sales Invoice Lines'!F735</f>
        <v>Cs. Oatie Multigrain 5/8" 8lvs</v>
      </c>
      <c r="F735" s="3">
        <f>'Posted Sales Invoice Lines'!G735</f>
        <v>46097</v>
      </c>
      <c r="G735" s="9">
        <f>'Posted Sales Invoice Lines'!L735</f>
        <v>24</v>
      </c>
      <c r="H735" s="8">
        <f>'Posted Sales Invoice Lines'!N735</f>
        <v>54.38</v>
      </c>
      <c r="I735" s="8">
        <f>'Posted Sales Invoice Lines'!O735</f>
        <v>1305.1199999999999</v>
      </c>
    </row>
    <row r="736" spans="1:9" x14ac:dyDescent="0.25">
      <c r="A736" s="2" t="str">
        <f>'Posted Sales Invoice Lines'!A736</f>
        <v>PS-INV196105</v>
      </c>
      <c r="B736" s="2" t="str">
        <f>'Posted Sales Invoice Lines'!B736</f>
        <v>Z10700</v>
      </c>
      <c r="C736" s="2" t="str">
        <f>'Posted Sales Invoice Lines'!C736</f>
        <v>Sysco-Charlotte</v>
      </c>
      <c r="D736" s="2" t="str">
        <f>'Posted Sales Invoice Lines'!E736</f>
        <v>F52544</v>
      </c>
      <c r="E736" s="2" t="str">
        <f>'Posted Sales Invoice Lines'!F736</f>
        <v>Cs. Sour Dough Batard 5/8" 8lvs</v>
      </c>
      <c r="F736" s="3">
        <f>'Posted Sales Invoice Lines'!G736</f>
        <v>46097</v>
      </c>
      <c r="G736" s="9">
        <f>'Posted Sales Invoice Lines'!L736</f>
        <v>275</v>
      </c>
      <c r="H736" s="8">
        <f>'Posted Sales Invoice Lines'!N736</f>
        <v>61.02</v>
      </c>
      <c r="I736" s="8">
        <f>'Posted Sales Invoice Lines'!O736</f>
        <v>16780.5</v>
      </c>
    </row>
    <row r="737" spans="1:9" x14ac:dyDescent="0.25">
      <c r="A737" s="2" t="str">
        <f>'Posted Sales Invoice Lines'!A737</f>
        <v>PS-INV196105</v>
      </c>
      <c r="B737" s="2" t="str">
        <f>'Posted Sales Invoice Lines'!B737</f>
        <v>Z10700</v>
      </c>
      <c r="C737" s="2" t="str">
        <f>'Posted Sales Invoice Lines'!C737</f>
        <v>Sysco-Charlotte</v>
      </c>
      <c r="D737" s="2" t="str">
        <f>'Posted Sales Invoice Lines'!E737</f>
        <v>F51044</v>
      </c>
      <c r="E737" s="2" t="str">
        <f>'Posted Sales Invoice Lines'!F737</f>
        <v>Cs. Vienna 5/8" 8lvs</v>
      </c>
      <c r="F737" s="3">
        <f>'Posted Sales Invoice Lines'!G737</f>
        <v>46097</v>
      </c>
      <c r="G737" s="9">
        <f>'Posted Sales Invoice Lines'!L737</f>
        <v>60</v>
      </c>
      <c r="H737" s="8">
        <f>'Posted Sales Invoice Lines'!N737</f>
        <v>28.5</v>
      </c>
      <c r="I737" s="8">
        <f>'Posted Sales Invoice Lines'!O737</f>
        <v>1710</v>
      </c>
    </row>
    <row r="738" spans="1:9" x14ac:dyDescent="0.25">
      <c r="A738" s="2" t="str">
        <f>'Posted Sales Invoice Lines'!A738</f>
        <v>PS-INV196113</v>
      </c>
      <c r="B738" s="2" t="str">
        <f>'Posted Sales Invoice Lines'!B738</f>
        <v>10719-9</v>
      </c>
      <c r="C738" s="2" t="str">
        <f>'Posted Sales Invoice Lines'!C738</f>
        <v>US Foods -Carolinas/Ft.Mill</v>
      </c>
      <c r="D738" s="2" t="str">
        <f>'Posted Sales Invoice Lines'!E738</f>
        <v>F53002</v>
      </c>
      <c r="E738" s="2" t="str">
        <f>'Posted Sales Invoice Lines'!F738</f>
        <v>Cs. 4" Challah Sesame Bun 8-12pk</v>
      </c>
      <c r="F738" s="3">
        <f>'Posted Sales Invoice Lines'!G738</f>
        <v>46104</v>
      </c>
      <c r="G738" s="9">
        <f>'Posted Sales Invoice Lines'!L738</f>
        <v>112</v>
      </c>
      <c r="H738" s="8">
        <f>'Posted Sales Invoice Lines'!N738</f>
        <v>37.659999999999997</v>
      </c>
      <c r="I738" s="8">
        <f>'Posted Sales Invoice Lines'!O738</f>
        <v>4217.92</v>
      </c>
    </row>
    <row r="739" spans="1:9" x14ac:dyDescent="0.25">
      <c r="A739" s="2" t="str">
        <f>'Posted Sales Invoice Lines'!A739</f>
        <v>PS-INV196113</v>
      </c>
      <c r="B739" s="2" t="str">
        <f>'Posted Sales Invoice Lines'!B739</f>
        <v>10719-9</v>
      </c>
      <c r="C739" s="2" t="str">
        <f>'Posted Sales Invoice Lines'!C739</f>
        <v>US Foods -Carolinas/Ft.Mill</v>
      </c>
      <c r="D739" s="2" t="str">
        <f>'Posted Sales Invoice Lines'!E739</f>
        <v>F52902</v>
      </c>
      <c r="E739" s="2" t="str">
        <f>'Posted Sales Invoice Lines'!F739</f>
        <v>Cs. 22" Rye Baguette 10-2pk</v>
      </c>
      <c r="F739" s="3">
        <f>'Posted Sales Invoice Lines'!G739</f>
        <v>46104</v>
      </c>
      <c r="G739" s="9">
        <f>'Posted Sales Invoice Lines'!L739</f>
        <v>8</v>
      </c>
      <c r="H739" s="8">
        <f>'Posted Sales Invoice Lines'!N739</f>
        <v>42.53</v>
      </c>
      <c r="I739" s="8">
        <f>'Posted Sales Invoice Lines'!O739</f>
        <v>340.24</v>
      </c>
    </row>
    <row r="740" spans="1:9" x14ac:dyDescent="0.25">
      <c r="A740" s="2" t="str">
        <f>'Posted Sales Invoice Lines'!A740</f>
        <v>PS-INV196113</v>
      </c>
      <c r="B740" s="2" t="str">
        <f>'Posted Sales Invoice Lines'!B740</f>
        <v>10719-9</v>
      </c>
      <c r="C740" s="2" t="str">
        <f>'Posted Sales Invoice Lines'!C740</f>
        <v>US Foods -Carolinas/Ft.Mill</v>
      </c>
      <c r="D740" s="2" t="str">
        <f>'Posted Sales Invoice Lines'!E740</f>
        <v>F52007</v>
      </c>
      <c r="E740" s="2" t="str">
        <f>'Posted Sales Invoice Lines'!F740</f>
        <v>Cs. 22" 17oz French 10-2pk</v>
      </c>
      <c r="F740" s="3">
        <f>'Posted Sales Invoice Lines'!G740</f>
        <v>46104</v>
      </c>
      <c r="G740" s="9">
        <f>'Posted Sales Invoice Lines'!L740</f>
        <v>20</v>
      </c>
      <c r="H740" s="8">
        <f>'Posted Sales Invoice Lines'!N740</f>
        <v>39.96</v>
      </c>
      <c r="I740" s="8">
        <f>'Posted Sales Invoice Lines'!O740</f>
        <v>799.2</v>
      </c>
    </row>
    <row r="741" spans="1:9" x14ac:dyDescent="0.25">
      <c r="A741" s="2" t="str">
        <f>'Posted Sales Invoice Lines'!A741</f>
        <v>PS-INV196113</v>
      </c>
      <c r="B741" s="2" t="str">
        <f>'Posted Sales Invoice Lines'!B741</f>
        <v>10719-9</v>
      </c>
      <c r="C741" s="2" t="str">
        <f>'Posted Sales Invoice Lines'!C741</f>
        <v>US Foods -Carolinas/Ft.Mill</v>
      </c>
      <c r="D741" s="2" t="str">
        <f>'Posted Sales Invoice Lines'!E741</f>
        <v>F51137</v>
      </c>
      <c r="E741" s="2" t="str">
        <f>'Posted Sales Invoice Lines'!F741</f>
        <v>Cs. Texas Toast 3/4" 12lvs</v>
      </c>
      <c r="F741" s="3">
        <f>'Posted Sales Invoice Lines'!G741</f>
        <v>46104</v>
      </c>
      <c r="G741" s="9">
        <f>'Posted Sales Invoice Lines'!L741</f>
        <v>144</v>
      </c>
      <c r="H741" s="8">
        <f>'Posted Sales Invoice Lines'!N741</f>
        <v>40</v>
      </c>
      <c r="I741" s="8">
        <f>'Posted Sales Invoice Lines'!O741</f>
        <v>5760</v>
      </c>
    </row>
    <row r="742" spans="1:9" x14ac:dyDescent="0.25">
      <c r="A742" s="2" t="str">
        <f>'Posted Sales Invoice Lines'!A742</f>
        <v>PS-INV196113</v>
      </c>
      <c r="B742" s="2" t="str">
        <f>'Posted Sales Invoice Lines'!B742</f>
        <v>10719-9</v>
      </c>
      <c r="C742" s="2" t="str">
        <f>'Posted Sales Invoice Lines'!C742</f>
        <v>US Foods -Carolinas/Ft.Mill</v>
      </c>
      <c r="D742" s="2" t="str">
        <f>'Posted Sales Invoice Lines'!E742</f>
        <v>F53000</v>
      </c>
      <c r="E742" s="2" t="str">
        <f>'Posted Sales Invoice Lines'!F742</f>
        <v>Cs. 4" Hamburger Bun 8-12pk</v>
      </c>
      <c r="F742" s="3">
        <f>'Posted Sales Invoice Lines'!G742</f>
        <v>46104</v>
      </c>
      <c r="G742" s="9">
        <f>'Posted Sales Invoice Lines'!L742</f>
        <v>28</v>
      </c>
      <c r="H742" s="8">
        <f>'Posted Sales Invoice Lines'!N742</f>
        <v>32.5</v>
      </c>
      <c r="I742" s="8">
        <f>'Posted Sales Invoice Lines'!O742</f>
        <v>910</v>
      </c>
    </row>
    <row r="743" spans="1:9" x14ac:dyDescent="0.25">
      <c r="A743" s="2" t="str">
        <f>'Posted Sales Invoice Lines'!A743</f>
        <v>PS-INV196113</v>
      </c>
      <c r="B743" s="2" t="str">
        <f>'Posted Sales Invoice Lines'!B743</f>
        <v>10719-9</v>
      </c>
      <c r="C743" s="2" t="str">
        <f>'Posted Sales Invoice Lines'!C743</f>
        <v>US Foods -Carolinas/Ft.Mill</v>
      </c>
      <c r="D743" s="2" t="str">
        <f>'Posted Sales Invoice Lines'!E743</f>
        <v>F53122</v>
      </c>
      <c r="E743" s="2" t="str">
        <f>'Posted Sales Invoice Lines'!F743</f>
        <v>Cs. 8" Italian Hinged 12-6pk</v>
      </c>
      <c r="F743" s="3">
        <f>'Posted Sales Invoice Lines'!G743</f>
        <v>46104</v>
      </c>
      <c r="G743" s="9">
        <f>'Posted Sales Invoice Lines'!L743</f>
        <v>56</v>
      </c>
      <c r="H743" s="8">
        <f>'Posted Sales Invoice Lines'!N743</f>
        <v>39</v>
      </c>
      <c r="I743" s="8">
        <f>'Posted Sales Invoice Lines'!O743</f>
        <v>2184</v>
      </c>
    </row>
    <row r="744" spans="1:9" x14ac:dyDescent="0.25">
      <c r="A744" s="2" t="str">
        <f>'Posted Sales Invoice Lines'!A744</f>
        <v>PS-INV196113</v>
      </c>
      <c r="B744" s="2" t="str">
        <f>'Posted Sales Invoice Lines'!B744</f>
        <v>10719-9</v>
      </c>
      <c r="C744" s="2" t="str">
        <f>'Posted Sales Invoice Lines'!C744</f>
        <v>US Foods -Carolinas/Ft.Mill</v>
      </c>
      <c r="D744" s="2" t="str">
        <f>'Posted Sales Invoice Lines'!E744</f>
        <v>F53001</v>
      </c>
      <c r="E744" s="2" t="str">
        <f>'Posted Sales Invoice Lines'!F744</f>
        <v>Cs. 4" Brioche Bun 8-12pk</v>
      </c>
      <c r="F744" s="3">
        <f>'Posted Sales Invoice Lines'!G744</f>
        <v>46104</v>
      </c>
      <c r="G744" s="9">
        <f>'Posted Sales Invoice Lines'!L744</f>
        <v>168</v>
      </c>
      <c r="H744" s="8">
        <f>'Posted Sales Invoice Lines'!N744</f>
        <v>44</v>
      </c>
      <c r="I744" s="8">
        <f>'Posted Sales Invoice Lines'!O744</f>
        <v>7392</v>
      </c>
    </row>
    <row r="745" spans="1:9" x14ac:dyDescent="0.25">
      <c r="A745" s="2" t="str">
        <f>'Posted Sales Invoice Lines'!A745</f>
        <v>PS-INV196113</v>
      </c>
      <c r="B745" s="2" t="str">
        <f>'Posted Sales Invoice Lines'!B745</f>
        <v>10719-9</v>
      </c>
      <c r="C745" s="2" t="str">
        <f>'Posted Sales Invoice Lines'!C745</f>
        <v>US Foods -Carolinas/Ft.Mill</v>
      </c>
      <c r="D745" s="2" t="str">
        <f>'Posted Sales Invoice Lines'!E745</f>
        <v>F53003</v>
      </c>
      <c r="E745" s="2" t="str">
        <f>'Posted Sales Invoice Lines'!F745</f>
        <v>Cs. 4" Unseeded Challah Bun 8-12pk</v>
      </c>
      <c r="F745" s="3">
        <f>'Posted Sales Invoice Lines'!G745</f>
        <v>46104</v>
      </c>
      <c r="G745" s="9">
        <f>'Posted Sales Invoice Lines'!L745</f>
        <v>140</v>
      </c>
      <c r="H745" s="8">
        <f>'Posted Sales Invoice Lines'!N745</f>
        <v>39</v>
      </c>
      <c r="I745" s="8">
        <f>'Posted Sales Invoice Lines'!O745</f>
        <v>5460</v>
      </c>
    </row>
    <row r="746" spans="1:9" x14ac:dyDescent="0.25">
      <c r="A746" s="2" t="str">
        <f>'Posted Sales Invoice Lines'!A746</f>
        <v>PS-INV196542</v>
      </c>
      <c r="B746" s="2" t="str">
        <f>'Posted Sales Invoice Lines'!B746</f>
        <v>10899</v>
      </c>
      <c r="C746" s="2" t="str">
        <f>'Posted Sales Invoice Lines'!C746</f>
        <v>Wood Fruitticher Grocery Co.</v>
      </c>
      <c r="D746" s="2" t="str">
        <f>'Posted Sales Invoice Lines'!E746</f>
        <v>F54301</v>
      </c>
      <c r="E746" s="2" t="str">
        <f>'Posted Sales Invoice Lines'!F746</f>
        <v>Cs. Potato Roll Sliced 12-16pk</v>
      </c>
      <c r="F746" s="3">
        <f>'Posted Sales Invoice Lines'!G746</f>
        <v>46098</v>
      </c>
      <c r="G746" s="9">
        <f>'Posted Sales Invoice Lines'!L746</f>
        <v>24</v>
      </c>
      <c r="H746" s="8">
        <f>'Posted Sales Invoice Lines'!N746</f>
        <v>40.1</v>
      </c>
      <c r="I746" s="8">
        <f>'Posted Sales Invoice Lines'!O746</f>
        <v>962.4</v>
      </c>
    </row>
    <row r="747" spans="1:9" x14ac:dyDescent="0.25">
      <c r="A747" s="2" t="str">
        <f>'Posted Sales Invoice Lines'!A747</f>
        <v>PS-INV196542</v>
      </c>
      <c r="B747" s="2" t="str">
        <f>'Posted Sales Invoice Lines'!B747</f>
        <v>10899</v>
      </c>
      <c r="C747" s="2" t="str">
        <f>'Posted Sales Invoice Lines'!C747</f>
        <v>Wood Fruitticher Grocery Co.</v>
      </c>
      <c r="D747" s="2" t="str">
        <f>'Posted Sales Invoice Lines'!E747</f>
        <v>F53115</v>
      </c>
      <c r="E747" s="2" t="str">
        <f>'Posted Sales Invoice Lines'!F747</f>
        <v>Cs. 7" French Unsliced 12-6pk</v>
      </c>
      <c r="F747" s="3">
        <f>'Posted Sales Invoice Lines'!G747</f>
        <v>46098</v>
      </c>
      <c r="G747" s="9">
        <f>'Posted Sales Invoice Lines'!L747</f>
        <v>24</v>
      </c>
      <c r="H747" s="8">
        <f>'Posted Sales Invoice Lines'!N747</f>
        <v>28.88</v>
      </c>
      <c r="I747" s="8">
        <f>'Posted Sales Invoice Lines'!O747</f>
        <v>693.12</v>
      </c>
    </row>
    <row r="748" spans="1:9" x14ac:dyDescent="0.25">
      <c r="A748" s="2" t="str">
        <f>'Posted Sales Invoice Lines'!A748</f>
        <v>PS-INV196542</v>
      </c>
      <c r="B748" s="2" t="str">
        <f>'Posted Sales Invoice Lines'!B748</f>
        <v>10899</v>
      </c>
      <c r="C748" s="2" t="str">
        <f>'Posted Sales Invoice Lines'!C748</f>
        <v>Wood Fruitticher Grocery Co.</v>
      </c>
      <c r="D748" s="2" t="str">
        <f>'Posted Sales Invoice Lines'!E748</f>
        <v>F53070</v>
      </c>
      <c r="E748" s="2" t="str">
        <f>'Posted Sales Invoice Lines'!F748</f>
        <v xml:space="preserve">Cs. 5" Challah Sesame Buns </v>
      </c>
      <c r="F748" s="3">
        <f>'Posted Sales Invoice Lines'!G748</f>
        <v>46098</v>
      </c>
      <c r="G748" s="9">
        <f>'Posted Sales Invoice Lines'!L748</f>
        <v>128</v>
      </c>
      <c r="H748" s="8">
        <f>'Posted Sales Invoice Lines'!N748</f>
        <v>32.89</v>
      </c>
      <c r="I748" s="8">
        <f>'Posted Sales Invoice Lines'!O748</f>
        <v>4209.92</v>
      </c>
    </row>
    <row r="749" spans="1:9" x14ac:dyDescent="0.25">
      <c r="A749" s="2" t="str">
        <f>'Posted Sales Invoice Lines'!A749</f>
        <v>PS-INV196542</v>
      </c>
      <c r="B749" s="2" t="str">
        <f>'Posted Sales Invoice Lines'!B749</f>
        <v>10899</v>
      </c>
      <c r="C749" s="2" t="str">
        <f>'Posted Sales Invoice Lines'!C749</f>
        <v>Wood Fruitticher Grocery Co.</v>
      </c>
      <c r="D749" s="2" t="str">
        <f>'Posted Sales Invoice Lines'!E749</f>
        <v>F51137</v>
      </c>
      <c r="E749" s="2" t="str">
        <f>'Posted Sales Invoice Lines'!F749</f>
        <v>Cs. Texas Toast 3/4" 12lvs</v>
      </c>
      <c r="F749" s="3">
        <f>'Posted Sales Invoice Lines'!G749</f>
        <v>46098</v>
      </c>
      <c r="G749" s="9">
        <f>'Posted Sales Invoice Lines'!L749</f>
        <v>48</v>
      </c>
      <c r="H749" s="8">
        <f>'Posted Sales Invoice Lines'!N749</f>
        <v>28.49</v>
      </c>
      <c r="I749" s="8">
        <f>'Posted Sales Invoice Lines'!O749</f>
        <v>1367.52</v>
      </c>
    </row>
    <row r="750" spans="1:9" x14ac:dyDescent="0.25">
      <c r="A750" s="2" t="str">
        <f>'Posted Sales Invoice Lines'!A750</f>
        <v>PS-INV196542</v>
      </c>
      <c r="B750" s="2" t="str">
        <f>'Posted Sales Invoice Lines'!B750</f>
        <v>10899</v>
      </c>
      <c r="C750" s="2" t="str">
        <f>'Posted Sales Invoice Lines'!C750</f>
        <v>Wood Fruitticher Grocery Co.</v>
      </c>
      <c r="D750" s="2" t="str">
        <f>'Posted Sales Invoice Lines'!E750</f>
        <v>F51136</v>
      </c>
      <c r="E750" s="2" t="str">
        <f>'Posted Sales Invoice Lines'!F750</f>
        <v>Cs. Texas Toast 1" 12lvs</v>
      </c>
      <c r="F750" s="3">
        <f>'Posted Sales Invoice Lines'!G750</f>
        <v>46098</v>
      </c>
      <c r="G750" s="9">
        <f>'Posted Sales Invoice Lines'!L750</f>
        <v>84</v>
      </c>
      <c r="H750" s="8">
        <f>'Posted Sales Invoice Lines'!N750</f>
        <v>28.49</v>
      </c>
      <c r="I750" s="8">
        <f>'Posted Sales Invoice Lines'!O750</f>
        <v>2393.16</v>
      </c>
    </row>
    <row r="751" spans="1:9" x14ac:dyDescent="0.25">
      <c r="A751" s="2" t="str">
        <f>'Posted Sales Invoice Lines'!A751</f>
        <v>PS-INV196542</v>
      </c>
      <c r="B751" s="2" t="str">
        <f>'Posted Sales Invoice Lines'!B751</f>
        <v>10899</v>
      </c>
      <c r="C751" s="2" t="str">
        <f>'Posted Sales Invoice Lines'!C751</f>
        <v>Wood Fruitticher Grocery Co.</v>
      </c>
      <c r="D751" s="2" t="str">
        <f>'Posted Sales Invoice Lines'!E751</f>
        <v>F51134</v>
      </c>
      <c r="E751" s="2" t="str">
        <f>'Posted Sales Invoice Lines'!F751</f>
        <v>Cs. Club Wheat 12lvs</v>
      </c>
      <c r="F751" s="3">
        <f>'Posted Sales Invoice Lines'!G751</f>
        <v>46098</v>
      </c>
      <c r="G751" s="9">
        <f>'Posted Sales Invoice Lines'!L751</f>
        <v>64</v>
      </c>
      <c r="H751" s="8">
        <f>'Posted Sales Invoice Lines'!N751</f>
        <v>28.49</v>
      </c>
      <c r="I751" s="8">
        <f>'Posted Sales Invoice Lines'!O751</f>
        <v>1823.36</v>
      </c>
    </row>
    <row r="752" spans="1:9" x14ac:dyDescent="0.25">
      <c r="A752" s="2" t="str">
        <f>'Posted Sales Invoice Lines'!A752</f>
        <v>PS-INV196542</v>
      </c>
      <c r="B752" s="2" t="str">
        <f>'Posted Sales Invoice Lines'!B752</f>
        <v>10899</v>
      </c>
      <c r="C752" s="2" t="str">
        <f>'Posted Sales Invoice Lines'!C752</f>
        <v>Wood Fruitticher Grocery Co.</v>
      </c>
      <c r="D752" s="2" t="str">
        <f>'Posted Sales Invoice Lines'!E752</f>
        <v>F53094</v>
      </c>
      <c r="E752" s="2" t="str">
        <f>'Posted Sales Invoice Lines'!F752</f>
        <v>Cs. 6" Italian 12-6pks</v>
      </c>
      <c r="F752" s="3">
        <f>'Posted Sales Invoice Lines'!G752</f>
        <v>46098</v>
      </c>
      <c r="G752" s="9">
        <f>'Posted Sales Invoice Lines'!L752</f>
        <v>168</v>
      </c>
      <c r="H752" s="8">
        <f>'Posted Sales Invoice Lines'!N752</f>
        <v>25.25</v>
      </c>
      <c r="I752" s="8">
        <f>'Posted Sales Invoice Lines'!O752</f>
        <v>4242</v>
      </c>
    </row>
    <row r="753" spans="1:9" x14ac:dyDescent="0.25">
      <c r="A753" s="2" t="str">
        <f>'Posted Sales Invoice Lines'!A753</f>
        <v>PS-INV196542</v>
      </c>
      <c r="B753" s="2" t="str">
        <f>'Posted Sales Invoice Lines'!B753</f>
        <v>10899</v>
      </c>
      <c r="C753" s="2" t="str">
        <f>'Posted Sales Invoice Lines'!C753</f>
        <v>Wood Fruitticher Grocery Co.</v>
      </c>
      <c r="D753" s="2" t="str">
        <f>'Posted Sales Invoice Lines'!E753</f>
        <v>F53116</v>
      </c>
      <c r="E753" s="2" t="str">
        <f>'Posted Sales Invoice Lines'!F753</f>
        <v>Cs. 7" French Hinged 12</v>
      </c>
      <c r="F753" s="3">
        <f>'Posted Sales Invoice Lines'!G753</f>
        <v>46098</v>
      </c>
      <c r="G753" s="9">
        <f>'Posted Sales Invoice Lines'!L753</f>
        <v>48</v>
      </c>
      <c r="H753" s="8">
        <f>'Posted Sales Invoice Lines'!N753</f>
        <v>28.88</v>
      </c>
      <c r="I753" s="8">
        <f>'Posted Sales Invoice Lines'!O753</f>
        <v>1386.24</v>
      </c>
    </row>
    <row r="754" spans="1:9" x14ac:dyDescent="0.25">
      <c r="A754" s="2" t="str">
        <f>'Posted Sales Invoice Lines'!A754</f>
        <v>PS-INV196542</v>
      </c>
      <c r="B754" s="2" t="str">
        <f>'Posted Sales Invoice Lines'!B754</f>
        <v>10899</v>
      </c>
      <c r="C754" s="2" t="str">
        <f>'Posted Sales Invoice Lines'!C754</f>
        <v>Wood Fruitticher Grocery Co.</v>
      </c>
      <c r="D754" s="2" t="str">
        <f>'Posted Sales Invoice Lines'!E754</f>
        <v>F51006</v>
      </c>
      <c r="E754" s="2" t="str">
        <f>'Posted Sales Invoice Lines'!F754</f>
        <v>Cs. Rye 3/4" 8lvs</v>
      </c>
      <c r="F754" s="3">
        <f>'Posted Sales Invoice Lines'!G754</f>
        <v>46098</v>
      </c>
      <c r="G754" s="9">
        <f>'Posted Sales Invoice Lines'!L754</f>
        <v>32</v>
      </c>
      <c r="H754" s="8">
        <f>'Posted Sales Invoice Lines'!N754</f>
        <v>36.630000000000003</v>
      </c>
      <c r="I754" s="8">
        <f>'Posted Sales Invoice Lines'!O754</f>
        <v>1172.1600000000001</v>
      </c>
    </row>
    <row r="755" spans="1:9" x14ac:dyDescent="0.25">
      <c r="A755" s="2" t="str">
        <f>'Posted Sales Invoice Lines'!A755</f>
        <v>PS-INV196542</v>
      </c>
      <c r="B755" s="2" t="str">
        <f>'Posted Sales Invoice Lines'!B755</f>
        <v>10899</v>
      </c>
      <c r="C755" s="2" t="str">
        <f>'Posted Sales Invoice Lines'!C755</f>
        <v>Wood Fruitticher Grocery Co.</v>
      </c>
      <c r="D755" s="2" t="str">
        <f>'Posted Sales Invoice Lines'!E755</f>
        <v>F51034</v>
      </c>
      <c r="E755" s="2" t="str">
        <f>'Posted Sales Invoice Lines'!F755</f>
        <v>Cs. Sour Dough Hearth 5/8" 8lvs</v>
      </c>
      <c r="F755" s="3">
        <f>'Posted Sales Invoice Lines'!G755</f>
        <v>46098</v>
      </c>
      <c r="G755" s="9">
        <f>'Posted Sales Invoice Lines'!L755</f>
        <v>72</v>
      </c>
      <c r="H755" s="8">
        <f>'Posted Sales Invoice Lines'!N755</f>
        <v>37.950000000000003</v>
      </c>
      <c r="I755" s="8">
        <f>'Posted Sales Invoice Lines'!O755</f>
        <v>2732.4</v>
      </c>
    </row>
    <row r="756" spans="1:9" x14ac:dyDescent="0.25">
      <c r="A756" s="2" t="str">
        <f>'Posted Sales Invoice Lines'!A756</f>
        <v>PS-INV196542</v>
      </c>
      <c r="B756" s="2" t="str">
        <f>'Posted Sales Invoice Lines'!B756</f>
        <v>10899</v>
      </c>
      <c r="C756" s="2" t="str">
        <f>'Posted Sales Invoice Lines'!C756</f>
        <v>Wood Fruitticher Grocery Co.</v>
      </c>
      <c r="D756" s="2" t="str">
        <f>'Posted Sales Invoice Lines'!E756</f>
        <v>F530441</v>
      </c>
      <c r="E756" s="2" t="str">
        <f>'Posted Sales Invoice Lines'!F756</f>
        <v>Cs. 4.5"Onion Roll</v>
      </c>
      <c r="F756" s="3">
        <f>'Posted Sales Invoice Lines'!G756</f>
        <v>46098</v>
      </c>
      <c r="G756" s="9">
        <f>'Posted Sales Invoice Lines'!L756</f>
        <v>32</v>
      </c>
      <c r="H756" s="8">
        <f>'Posted Sales Invoice Lines'!N756</f>
        <v>43.34</v>
      </c>
      <c r="I756" s="8">
        <f>'Posted Sales Invoice Lines'!O756</f>
        <v>1386.88</v>
      </c>
    </row>
    <row r="757" spans="1:9" x14ac:dyDescent="0.25">
      <c r="A757" s="2" t="str">
        <f>'Posted Sales Invoice Lines'!A757</f>
        <v>PS-INV196542</v>
      </c>
      <c r="B757" s="2" t="str">
        <f>'Posted Sales Invoice Lines'!B757</f>
        <v>10899</v>
      </c>
      <c r="C757" s="2" t="str">
        <f>'Posted Sales Invoice Lines'!C757</f>
        <v>Wood Fruitticher Grocery Co.</v>
      </c>
      <c r="D757" s="2" t="str">
        <f>'Posted Sales Invoice Lines'!E757</f>
        <v>F53001</v>
      </c>
      <c r="E757" s="2" t="str">
        <f>'Posted Sales Invoice Lines'!F757</f>
        <v>Cs. 4" Brioche Bun 8-12pk</v>
      </c>
      <c r="F757" s="3">
        <f>'Posted Sales Invoice Lines'!G757</f>
        <v>46098</v>
      </c>
      <c r="G757" s="9">
        <f>'Posted Sales Invoice Lines'!L757</f>
        <v>112</v>
      </c>
      <c r="H757" s="8">
        <f>'Posted Sales Invoice Lines'!N757</f>
        <v>40.43</v>
      </c>
      <c r="I757" s="8">
        <f>'Posted Sales Invoice Lines'!O757</f>
        <v>4528.16</v>
      </c>
    </row>
    <row r="758" spans="1:9" x14ac:dyDescent="0.25">
      <c r="A758" s="2" t="str">
        <f>'Posted Sales Invoice Lines'!A758</f>
        <v>PS-INV196660</v>
      </c>
      <c r="B758" s="2" t="str">
        <f>'Posted Sales Invoice Lines'!B758</f>
        <v>13128</v>
      </c>
      <c r="C758" s="2" t="str">
        <f>'Posted Sales Invoice Lines'!C758</f>
        <v>Gordon Food Service - Shepherdsville</v>
      </c>
      <c r="D758" s="2" t="str">
        <f>'Posted Sales Invoice Lines'!E758</f>
        <v>F51084</v>
      </c>
      <c r="E758" s="2" t="str">
        <f>'Posted Sales Invoice Lines'!F758</f>
        <v>Cs. Wheatberry Hearth</v>
      </c>
      <c r="F758" s="3">
        <f>'Posted Sales Invoice Lines'!G758</f>
        <v>46098</v>
      </c>
      <c r="G758" s="9">
        <f>'Posted Sales Invoice Lines'!L758</f>
        <v>96</v>
      </c>
      <c r="H758" s="8">
        <f>'Posted Sales Invoice Lines'!N758</f>
        <v>33.299999999999997</v>
      </c>
      <c r="I758" s="8">
        <f>'Posted Sales Invoice Lines'!O758</f>
        <v>3196.8</v>
      </c>
    </row>
    <row r="759" spans="1:9" x14ac:dyDescent="0.25">
      <c r="A759" s="2" t="str">
        <f>'Posted Sales Invoice Lines'!A759</f>
        <v>PS-INV196660</v>
      </c>
      <c r="B759" s="2" t="str">
        <f>'Posted Sales Invoice Lines'!B759</f>
        <v>13128</v>
      </c>
      <c r="C759" s="2" t="str">
        <f>'Posted Sales Invoice Lines'!C759</f>
        <v>Gordon Food Service - Shepherdsville</v>
      </c>
      <c r="D759" s="2" t="str">
        <f>'Posted Sales Invoice Lines'!E759</f>
        <v>F51114</v>
      </c>
      <c r="E759" s="2" t="str">
        <f>'Posted Sales Invoice Lines'!F759</f>
        <v>Cs. Old Fashioned Hearth 5/8" 8lvs</v>
      </c>
      <c r="F759" s="3">
        <f>'Posted Sales Invoice Lines'!G759</f>
        <v>46098</v>
      </c>
      <c r="G759" s="9">
        <f>'Posted Sales Invoice Lines'!L759</f>
        <v>112</v>
      </c>
      <c r="H759" s="8">
        <f>'Posted Sales Invoice Lines'!N759</f>
        <v>39.700000000000003</v>
      </c>
      <c r="I759" s="8">
        <f>'Posted Sales Invoice Lines'!O759</f>
        <v>4446.3999999999996</v>
      </c>
    </row>
    <row r="760" spans="1:9" x14ac:dyDescent="0.25">
      <c r="A760" s="2" t="str">
        <f>'Posted Sales Invoice Lines'!A760</f>
        <v>PS-INV196660</v>
      </c>
      <c r="B760" s="2" t="str">
        <f>'Posted Sales Invoice Lines'!B760</f>
        <v>13128</v>
      </c>
      <c r="C760" s="2" t="str">
        <f>'Posted Sales Invoice Lines'!C760</f>
        <v>Gordon Food Service - Shepherdsville</v>
      </c>
      <c r="D760" s="2" t="str">
        <f>'Posted Sales Invoice Lines'!E760</f>
        <v>F56251</v>
      </c>
      <c r="E760" s="2" t="str">
        <f>'Posted Sales Invoice Lines'!F760</f>
        <v>Cs. Challah Sliders Sliced 18-12pks</v>
      </c>
      <c r="F760" s="3">
        <f>'Posted Sales Invoice Lines'!G760</f>
        <v>46098</v>
      </c>
      <c r="G760" s="9">
        <f>'Posted Sales Invoice Lines'!L760</f>
        <v>640</v>
      </c>
      <c r="H760" s="8">
        <f>'Posted Sales Invoice Lines'!N760</f>
        <v>39.700000000000003</v>
      </c>
      <c r="I760" s="8">
        <f>'Posted Sales Invoice Lines'!O760</f>
        <v>25408</v>
      </c>
    </row>
    <row r="761" spans="1:9" x14ac:dyDescent="0.25">
      <c r="A761" s="2" t="str">
        <f>'Posted Sales Invoice Lines'!A761</f>
        <v>PS-INV196669</v>
      </c>
      <c r="B761" s="2" t="str">
        <f>'Posted Sales Invoice Lines'!B761</f>
        <v>10719-12</v>
      </c>
      <c r="C761" s="2" t="str">
        <f>'Posted Sales Invoice Lines'!C761</f>
        <v>US Foods - Port Orange</v>
      </c>
      <c r="D761" s="2" t="str">
        <f>'Posted Sales Invoice Lines'!E761</f>
        <v>F53002</v>
      </c>
      <c r="E761" s="2" t="str">
        <f>'Posted Sales Invoice Lines'!F761</f>
        <v>Cs. 4" Challah Sesame Bun 8-12pk</v>
      </c>
      <c r="F761" s="3">
        <f>'Posted Sales Invoice Lines'!G761</f>
        <v>46104</v>
      </c>
      <c r="G761" s="9">
        <f>'Posted Sales Invoice Lines'!L761</f>
        <v>600</v>
      </c>
      <c r="H761" s="8">
        <f>'Posted Sales Invoice Lines'!N761</f>
        <v>41.66</v>
      </c>
      <c r="I761" s="8">
        <f>'Posted Sales Invoice Lines'!O761</f>
        <v>24996</v>
      </c>
    </row>
    <row r="762" spans="1:9" x14ac:dyDescent="0.25">
      <c r="A762" s="2" t="str">
        <f>'Posted Sales Invoice Lines'!A762</f>
        <v>PS-INV196669</v>
      </c>
      <c r="B762" s="2" t="str">
        <f>'Posted Sales Invoice Lines'!B762</f>
        <v>10719-12</v>
      </c>
      <c r="C762" s="2" t="str">
        <f>'Posted Sales Invoice Lines'!C762</f>
        <v>US Foods - Port Orange</v>
      </c>
      <c r="D762" s="2" t="str">
        <f>'Posted Sales Invoice Lines'!E762</f>
        <v>F52902</v>
      </c>
      <c r="E762" s="2" t="str">
        <f>'Posted Sales Invoice Lines'!F762</f>
        <v>Cs. 22" Rye Baguette 10-2pk</v>
      </c>
      <c r="F762" s="3">
        <f>'Posted Sales Invoice Lines'!G762</f>
        <v>46104</v>
      </c>
      <c r="G762" s="9">
        <f>'Posted Sales Invoice Lines'!L762</f>
        <v>32</v>
      </c>
      <c r="H762" s="8">
        <f>'Posted Sales Invoice Lines'!N762</f>
        <v>42.53</v>
      </c>
      <c r="I762" s="8">
        <f>'Posted Sales Invoice Lines'!O762</f>
        <v>1360.96</v>
      </c>
    </row>
    <row r="763" spans="1:9" x14ac:dyDescent="0.25">
      <c r="A763" s="2" t="str">
        <f>'Posted Sales Invoice Lines'!A763</f>
        <v>PS-INV196669</v>
      </c>
      <c r="B763" s="2" t="str">
        <f>'Posted Sales Invoice Lines'!B763</f>
        <v>10719-12</v>
      </c>
      <c r="C763" s="2" t="str">
        <f>'Posted Sales Invoice Lines'!C763</f>
        <v>US Foods - Port Orange</v>
      </c>
      <c r="D763" s="2" t="str">
        <f>'Posted Sales Invoice Lines'!E763</f>
        <v>F52007</v>
      </c>
      <c r="E763" s="2" t="str">
        <f>'Posted Sales Invoice Lines'!F763</f>
        <v>Cs. 22" 17oz French 10-2pk</v>
      </c>
      <c r="F763" s="3">
        <f>'Posted Sales Invoice Lines'!G763</f>
        <v>46104</v>
      </c>
      <c r="G763" s="9">
        <f>'Posted Sales Invoice Lines'!L763</f>
        <v>32</v>
      </c>
      <c r="H763" s="8">
        <f>'Posted Sales Invoice Lines'!N763</f>
        <v>39.96</v>
      </c>
      <c r="I763" s="8">
        <f>'Posted Sales Invoice Lines'!O763</f>
        <v>1278.72</v>
      </c>
    </row>
    <row r="764" spans="1:9" x14ac:dyDescent="0.25">
      <c r="A764" s="2" t="str">
        <f>'Posted Sales Invoice Lines'!A764</f>
        <v>PS-INV196669</v>
      </c>
      <c r="B764" s="2" t="str">
        <f>'Posted Sales Invoice Lines'!B764</f>
        <v>10719-12</v>
      </c>
      <c r="C764" s="2" t="str">
        <f>'Posted Sales Invoice Lines'!C764</f>
        <v>US Foods - Port Orange</v>
      </c>
      <c r="D764" s="2" t="str">
        <f>'Posted Sales Invoice Lines'!E764</f>
        <v>F53000</v>
      </c>
      <c r="E764" s="2" t="str">
        <f>'Posted Sales Invoice Lines'!F764</f>
        <v>Cs. 4" Hamburger Bun 8-12pk</v>
      </c>
      <c r="F764" s="3">
        <f>'Posted Sales Invoice Lines'!G764</f>
        <v>46104</v>
      </c>
      <c r="G764" s="9">
        <f>'Posted Sales Invoice Lines'!L764</f>
        <v>32</v>
      </c>
      <c r="H764" s="8">
        <f>'Posted Sales Invoice Lines'!N764</f>
        <v>33.5</v>
      </c>
      <c r="I764" s="8">
        <f>'Posted Sales Invoice Lines'!O764</f>
        <v>1072</v>
      </c>
    </row>
    <row r="765" spans="1:9" x14ac:dyDescent="0.25">
      <c r="A765" s="2" t="str">
        <f>'Posted Sales Invoice Lines'!A765</f>
        <v>PS-INV196711</v>
      </c>
      <c r="B765" s="2" t="str">
        <f>'Posted Sales Invoice Lines'!B765</f>
        <v>1-4</v>
      </c>
      <c r="C765" s="2" t="str">
        <f>'Posted Sales Invoice Lines'!C765</f>
        <v>Heath West</v>
      </c>
      <c r="D765" s="2" t="str">
        <f>'Posted Sales Invoice Lines'!E765</f>
        <v>F53110</v>
      </c>
      <c r="E765" s="2" t="str">
        <f>'Posted Sales Invoice Lines'!F765</f>
        <v>Cs. Foot Long Challah Hot Dog Buns 10-6pk</v>
      </c>
      <c r="F765" s="3">
        <f>'Posted Sales Invoice Lines'!G765</f>
        <v>46085</v>
      </c>
      <c r="G765" s="9">
        <f>'Posted Sales Invoice Lines'!L765</f>
        <v>4</v>
      </c>
      <c r="H765" s="8">
        <f>'Posted Sales Invoice Lines'!N765</f>
        <v>0</v>
      </c>
      <c r="I765" s="8">
        <f>'Posted Sales Invoice Lines'!O765</f>
        <v>0</v>
      </c>
    </row>
    <row r="766" spans="1:9" x14ac:dyDescent="0.25">
      <c r="A766" s="2" t="str">
        <f>'Posted Sales Invoice Lines'!A766</f>
        <v>PS-INV196711</v>
      </c>
      <c r="B766" s="2" t="str">
        <f>'Posted Sales Invoice Lines'!B766</f>
        <v>1-4</v>
      </c>
      <c r="C766" s="2" t="str">
        <f>'Posted Sales Invoice Lines'!C766</f>
        <v>Heath West</v>
      </c>
      <c r="D766" s="2" t="str">
        <f>'Posted Sales Invoice Lines'!E766</f>
        <v>F56251</v>
      </c>
      <c r="E766" s="2" t="str">
        <f>'Posted Sales Invoice Lines'!F766</f>
        <v>Cs. Challah Sliders Sliced 18-12pks</v>
      </c>
      <c r="F766" s="3">
        <f>'Posted Sales Invoice Lines'!G766</f>
        <v>46085</v>
      </c>
      <c r="G766" s="9">
        <f>'Posted Sales Invoice Lines'!L766</f>
        <v>6</v>
      </c>
      <c r="H766" s="8">
        <f>'Posted Sales Invoice Lines'!N766</f>
        <v>0</v>
      </c>
      <c r="I766" s="8">
        <f>'Posted Sales Invoice Lines'!O766</f>
        <v>0</v>
      </c>
    </row>
    <row r="767" spans="1:9" x14ac:dyDescent="0.25">
      <c r="A767" s="2" t="str">
        <f>'Posted Sales Invoice Lines'!A767</f>
        <v>PS-INV197238</v>
      </c>
      <c r="B767" s="2" t="str">
        <f>'Posted Sales Invoice Lines'!B767</f>
        <v>10719-4</v>
      </c>
      <c r="C767" s="2" t="str">
        <f>'Posted Sales Invoice Lines'!C767</f>
        <v>US Foods - Columbia/Lexington</v>
      </c>
      <c r="D767" s="2" t="str">
        <f>'Posted Sales Invoice Lines'!E767</f>
        <v>F53094</v>
      </c>
      <c r="E767" s="2" t="str">
        <f>'Posted Sales Invoice Lines'!F767</f>
        <v>Cs. 6" Italian 12-6pks</v>
      </c>
      <c r="F767" s="3">
        <f>'Posted Sales Invoice Lines'!G767</f>
        <v>46099</v>
      </c>
      <c r="G767" s="9">
        <f>'Posted Sales Invoice Lines'!L767</f>
        <v>4</v>
      </c>
      <c r="H767" s="8">
        <f>'Posted Sales Invoice Lines'!N767</f>
        <v>39</v>
      </c>
      <c r="I767" s="8">
        <f>'Posted Sales Invoice Lines'!O767</f>
        <v>156</v>
      </c>
    </row>
    <row r="768" spans="1:9" x14ac:dyDescent="0.25">
      <c r="A768" s="2" t="str">
        <f>'Posted Sales Invoice Lines'!A768</f>
        <v>PS-INV197238</v>
      </c>
      <c r="B768" s="2" t="str">
        <f>'Posted Sales Invoice Lines'!B768</f>
        <v>10719-4</v>
      </c>
      <c r="C768" s="2" t="str">
        <f>'Posted Sales Invoice Lines'!C768</f>
        <v>US Foods - Columbia/Lexington</v>
      </c>
      <c r="D768" s="2" t="str">
        <f>'Posted Sales Invoice Lines'!E768</f>
        <v>F51044</v>
      </c>
      <c r="E768" s="2" t="str">
        <f>'Posted Sales Invoice Lines'!F768</f>
        <v>Cs. Vienna 5/8" 8lvs</v>
      </c>
      <c r="F768" s="3">
        <f>'Posted Sales Invoice Lines'!G768</f>
        <v>46099</v>
      </c>
      <c r="G768" s="9">
        <f>'Posted Sales Invoice Lines'!L768</f>
        <v>4</v>
      </c>
      <c r="H768" s="8">
        <f>'Posted Sales Invoice Lines'!N768</f>
        <v>40</v>
      </c>
      <c r="I768" s="8">
        <f>'Posted Sales Invoice Lines'!O768</f>
        <v>160</v>
      </c>
    </row>
    <row r="769" spans="1:9" x14ac:dyDescent="0.25">
      <c r="A769" s="2" t="str">
        <f>'Posted Sales Invoice Lines'!A769</f>
        <v>PS-INV197238</v>
      </c>
      <c r="B769" s="2" t="str">
        <f>'Posted Sales Invoice Lines'!B769</f>
        <v>10719-4</v>
      </c>
      <c r="C769" s="2" t="str">
        <f>'Posted Sales Invoice Lines'!C769</f>
        <v>US Foods - Columbia/Lexington</v>
      </c>
      <c r="D769" s="2" t="str">
        <f>'Posted Sales Invoice Lines'!E769</f>
        <v>F53010</v>
      </c>
      <c r="E769" s="2" t="str">
        <f>'Posted Sales Invoice Lines'!F769</f>
        <v>Cs. Onion Roll 8-12pk</v>
      </c>
      <c r="F769" s="3">
        <f>'Posted Sales Invoice Lines'!G769</f>
        <v>46099</v>
      </c>
      <c r="G769" s="9">
        <f>'Posted Sales Invoice Lines'!L769</f>
        <v>20</v>
      </c>
      <c r="H769" s="8">
        <f>'Posted Sales Invoice Lines'!N769</f>
        <v>41.85</v>
      </c>
      <c r="I769" s="8">
        <f>'Posted Sales Invoice Lines'!O769</f>
        <v>837</v>
      </c>
    </row>
    <row r="770" spans="1:9" x14ac:dyDescent="0.25">
      <c r="A770" s="2" t="str">
        <f>'Posted Sales Invoice Lines'!A770</f>
        <v>PS-INV197238</v>
      </c>
      <c r="B770" s="2" t="str">
        <f>'Posted Sales Invoice Lines'!B770</f>
        <v>10719-4</v>
      </c>
      <c r="C770" s="2" t="str">
        <f>'Posted Sales Invoice Lines'!C770</f>
        <v>US Foods - Columbia/Lexington</v>
      </c>
      <c r="D770" s="2" t="str">
        <f>'Posted Sales Invoice Lines'!E770</f>
        <v>F53093</v>
      </c>
      <c r="E770" s="2" t="str">
        <f>'Posted Sales Invoice Lines'!F770</f>
        <v>Cs. 6" Philly Unsliced 12-6pk</v>
      </c>
      <c r="F770" s="3">
        <f>'Posted Sales Invoice Lines'!G770</f>
        <v>46099</v>
      </c>
      <c r="G770" s="9">
        <f>'Posted Sales Invoice Lines'!L770</f>
        <v>4</v>
      </c>
      <c r="H770" s="8">
        <f>'Posted Sales Invoice Lines'!N770</f>
        <v>47.2</v>
      </c>
      <c r="I770" s="8">
        <f>'Posted Sales Invoice Lines'!O770</f>
        <v>188.8</v>
      </c>
    </row>
    <row r="771" spans="1:9" x14ac:dyDescent="0.25">
      <c r="A771" s="2" t="str">
        <f>'Posted Sales Invoice Lines'!A771</f>
        <v>PS-INV197238</v>
      </c>
      <c r="B771" s="2" t="str">
        <f>'Posted Sales Invoice Lines'!B771</f>
        <v>10719-4</v>
      </c>
      <c r="C771" s="2" t="str">
        <f>'Posted Sales Invoice Lines'!C771</f>
        <v>US Foods - Columbia/Lexington</v>
      </c>
      <c r="D771" s="2" t="str">
        <f>'Posted Sales Invoice Lines'!E771</f>
        <v>F51026</v>
      </c>
      <c r="E771" s="2" t="str">
        <f>'Posted Sales Invoice Lines'!F771</f>
        <v>Cs. Marble Rye 3/4" 8lvs</v>
      </c>
      <c r="F771" s="3">
        <f>'Posted Sales Invoice Lines'!G771</f>
        <v>46099</v>
      </c>
      <c r="G771" s="9">
        <f>'Posted Sales Invoice Lines'!L771</f>
        <v>48</v>
      </c>
      <c r="H771" s="8">
        <f>'Posted Sales Invoice Lines'!N771</f>
        <v>52</v>
      </c>
      <c r="I771" s="8">
        <f>'Posted Sales Invoice Lines'!O771</f>
        <v>2496</v>
      </c>
    </row>
    <row r="772" spans="1:9" x14ac:dyDescent="0.25">
      <c r="A772" s="2" t="str">
        <f>'Posted Sales Invoice Lines'!A772</f>
        <v>PS-INV197238</v>
      </c>
      <c r="B772" s="2" t="str">
        <f>'Posted Sales Invoice Lines'!B772</f>
        <v>10719-4</v>
      </c>
      <c r="C772" s="2" t="str">
        <f>'Posted Sales Invoice Lines'!C772</f>
        <v>US Foods - Columbia/Lexington</v>
      </c>
      <c r="D772" s="2" t="str">
        <f>'Posted Sales Invoice Lines'!E772</f>
        <v>F53001</v>
      </c>
      <c r="E772" s="2" t="str">
        <f>'Posted Sales Invoice Lines'!F772</f>
        <v>Cs. 4" Brioche Bun 8-12pk</v>
      </c>
      <c r="F772" s="3">
        <f>'Posted Sales Invoice Lines'!G772</f>
        <v>46099</v>
      </c>
      <c r="G772" s="9">
        <f>'Posted Sales Invoice Lines'!L772</f>
        <v>140</v>
      </c>
      <c r="H772" s="8">
        <f>'Posted Sales Invoice Lines'!N772</f>
        <v>43.5</v>
      </c>
      <c r="I772" s="8">
        <f>'Posted Sales Invoice Lines'!O772</f>
        <v>6090</v>
      </c>
    </row>
    <row r="773" spans="1:9" x14ac:dyDescent="0.25">
      <c r="A773" s="2" t="str">
        <f>'Posted Sales Invoice Lines'!A773</f>
        <v>PS-INV197238</v>
      </c>
      <c r="B773" s="2" t="str">
        <f>'Posted Sales Invoice Lines'!B773</f>
        <v>10719-4</v>
      </c>
      <c r="C773" s="2" t="str">
        <f>'Posted Sales Invoice Lines'!C773</f>
        <v>US Foods - Columbia/Lexington</v>
      </c>
      <c r="D773" s="2" t="str">
        <f>'Posted Sales Invoice Lines'!E773</f>
        <v>F51020</v>
      </c>
      <c r="E773" s="2" t="str">
        <f>'Posted Sales Invoice Lines'!F773</f>
        <v>Cs. Marble Rye 1/2" 8lvs</v>
      </c>
      <c r="F773" s="3">
        <f>'Posted Sales Invoice Lines'!G773</f>
        <v>46099</v>
      </c>
      <c r="G773" s="9">
        <f>'Posted Sales Invoice Lines'!L773</f>
        <v>8</v>
      </c>
      <c r="H773" s="8">
        <f>'Posted Sales Invoice Lines'!N773</f>
        <v>52</v>
      </c>
      <c r="I773" s="8">
        <f>'Posted Sales Invoice Lines'!O773</f>
        <v>416</v>
      </c>
    </row>
    <row r="774" spans="1:9" x14ac:dyDescent="0.25">
      <c r="A774" s="2" t="str">
        <f>'Posted Sales Invoice Lines'!A774</f>
        <v>PS-INV197238</v>
      </c>
      <c r="B774" s="2" t="str">
        <f>'Posted Sales Invoice Lines'!B774</f>
        <v>10719-4</v>
      </c>
      <c r="C774" s="2" t="str">
        <f>'Posted Sales Invoice Lines'!C774</f>
        <v>US Foods - Columbia/Lexington</v>
      </c>
      <c r="D774" s="2" t="str">
        <f>'Posted Sales Invoice Lines'!E774</f>
        <v>F53024</v>
      </c>
      <c r="E774" s="2" t="str">
        <f>'Posted Sales Invoice Lines'!F774</f>
        <v>Cs. 4" Challah Kaiser 8-12pk</v>
      </c>
      <c r="F774" s="3">
        <f>'Posted Sales Invoice Lines'!G774</f>
        <v>46099</v>
      </c>
      <c r="G774" s="9">
        <f>'Posted Sales Invoice Lines'!L774</f>
        <v>16</v>
      </c>
      <c r="H774" s="8">
        <f>'Posted Sales Invoice Lines'!N774</f>
        <v>38.25</v>
      </c>
      <c r="I774" s="8">
        <f>'Posted Sales Invoice Lines'!O774</f>
        <v>612</v>
      </c>
    </row>
    <row r="775" spans="1:9" x14ac:dyDescent="0.25">
      <c r="A775" s="2" t="str">
        <f>'Posted Sales Invoice Lines'!A775</f>
        <v>PS-INV197238</v>
      </c>
      <c r="B775" s="2" t="str">
        <f>'Posted Sales Invoice Lines'!B775</f>
        <v>10719-4</v>
      </c>
      <c r="C775" s="2" t="str">
        <f>'Posted Sales Invoice Lines'!C775</f>
        <v>US Foods - Columbia/Lexington</v>
      </c>
      <c r="D775" s="2" t="str">
        <f>'Posted Sales Invoice Lines'!E775</f>
        <v>F53127</v>
      </c>
      <c r="E775" s="2" t="str">
        <f>'Posted Sales Invoice Lines'!F775</f>
        <v>Cs. 8" Philly 10-6pks</v>
      </c>
      <c r="F775" s="3">
        <f>'Posted Sales Invoice Lines'!G775</f>
        <v>46099</v>
      </c>
      <c r="G775" s="9">
        <f>'Posted Sales Invoice Lines'!L775</f>
        <v>20</v>
      </c>
      <c r="H775" s="8">
        <f>'Posted Sales Invoice Lines'!N775</f>
        <v>65</v>
      </c>
      <c r="I775" s="8">
        <f>'Posted Sales Invoice Lines'!O775</f>
        <v>1300</v>
      </c>
    </row>
    <row r="776" spans="1:9" x14ac:dyDescent="0.25">
      <c r="A776" s="2" t="str">
        <f>'Posted Sales Invoice Lines'!A776</f>
        <v>PS-INV197252</v>
      </c>
      <c r="B776" s="2" t="str">
        <f>'Posted Sales Invoice Lines'!B776</f>
        <v>20334</v>
      </c>
      <c r="C776" s="2" t="str">
        <f>'Posted Sales Invoice Lines'!C776</f>
        <v>Sysco Atlanta</v>
      </c>
      <c r="D776" s="2" t="str">
        <f>'Posted Sales Invoice Lines'!E776</f>
        <v>F53116</v>
      </c>
      <c r="E776" s="2" t="str">
        <f>'Posted Sales Invoice Lines'!F776</f>
        <v>Cs. 7" French Hinged 12</v>
      </c>
      <c r="F776" s="3">
        <f>'Posted Sales Invoice Lines'!G776</f>
        <v>46100</v>
      </c>
      <c r="G776" s="9">
        <f>'Posted Sales Invoice Lines'!L776</f>
        <v>56</v>
      </c>
      <c r="H776" s="8">
        <f>'Posted Sales Invoice Lines'!N776</f>
        <v>31.42</v>
      </c>
      <c r="I776" s="8">
        <f>'Posted Sales Invoice Lines'!O776</f>
        <v>1759.52</v>
      </c>
    </row>
    <row r="777" spans="1:9" x14ac:dyDescent="0.25">
      <c r="A777" s="2" t="str">
        <f>'Posted Sales Invoice Lines'!A777</f>
        <v>PS-INV197252</v>
      </c>
      <c r="B777" s="2" t="str">
        <f>'Posted Sales Invoice Lines'!B777</f>
        <v>20334</v>
      </c>
      <c r="C777" s="2" t="str">
        <f>'Posted Sales Invoice Lines'!C777</f>
        <v>Sysco Atlanta</v>
      </c>
      <c r="D777" s="2" t="str">
        <f>'Posted Sales Invoice Lines'!E777</f>
        <v>F53087</v>
      </c>
      <c r="E777" s="2" t="str">
        <f>'Posted Sales Invoice Lines'!F777</f>
        <v>Cs. 3.5" Challah Bun 8-12 pk</v>
      </c>
      <c r="F777" s="3">
        <f>'Posted Sales Invoice Lines'!G777</f>
        <v>46100</v>
      </c>
      <c r="G777" s="9">
        <f>'Posted Sales Invoice Lines'!L777</f>
        <v>112</v>
      </c>
      <c r="H777" s="8">
        <f>'Posted Sales Invoice Lines'!N777</f>
        <v>34</v>
      </c>
      <c r="I777" s="8">
        <f>'Posted Sales Invoice Lines'!O777</f>
        <v>3808</v>
      </c>
    </row>
    <row r="778" spans="1:9" x14ac:dyDescent="0.25">
      <c r="A778" s="2" t="str">
        <f>'Posted Sales Invoice Lines'!A778</f>
        <v>PS-INV197252</v>
      </c>
      <c r="B778" s="2" t="str">
        <f>'Posted Sales Invoice Lines'!B778</f>
        <v>20334</v>
      </c>
      <c r="C778" s="2" t="str">
        <f>'Posted Sales Invoice Lines'!C778</f>
        <v>Sysco Atlanta</v>
      </c>
      <c r="D778" s="2" t="str">
        <f>'Posted Sales Invoice Lines'!E778</f>
        <v>F51024</v>
      </c>
      <c r="E778" s="2" t="str">
        <f>'Posted Sales Invoice Lines'!F778</f>
        <v>Cs. Marble Rye 5/8" 8lvs</v>
      </c>
      <c r="F778" s="3">
        <f>'Posted Sales Invoice Lines'!G778</f>
        <v>46100</v>
      </c>
      <c r="G778" s="9">
        <f>'Posted Sales Invoice Lines'!L778</f>
        <v>36</v>
      </c>
      <c r="H778" s="8">
        <f>'Posted Sales Invoice Lines'!N778</f>
        <v>43.26</v>
      </c>
      <c r="I778" s="8">
        <f>'Posted Sales Invoice Lines'!O778</f>
        <v>1557.36</v>
      </c>
    </row>
    <row r="779" spans="1:9" x14ac:dyDescent="0.25">
      <c r="A779" s="2" t="str">
        <f>'Posted Sales Invoice Lines'!A779</f>
        <v>PS-INV197252</v>
      </c>
      <c r="B779" s="2" t="str">
        <f>'Posted Sales Invoice Lines'!B779</f>
        <v>20334</v>
      </c>
      <c r="C779" s="2" t="str">
        <f>'Posted Sales Invoice Lines'!C779</f>
        <v>Sysco Atlanta</v>
      </c>
      <c r="D779" s="2" t="str">
        <f>'Posted Sales Invoice Lines'!E779</f>
        <v>F53001</v>
      </c>
      <c r="E779" s="2" t="str">
        <f>'Posted Sales Invoice Lines'!F779</f>
        <v>Cs. 4" Brioche Bun 8-12pk</v>
      </c>
      <c r="F779" s="3">
        <f>'Posted Sales Invoice Lines'!G779</f>
        <v>46100</v>
      </c>
      <c r="G779" s="9">
        <f>'Posted Sales Invoice Lines'!L779</f>
        <v>84</v>
      </c>
      <c r="H779" s="8">
        <f>'Posted Sales Invoice Lines'!N779</f>
        <v>43.36</v>
      </c>
      <c r="I779" s="8">
        <f>'Posted Sales Invoice Lines'!O779</f>
        <v>3642.24</v>
      </c>
    </row>
    <row r="780" spans="1:9" x14ac:dyDescent="0.25">
      <c r="A780" s="2" t="str">
        <f>'Posted Sales Invoice Lines'!A780</f>
        <v>PS-INV197252</v>
      </c>
      <c r="B780" s="2" t="str">
        <f>'Posted Sales Invoice Lines'!B780</f>
        <v>20334</v>
      </c>
      <c r="C780" s="2" t="str">
        <f>'Posted Sales Invoice Lines'!C780</f>
        <v>Sysco Atlanta</v>
      </c>
      <c r="D780" s="2" t="str">
        <f>'Posted Sales Invoice Lines'!E780</f>
        <v>F51157</v>
      </c>
      <c r="E780" s="2" t="str">
        <f>'Posted Sales Invoice Lines'!F780</f>
        <v>Cs. Challah Hearth 7/8" 8lvs</v>
      </c>
      <c r="F780" s="3">
        <f>'Posted Sales Invoice Lines'!G780</f>
        <v>46100</v>
      </c>
      <c r="G780" s="9">
        <f>'Posted Sales Invoice Lines'!L780</f>
        <v>12</v>
      </c>
      <c r="H780" s="8">
        <f>'Posted Sales Invoice Lines'!N780</f>
        <v>42.02</v>
      </c>
      <c r="I780" s="8">
        <f>'Posted Sales Invoice Lines'!O780</f>
        <v>504.24</v>
      </c>
    </row>
    <row r="781" spans="1:9" x14ac:dyDescent="0.25">
      <c r="A781" s="2" t="str">
        <f>'Posted Sales Invoice Lines'!A781</f>
        <v>PS-INV197278</v>
      </c>
      <c r="B781" s="2" t="str">
        <f>'Posted Sales Invoice Lines'!B781</f>
        <v>20069</v>
      </c>
      <c r="C781" s="2" t="str">
        <f>'Posted Sales Invoice Lines'!C781</f>
        <v>Cherry St.</v>
      </c>
      <c r="D781" s="2" t="str">
        <f>'Posted Sales Invoice Lines'!E781</f>
        <v>F56560</v>
      </c>
      <c r="E781" s="2" t="str">
        <f>'Posted Sales Invoice Lines'!F781</f>
        <v>Gluten Free 3.5" Hamburger 36ct</v>
      </c>
      <c r="F781" s="3">
        <f>'Posted Sales Invoice Lines'!G781</f>
        <v>46087</v>
      </c>
      <c r="G781" s="9">
        <f>'Posted Sales Invoice Lines'!L781</f>
        <v>1</v>
      </c>
      <c r="H781" s="8">
        <f>'Posted Sales Invoice Lines'!N781</f>
        <v>0</v>
      </c>
      <c r="I781" s="8">
        <f>'Posted Sales Invoice Lines'!O781</f>
        <v>0</v>
      </c>
    </row>
    <row r="782" spans="1:9" x14ac:dyDescent="0.25">
      <c r="A782" s="2" t="str">
        <f>'Posted Sales Invoice Lines'!A782</f>
        <v>PS-INV197327</v>
      </c>
      <c r="B782" s="2" t="str">
        <f>'Posted Sales Invoice Lines'!B782</f>
        <v>10711</v>
      </c>
      <c r="C782" s="2" t="str">
        <f>'Posted Sales Invoice Lines'!C782</f>
        <v>Cheney Bros Statesville</v>
      </c>
      <c r="D782" s="2" t="str">
        <f>'Posted Sales Invoice Lines'!E782</f>
        <v>F530142</v>
      </c>
      <c r="E782" s="2" t="str">
        <f>'Posted Sales Invoice Lines'!F782</f>
        <v>Cs. Knot Roll 8-12pk</v>
      </c>
      <c r="F782" s="3">
        <f>'Posted Sales Invoice Lines'!G782</f>
        <v>46100</v>
      </c>
      <c r="G782" s="9">
        <f>'Posted Sales Invoice Lines'!L782</f>
        <v>168</v>
      </c>
      <c r="H782" s="8">
        <f>'Posted Sales Invoice Lines'!N782</f>
        <v>33.42</v>
      </c>
      <c r="I782" s="8">
        <f>'Posted Sales Invoice Lines'!O782</f>
        <v>5614.56</v>
      </c>
    </row>
    <row r="783" spans="1:9" x14ac:dyDescent="0.25">
      <c r="A783" s="2" t="str">
        <f>'Posted Sales Invoice Lines'!A783</f>
        <v>PS-INV197327</v>
      </c>
      <c r="B783" s="2" t="str">
        <f>'Posted Sales Invoice Lines'!B783</f>
        <v>10711</v>
      </c>
      <c r="C783" s="2" t="str">
        <f>'Posted Sales Invoice Lines'!C783</f>
        <v>Cheney Bros Statesville</v>
      </c>
      <c r="D783" s="2" t="str">
        <f>'Posted Sales Invoice Lines'!E783</f>
        <v>F540212</v>
      </c>
      <c r="E783" s="2" t="str">
        <f>'Posted Sales Invoice Lines'!F783</f>
        <v>Cs. HBH White Mountain Roll</v>
      </c>
      <c r="F783" s="3">
        <f>'Posted Sales Invoice Lines'!G783</f>
        <v>46100</v>
      </c>
      <c r="G783" s="9">
        <f>'Posted Sales Invoice Lines'!L783</f>
        <v>232</v>
      </c>
      <c r="H783" s="8">
        <f>'Posted Sales Invoice Lines'!N783</f>
        <v>26.96</v>
      </c>
      <c r="I783" s="8">
        <f>'Posted Sales Invoice Lines'!O783</f>
        <v>6254.72</v>
      </c>
    </row>
    <row r="784" spans="1:9" x14ac:dyDescent="0.25">
      <c r="A784" s="2" t="str">
        <f>'Posted Sales Invoice Lines'!A784</f>
        <v>PS-INV197334</v>
      </c>
      <c r="B784" s="2" t="str">
        <f>'Posted Sales Invoice Lines'!B784</f>
        <v>10719-13</v>
      </c>
      <c r="C784" s="2" t="str">
        <f>'Posted Sales Invoice Lines'!C784</f>
        <v>US Foods - Montgomery</v>
      </c>
      <c r="D784" s="2" t="str">
        <f>'Posted Sales Invoice Lines'!E784</f>
        <v>F53005</v>
      </c>
      <c r="E784" s="2" t="str">
        <f>'Posted Sales Invoice Lines'!F784</f>
        <v>Cs. 4" Gourmet PDS Bun 8-12pk</v>
      </c>
      <c r="F784" s="3">
        <f>'Posted Sales Invoice Lines'!G784</f>
        <v>46107</v>
      </c>
      <c r="G784" s="9">
        <f>'Posted Sales Invoice Lines'!L784</f>
        <v>84</v>
      </c>
      <c r="H784" s="8">
        <f>'Posted Sales Invoice Lines'!N784</f>
        <v>37</v>
      </c>
      <c r="I784" s="8">
        <f>'Posted Sales Invoice Lines'!O784</f>
        <v>3108</v>
      </c>
    </row>
    <row r="785" spans="1:9" x14ac:dyDescent="0.25">
      <c r="A785" s="2" t="str">
        <f>'Posted Sales Invoice Lines'!A785</f>
        <v>PS-INV197334</v>
      </c>
      <c r="B785" s="2" t="str">
        <f>'Posted Sales Invoice Lines'!B785</f>
        <v>10719-13</v>
      </c>
      <c r="C785" s="2" t="str">
        <f>'Posted Sales Invoice Lines'!C785</f>
        <v>US Foods - Montgomery</v>
      </c>
      <c r="D785" s="2" t="str">
        <f>'Posted Sales Invoice Lines'!E785</f>
        <v>F53010</v>
      </c>
      <c r="E785" s="2" t="str">
        <f>'Posted Sales Invoice Lines'!F785</f>
        <v>Cs. Onion Roll 8-12pk</v>
      </c>
      <c r="F785" s="3">
        <f>'Posted Sales Invoice Lines'!G785</f>
        <v>46107</v>
      </c>
      <c r="G785" s="9">
        <f>'Posted Sales Invoice Lines'!L785</f>
        <v>56</v>
      </c>
      <c r="H785" s="8">
        <f>'Posted Sales Invoice Lines'!N785</f>
        <v>42</v>
      </c>
      <c r="I785" s="8">
        <f>'Posted Sales Invoice Lines'!O785</f>
        <v>2352</v>
      </c>
    </row>
    <row r="786" spans="1:9" x14ac:dyDescent="0.25">
      <c r="A786" s="2" t="str">
        <f>'Posted Sales Invoice Lines'!A786</f>
        <v>PS-INV197334</v>
      </c>
      <c r="B786" s="2" t="str">
        <f>'Posted Sales Invoice Lines'!B786</f>
        <v>10719-13</v>
      </c>
      <c r="C786" s="2" t="str">
        <f>'Posted Sales Invoice Lines'!C786</f>
        <v>US Foods - Montgomery</v>
      </c>
      <c r="D786" s="2" t="str">
        <f>'Posted Sales Invoice Lines'!E786</f>
        <v>F53001</v>
      </c>
      <c r="E786" s="2" t="str">
        <f>'Posted Sales Invoice Lines'!F786</f>
        <v>Cs. 4" Brioche Bun 8-12pk</v>
      </c>
      <c r="F786" s="3">
        <f>'Posted Sales Invoice Lines'!G786</f>
        <v>46107</v>
      </c>
      <c r="G786" s="9">
        <f>'Posted Sales Invoice Lines'!L786</f>
        <v>196</v>
      </c>
      <c r="H786" s="8">
        <f>'Posted Sales Invoice Lines'!N786</f>
        <v>42</v>
      </c>
      <c r="I786" s="8">
        <f>'Posted Sales Invoice Lines'!O786</f>
        <v>8232</v>
      </c>
    </row>
    <row r="787" spans="1:9" x14ac:dyDescent="0.25">
      <c r="A787" s="2" t="str">
        <f>'Posted Sales Invoice Lines'!A787</f>
        <v>PS-INV197334</v>
      </c>
      <c r="B787" s="2" t="str">
        <f>'Posted Sales Invoice Lines'!B787</f>
        <v>10719-13</v>
      </c>
      <c r="C787" s="2" t="str">
        <f>'Posted Sales Invoice Lines'!C787</f>
        <v>US Foods - Montgomery</v>
      </c>
      <c r="D787" s="2" t="str">
        <f>'Posted Sales Invoice Lines'!E787</f>
        <v>F53003</v>
      </c>
      <c r="E787" s="2" t="str">
        <f>'Posted Sales Invoice Lines'!F787</f>
        <v>Cs. 4" Unseeded Challah Bun 8-12pk</v>
      </c>
      <c r="F787" s="3">
        <f>'Posted Sales Invoice Lines'!G787</f>
        <v>46107</v>
      </c>
      <c r="G787" s="9">
        <f>'Posted Sales Invoice Lines'!L787</f>
        <v>252</v>
      </c>
      <c r="H787" s="8">
        <f>'Posted Sales Invoice Lines'!N787</f>
        <v>38.08</v>
      </c>
      <c r="I787" s="8">
        <f>'Posted Sales Invoice Lines'!O787</f>
        <v>9596.16</v>
      </c>
    </row>
    <row r="788" spans="1:9" x14ac:dyDescent="0.25">
      <c r="A788" s="2" t="str">
        <f>'Posted Sales Invoice Lines'!A788</f>
        <v>PS-INV197374</v>
      </c>
      <c r="B788" s="2" t="str">
        <f>'Posted Sales Invoice Lines'!B788</f>
        <v>11005</v>
      </c>
      <c r="C788" s="2" t="str">
        <f>'Posted Sales Invoice Lines'!C788</f>
        <v>Dot Foods Inc.</v>
      </c>
      <c r="D788" s="2" t="str">
        <f>'Posted Sales Invoice Lines'!E788</f>
        <v>F530142</v>
      </c>
      <c r="E788" s="2" t="str">
        <f>'Posted Sales Invoice Lines'!F788</f>
        <v>Cs. Knot Roll 8-12pk</v>
      </c>
      <c r="F788" s="3">
        <f>'Posted Sales Invoice Lines'!G788</f>
        <v>46100</v>
      </c>
      <c r="G788" s="9">
        <f>'Posted Sales Invoice Lines'!L788</f>
        <v>768</v>
      </c>
      <c r="H788" s="8">
        <f>'Posted Sales Invoice Lines'!N788</f>
        <v>33.42</v>
      </c>
      <c r="I788" s="8">
        <f>'Posted Sales Invoice Lines'!O788</f>
        <v>25666.560000000001</v>
      </c>
    </row>
    <row r="789" spans="1:9" x14ac:dyDescent="0.25">
      <c r="A789" s="2" t="str">
        <f>'Posted Sales Invoice Lines'!A789</f>
        <v>PS-INV197375</v>
      </c>
      <c r="B789" s="2" t="str">
        <f>'Posted Sales Invoice Lines'!B789</f>
        <v>11005</v>
      </c>
      <c r="C789" s="2" t="str">
        <f>'Posted Sales Invoice Lines'!C789</f>
        <v>Dot Foods Inc.</v>
      </c>
      <c r="D789" s="2" t="str">
        <f>'Posted Sales Invoice Lines'!E789</f>
        <v>F530142</v>
      </c>
      <c r="E789" s="2" t="str">
        <f>'Posted Sales Invoice Lines'!F789</f>
        <v>Cs. Knot Roll 8-12pk</v>
      </c>
      <c r="F789" s="3">
        <f>'Posted Sales Invoice Lines'!G789</f>
        <v>46097</v>
      </c>
      <c r="G789" s="9">
        <f>'Posted Sales Invoice Lines'!L789</f>
        <v>768</v>
      </c>
      <c r="H789" s="8">
        <f>'Posted Sales Invoice Lines'!N789</f>
        <v>33.42</v>
      </c>
      <c r="I789" s="8">
        <f>'Posted Sales Invoice Lines'!O789</f>
        <v>25666.560000000001</v>
      </c>
    </row>
    <row r="790" spans="1:9" x14ac:dyDescent="0.25">
      <c r="A790" s="2" t="str">
        <f>'Posted Sales Invoice Lines'!A790</f>
        <v>PS-INV197503</v>
      </c>
      <c r="B790" s="2" t="str">
        <f>'Posted Sales Invoice Lines'!B790</f>
        <v>13128</v>
      </c>
      <c r="C790" s="2" t="str">
        <f>'Posted Sales Invoice Lines'!C790</f>
        <v>Gordon Food Service - Shepherdsville</v>
      </c>
      <c r="D790" s="2" t="str">
        <f>'Posted Sales Invoice Lines'!E790</f>
        <v>F51084</v>
      </c>
      <c r="E790" s="2" t="str">
        <f>'Posted Sales Invoice Lines'!F790</f>
        <v>Cs. Wheatberry Hearth</v>
      </c>
      <c r="F790" s="3">
        <f>'Posted Sales Invoice Lines'!G790</f>
        <v>46108</v>
      </c>
      <c r="G790" s="9">
        <f>'Posted Sales Invoice Lines'!L790</f>
        <v>144</v>
      </c>
      <c r="H790" s="8">
        <f>'Posted Sales Invoice Lines'!N790</f>
        <v>33.299999999999997</v>
      </c>
      <c r="I790" s="8">
        <f>'Posted Sales Invoice Lines'!O790</f>
        <v>4795.2</v>
      </c>
    </row>
    <row r="791" spans="1:9" x14ac:dyDescent="0.25">
      <c r="A791" s="2" t="str">
        <f>'Posted Sales Invoice Lines'!A791</f>
        <v>PS-INV197503</v>
      </c>
      <c r="B791" s="2" t="str">
        <f>'Posted Sales Invoice Lines'!B791</f>
        <v>13128</v>
      </c>
      <c r="C791" s="2" t="str">
        <f>'Posted Sales Invoice Lines'!C791</f>
        <v>Gordon Food Service - Shepherdsville</v>
      </c>
      <c r="D791" s="2" t="str">
        <f>'Posted Sales Invoice Lines'!E791</f>
        <v>F53001</v>
      </c>
      <c r="E791" s="2" t="str">
        <f>'Posted Sales Invoice Lines'!F791</f>
        <v>Cs. 4" Brioche Bun 8-12pk</v>
      </c>
      <c r="F791" s="3">
        <f>'Posted Sales Invoice Lines'!G791</f>
        <v>46108</v>
      </c>
      <c r="G791" s="9">
        <f>'Posted Sales Invoice Lines'!L791</f>
        <v>284</v>
      </c>
      <c r="H791" s="8">
        <f>'Posted Sales Invoice Lines'!N791</f>
        <v>36.82</v>
      </c>
      <c r="I791" s="8">
        <f>'Posted Sales Invoice Lines'!O791</f>
        <v>10456.879999999999</v>
      </c>
    </row>
    <row r="792" spans="1:9" x14ac:dyDescent="0.25">
      <c r="A792" s="2" t="str">
        <f>'Posted Sales Invoice Lines'!A792</f>
        <v>PS-INV197503</v>
      </c>
      <c r="B792" s="2" t="str">
        <f>'Posted Sales Invoice Lines'!B792</f>
        <v>13128</v>
      </c>
      <c r="C792" s="2" t="str">
        <f>'Posted Sales Invoice Lines'!C792</f>
        <v>Gordon Food Service - Shepherdsville</v>
      </c>
      <c r="D792" s="2" t="str">
        <f>'Posted Sales Invoice Lines'!E792</f>
        <v>F51114</v>
      </c>
      <c r="E792" s="2" t="str">
        <f>'Posted Sales Invoice Lines'!F792</f>
        <v>Cs. Old Fashioned Hearth 5/8" 8lvs</v>
      </c>
      <c r="F792" s="3">
        <f>'Posted Sales Invoice Lines'!G792</f>
        <v>46108</v>
      </c>
      <c r="G792" s="9">
        <f>'Posted Sales Invoice Lines'!L792</f>
        <v>96</v>
      </c>
      <c r="H792" s="8">
        <f>'Posted Sales Invoice Lines'!N792</f>
        <v>39.700000000000003</v>
      </c>
      <c r="I792" s="8">
        <f>'Posted Sales Invoice Lines'!O792</f>
        <v>3811.2</v>
      </c>
    </row>
    <row r="793" spans="1:9" x14ac:dyDescent="0.25">
      <c r="A793" s="2" t="str">
        <f>'Posted Sales Invoice Lines'!A793</f>
        <v>PS-INV197503</v>
      </c>
      <c r="B793" s="2" t="str">
        <f>'Posted Sales Invoice Lines'!B793</f>
        <v>13128</v>
      </c>
      <c r="C793" s="2" t="str">
        <f>'Posted Sales Invoice Lines'!C793</f>
        <v>Gordon Food Service - Shepherdsville</v>
      </c>
      <c r="D793" s="2" t="str">
        <f>'Posted Sales Invoice Lines'!E793</f>
        <v>F56251</v>
      </c>
      <c r="E793" s="2" t="str">
        <f>'Posted Sales Invoice Lines'!F793</f>
        <v>Cs. Challah Sliders Sliced 18-12pks</v>
      </c>
      <c r="F793" s="3">
        <f>'Posted Sales Invoice Lines'!G793</f>
        <v>46108</v>
      </c>
      <c r="G793" s="9">
        <f>'Posted Sales Invoice Lines'!L793</f>
        <v>320</v>
      </c>
      <c r="H793" s="8">
        <f>'Posted Sales Invoice Lines'!N793</f>
        <v>39.700000000000003</v>
      </c>
      <c r="I793" s="8">
        <f>'Posted Sales Invoice Lines'!O793</f>
        <v>12704</v>
      </c>
    </row>
    <row r="794" spans="1:9" x14ac:dyDescent="0.25">
      <c r="A794" s="2" t="str">
        <f>'Posted Sales Invoice Lines'!A794</f>
        <v>PS-INV198162</v>
      </c>
      <c r="B794" s="2" t="str">
        <f>'Posted Sales Invoice Lines'!B794</f>
        <v>12692</v>
      </c>
      <c r="C794" s="2" t="str">
        <f>'Posted Sales Invoice Lines'!C794</f>
        <v>United Food Service</v>
      </c>
      <c r="D794" s="2" t="str">
        <f>'Posted Sales Invoice Lines'!E794</f>
        <v>F53116</v>
      </c>
      <c r="E794" s="2" t="str">
        <f>'Posted Sales Invoice Lines'!F794</f>
        <v>Cs. 7" French Hinged 12</v>
      </c>
      <c r="F794" s="3">
        <f>'Posted Sales Invoice Lines'!G794</f>
        <v>46104</v>
      </c>
      <c r="G794" s="9">
        <f>'Posted Sales Invoice Lines'!L794</f>
        <v>224</v>
      </c>
      <c r="H794" s="8">
        <f>'Posted Sales Invoice Lines'!N794</f>
        <v>32.5</v>
      </c>
      <c r="I794" s="8">
        <f>'Posted Sales Invoice Lines'!O794</f>
        <v>7280</v>
      </c>
    </row>
    <row r="795" spans="1:9" x14ac:dyDescent="0.25">
      <c r="A795" s="2" t="str">
        <f>'Posted Sales Invoice Lines'!A795</f>
        <v>PS-INV198162</v>
      </c>
      <c r="B795" s="2" t="str">
        <f>'Posted Sales Invoice Lines'!B795</f>
        <v>12692</v>
      </c>
      <c r="C795" s="2" t="str">
        <f>'Posted Sales Invoice Lines'!C795</f>
        <v>United Food Service</v>
      </c>
      <c r="D795" s="2" t="str">
        <f>'Posted Sales Invoice Lines'!E795</f>
        <v>F53122</v>
      </c>
      <c r="E795" s="2" t="str">
        <f>'Posted Sales Invoice Lines'!F795</f>
        <v>Cs. 8" Italian Hinged 12-6pk</v>
      </c>
      <c r="F795" s="3">
        <f>'Posted Sales Invoice Lines'!G795</f>
        <v>46104</v>
      </c>
      <c r="G795" s="9">
        <f>'Posted Sales Invoice Lines'!L795</f>
        <v>56</v>
      </c>
      <c r="H795" s="8">
        <f>'Posted Sales Invoice Lines'!N795</f>
        <v>42.75</v>
      </c>
      <c r="I795" s="8">
        <f>'Posted Sales Invoice Lines'!O795</f>
        <v>2394</v>
      </c>
    </row>
    <row r="796" spans="1:9" x14ac:dyDescent="0.25">
      <c r="A796" s="2" t="str">
        <f>'Posted Sales Invoice Lines'!A796</f>
        <v>PS-INV198578</v>
      </c>
      <c r="B796" s="2" t="str">
        <f>'Posted Sales Invoice Lines'!B796</f>
        <v>12707</v>
      </c>
      <c r="C796" s="2" t="str">
        <f>'Posted Sales Invoice Lines'!C796</f>
        <v>PFG Florence SC</v>
      </c>
      <c r="D796" s="2" t="str">
        <f>'Posted Sales Invoice Lines'!E796</f>
        <v>F53001</v>
      </c>
      <c r="E796" s="2" t="str">
        <f>'Posted Sales Invoice Lines'!F796</f>
        <v>Cs. 4" Brioche Bun 8-12pk</v>
      </c>
      <c r="F796" s="3">
        <f>'Posted Sales Invoice Lines'!G796</f>
        <v>46111</v>
      </c>
      <c r="G796" s="9">
        <f>'Posted Sales Invoice Lines'!L796</f>
        <v>168</v>
      </c>
      <c r="H796" s="8">
        <f>'Posted Sales Invoice Lines'!N796</f>
        <v>46.6</v>
      </c>
      <c r="I796" s="8">
        <f>'Posted Sales Invoice Lines'!O796</f>
        <v>7828.8</v>
      </c>
    </row>
    <row r="797" spans="1:9" x14ac:dyDescent="0.25">
      <c r="A797" s="2" t="str">
        <f>'Posted Sales Invoice Lines'!A797</f>
        <v>PS-INV198802</v>
      </c>
      <c r="B797" s="2" t="str">
        <f>'Posted Sales Invoice Lines'!B797</f>
        <v>12431</v>
      </c>
      <c r="C797" s="2" t="str">
        <f>'Posted Sales Invoice Lines'!C797</f>
        <v>Ben E Keith - New Brockton</v>
      </c>
      <c r="D797" s="2" t="str">
        <f>'Posted Sales Invoice Lines'!E797</f>
        <v>F54301</v>
      </c>
      <c r="E797" s="2" t="str">
        <f>'Posted Sales Invoice Lines'!F797</f>
        <v>Cs. Potato Roll Sliced 12-16pk</v>
      </c>
      <c r="F797" s="3">
        <f>'Posted Sales Invoice Lines'!G797</f>
        <v>46104</v>
      </c>
      <c r="G797" s="9">
        <f>'Posted Sales Invoice Lines'!L797</f>
        <v>28</v>
      </c>
      <c r="H797" s="8">
        <f>'Posted Sales Invoice Lines'!N797</f>
        <v>50.05</v>
      </c>
      <c r="I797" s="8">
        <f>'Posted Sales Invoice Lines'!O797</f>
        <v>1401.4</v>
      </c>
    </row>
    <row r="798" spans="1:9" x14ac:dyDescent="0.25">
      <c r="A798" s="2" t="str">
        <f>'Posted Sales Invoice Lines'!A798</f>
        <v>PS-INV198802</v>
      </c>
      <c r="B798" s="2" t="str">
        <f>'Posted Sales Invoice Lines'!B798</f>
        <v>12431</v>
      </c>
      <c r="C798" s="2" t="str">
        <f>'Posted Sales Invoice Lines'!C798</f>
        <v>Ben E Keith - New Brockton</v>
      </c>
      <c r="D798" s="2" t="str">
        <f>'Posted Sales Invoice Lines'!E798</f>
        <v>F51137</v>
      </c>
      <c r="E798" s="2" t="str">
        <f>'Posted Sales Invoice Lines'!F798</f>
        <v>Cs. Texas Toast 3/4" 12lvs</v>
      </c>
      <c r="F798" s="3">
        <f>'Posted Sales Invoice Lines'!G798</f>
        <v>46104</v>
      </c>
      <c r="G798" s="9">
        <f>'Posted Sales Invoice Lines'!L798</f>
        <v>392</v>
      </c>
      <c r="H798" s="8">
        <f>'Posted Sales Invoice Lines'!N798</f>
        <v>36</v>
      </c>
      <c r="I798" s="8">
        <f>'Posted Sales Invoice Lines'!O798</f>
        <v>14112</v>
      </c>
    </row>
    <row r="799" spans="1:9" x14ac:dyDescent="0.25">
      <c r="A799" s="2" t="str">
        <f>'Posted Sales Invoice Lines'!A799</f>
        <v>PS-INV198802</v>
      </c>
      <c r="B799" s="2" t="str">
        <f>'Posted Sales Invoice Lines'!B799</f>
        <v>12431</v>
      </c>
      <c r="C799" s="2" t="str">
        <f>'Posted Sales Invoice Lines'!C799</f>
        <v>Ben E Keith - New Brockton</v>
      </c>
      <c r="D799" s="2" t="str">
        <f>'Posted Sales Invoice Lines'!E799</f>
        <v>F53122</v>
      </c>
      <c r="E799" s="2" t="str">
        <f>'Posted Sales Invoice Lines'!F799</f>
        <v>Cs. 8" Italian Hinged 12-6pk</v>
      </c>
      <c r="F799" s="3">
        <f>'Posted Sales Invoice Lines'!G799</f>
        <v>46104</v>
      </c>
      <c r="G799" s="9">
        <f>'Posted Sales Invoice Lines'!L799</f>
        <v>28</v>
      </c>
      <c r="H799" s="8">
        <f>'Posted Sales Invoice Lines'!N799</f>
        <v>30</v>
      </c>
      <c r="I799" s="8">
        <f>'Posted Sales Invoice Lines'!O799</f>
        <v>840</v>
      </c>
    </row>
    <row r="800" spans="1:9" x14ac:dyDescent="0.25">
      <c r="A800" s="2" t="str">
        <f>'Posted Sales Invoice Lines'!A800</f>
        <v>PS-INV198802</v>
      </c>
      <c r="B800" s="2" t="str">
        <f>'Posted Sales Invoice Lines'!B800</f>
        <v>12431</v>
      </c>
      <c r="C800" s="2" t="str">
        <f>'Posted Sales Invoice Lines'!C800</f>
        <v>Ben E Keith - New Brockton</v>
      </c>
      <c r="D800" s="2" t="str">
        <f>'Posted Sales Invoice Lines'!E800</f>
        <v>F53087</v>
      </c>
      <c r="E800" s="2" t="str">
        <f>'Posted Sales Invoice Lines'!F800</f>
        <v>Cs. 3.5" Challah Bun 8-12 pk</v>
      </c>
      <c r="F800" s="3">
        <f>'Posted Sales Invoice Lines'!G800</f>
        <v>46104</v>
      </c>
      <c r="G800" s="9">
        <f>'Posted Sales Invoice Lines'!L800</f>
        <v>56</v>
      </c>
      <c r="H800" s="8">
        <f>'Posted Sales Invoice Lines'!N800</f>
        <v>40</v>
      </c>
      <c r="I800" s="8">
        <f>'Posted Sales Invoice Lines'!O800</f>
        <v>2240</v>
      </c>
    </row>
    <row r="801" spans="1:9" x14ac:dyDescent="0.25">
      <c r="A801" s="2" t="str">
        <f>'Posted Sales Invoice Lines'!A801</f>
        <v>PS-INV198803</v>
      </c>
      <c r="B801" s="2" t="str">
        <f>'Posted Sales Invoice Lines'!B801</f>
        <v>10805</v>
      </c>
      <c r="C801" s="2" t="str">
        <f>'Posted Sales Invoice Lines'!C801</f>
        <v>Sysco Jacksonville</v>
      </c>
      <c r="D801" s="2" t="str">
        <f>'Posted Sales Invoice Lines'!E801</f>
        <v>F53100</v>
      </c>
      <c r="E801" s="2" t="str">
        <f>'Posted Sales Invoice Lines'!F801</f>
        <v>Cs. Hot Dog pl/sl 12-8pk</v>
      </c>
      <c r="F801" s="3">
        <f>'Posted Sales Invoice Lines'!G801</f>
        <v>46107</v>
      </c>
      <c r="G801" s="9">
        <f>'Posted Sales Invoice Lines'!L801</f>
        <v>8</v>
      </c>
      <c r="H801" s="8">
        <f>'Posted Sales Invoice Lines'!N801</f>
        <v>36.6</v>
      </c>
      <c r="I801" s="8">
        <f>'Posted Sales Invoice Lines'!O801</f>
        <v>292.8</v>
      </c>
    </row>
    <row r="802" spans="1:9" x14ac:dyDescent="0.25">
      <c r="A802" s="2" t="str">
        <f>'Posted Sales Invoice Lines'!A802</f>
        <v>PS-INV198803</v>
      </c>
      <c r="B802" s="2" t="str">
        <f>'Posted Sales Invoice Lines'!B802</f>
        <v>10805</v>
      </c>
      <c r="C802" s="2" t="str">
        <f>'Posted Sales Invoice Lines'!C802</f>
        <v>Sysco Jacksonville</v>
      </c>
      <c r="D802" s="2" t="str">
        <f>'Posted Sales Invoice Lines'!E802</f>
        <v>F53001</v>
      </c>
      <c r="E802" s="2" t="str">
        <f>'Posted Sales Invoice Lines'!F802</f>
        <v>Cs. 4" Brioche Bun 8-12pk</v>
      </c>
      <c r="F802" s="3">
        <f>'Posted Sales Invoice Lines'!G802</f>
        <v>46107</v>
      </c>
      <c r="G802" s="9">
        <f>'Posted Sales Invoice Lines'!L802</f>
        <v>56</v>
      </c>
      <c r="H802" s="8">
        <f>'Posted Sales Invoice Lines'!N802</f>
        <v>50.6</v>
      </c>
      <c r="I802" s="8">
        <f>'Posted Sales Invoice Lines'!O802</f>
        <v>2833.6</v>
      </c>
    </row>
    <row r="803" spans="1:9" x14ac:dyDescent="0.25">
      <c r="A803" s="2" t="str">
        <f>'Posted Sales Invoice Lines'!A803</f>
        <v>PS-INV198803</v>
      </c>
      <c r="B803" s="2" t="str">
        <f>'Posted Sales Invoice Lines'!B803</f>
        <v>10805</v>
      </c>
      <c r="C803" s="2" t="str">
        <f>'Posted Sales Invoice Lines'!C803</f>
        <v>Sysco Jacksonville</v>
      </c>
      <c r="D803" s="2" t="str">
        <f>'Posted Sales Invoice Lines'!E803</f>
        <v>F53003</v>
      </c>
      <c r="E803" s="2" t="str">
        <f>'Posted Sales Invoice Lines'!F803</f>
        <v>Cs. 4" Unseeded Challah Bun 8-12pk</v>
      </c>
      <c r="F803" s="3">
        <f>'Posted Sales Invoice Lines'!G803</f>
        <v>46107</v>
      </c>
      <c r="G803" s="9">
        <f>'Posted Sales Invoice Lines'!L803</f>
        <v>336</v>
      </c>
      <c r="H803" s="8">
        <f>'Posted Sales Invoice Lines'!N803</f>
        <v>40.799999999999997</v>
      </c>
      <c r="I803" s="8">
        <f>'Posted Sales Invoice Lines'!O803</f>
        <v>13708.8</v>
      </c>
    </row>
    <row r="804" spans="1:9" x14ac:dyDescent="0.25">
      <c r="A804" s="2" t="str">
        <f>'Posted Sales Invoice Lines'!A804</f>
        <v>PS-INV198803</v>
      </c>
      <c r="B804" s="2" t="str">
        <f>'Posted Sales Invoice Lines'!B804</f>
        <v>10805</v>
      </c>
      <c r="C804" s="2" t="str">
        <f>'Posted Sales Invoice Lines'!C804</f>
        <v>Sysco Jacksonville</v>
      </c>
      <c r="D804" s="2" t="str">
        <f>'Posted Sales Invoice Lines'!E804</f>
        <v>F51137</v>
      </c>
      <c r="E804" s="2" t="str">
        <f>'Posted Sales Invoice Lines'!F804</f>
        <v>Cs. Texas Toast 3/4" 12lvs</v>
      </c>
      <c r="F804" s="3">
        <f>'Posted Sales Invoice Lines'!G804</f>
        <v>46107</v>
      </c>
      <c r="G804" s="9">
        <f>'Posted Sales Invoice Lines'!L804</f>
        <v>56</v>
      </c>
      <c r="H804" s="8">
        <f>'Posted Sales Invoice Lines'!N804</f>
        <v>39.9</v>
      </c>
      <c r="I804" s="8">
        <f>'Posted Sales Invoice Lines'!O804</f>
        <v>2234.4</v>
      </c>
    </row>
    <row r="805" spans="1:9" x14ac:dyDescent="0.25">
      <c r="A805" s="2" t="str">
        <f>'Posted Sales Invoice Lines'!A805</f>
        <v>PS-INV198804</v>
      </c>
      <c r="B805" s="2" t="str">
        <f>'Posted Sales Invoice Lines'!B805</f>
        <v>12358</v>
      </c>
      <c r="C805" s="2" t="str">
        <f>'Posted Sales Invoice Lines'!C805</f>
        <v>PFG Powell GA</v>
      </c>
      <c r="D805" s="2" t="str">
        <f>'Posted Sales Invoice Lines'!E805</f>
        <v>F51024</v>
      </c>
      <c r="E805" s="2" t="str">
        <f>'Posted Sales Invoice Lines'!F805</f>
        <v>Cs. Marble Rye 5/8" 8lvs</v>
      </c>
      <c r="F805" s="3">
        <f>'Posted Sales Invoice Lines'!G805</f>
        <v>46106</v>
      </c>
      <c r="G805" s="9">
        <f>'Posted Sales Invoice Lines'!L805</f>
        <v>12</v>
      </c>
      <c r="H805" s="8">
        <f>'Posted Sales Invoice Lines'!N805</f>
        <v>45</v>
      </c>
      <c r="I805" s="8">
        <f>'Posted Sales Invoice Lines'!O805</f>
        <v>540</v>
      </c>
    </row>
    <row r="806" spans="1:9" x14ac:dyDescent="0.25">
      <c r="A806" s="2" t="str">
        <f>'Posted Sales Invoice Lines'!A806</f>
        <v>PS-INV198804</v>
      </c>
      <c r="B806" s="2" t="str">
        <f>'Posted Sales Invoice Lines'!B806</f>
        <v>12358</v>
      </c>
      <c r="C806" s="2" t="str">
        <f>'Posted Sales Invoice Lines'!C806</f>
        <v>PFG Powell GA</v>
      </c>
      <c r="D806" s="2" t="str">
        <f>'Posted Sales Invoice Lines'!E806</f>
        <v>F53001</v>
      </c>
      <c r="E806" s="2" t="str">
        <f>'Posted Sales Invoice Lines'!F806</f>
        <v>Cs. 4" Brioche Bun 8-12pk</v>
      </c>
      <c r="F806" s="3">
        <f>'Posted Sales Invoice Lines'!G806</f>
        <v>46106</v>
      </c>
      <c r="G806" s="9">
        <f>'Posted Sales Invoice Lines'!L806</f>
        <v>32</v>
      </c>
      <c r="H806" s="8">
        <f>'Posted Sales Invoice Lines'!N806</f>
        <v>42.6</v>
      </c>
      <c r="I806" s="8">
        <f>'Posted Sales Invoice Lines'!O806</f>
        <v>1363.2</v>
      </c>
    </row>
    <row r="807" spans="1:9" x14ac:dyDescent="0.25">
      <c r="A807" s="2" t="str">
        <f>'Posted Sales Invoice Lines'!A807</f>
        <v>PS-INV198804</v>
      </c>
      <c r="B807" s="2" t="str">
        <f>'Posted Sales Invoice Lines'!B807</f>
        <v>12358</v>
      </c>
      <c r="C807" s="2" t="str">
        <f>'Posted Sales Invoice Lines'!C807</f>
        <v>PFG Powell GA</v>
      </c>
      <c r="D807" s="2" t="str">
        <f>'Posted Sales Invoice Lines'!E807</f>
        <v>F53003</v>
      </c>
      <c r="E807" s="2" t="str">
        <f>'Posted Sales Invoice Lines'!F807</f>
        <v>Cs. 4" Unseeded Challah Bun 8-12pk</v>
      </c>
      <c r="F807" s="3">
        <f>'Posted Sales Invoice Lines'!G807</f>
        <v>46106</v>
      </c>
      <c r="G807" s="9">
        <f>'Posted Sales Invoice Lines'!L807</f>
        <v>160</v>
      </c>
      <c r="H807" s="8">
        <f>'Posted Sales Invoice Lines'!N807</f>
        <v>40</v>
      </c>
      <c r="I807" s="8">
        <f>'Posted Sales Invoice Lines'!O807</f>
        <v>6400</v>
      </c>
    </row>
    <row r="808" spans="1:9" x14ac:dyDescent="0.25">
      <c r="A808" s="2" t="str">
        <f>'Posted Sales Invoice Lines'!A808</f>
        <v>PS-INV198833</v>
      </c>
      <c r="B808" s="2" t="str">
        <f>'Posted Sales Invoice Lines'!B808</f>
        <v>10511</v>
      </c>
      <c r="C808" s="2" t="str">
        <f>'Posted Sales Invoice Lines'!C808</f>
        <v>Sysco Nashville, LLC</v>
      </c>
      <c r="D808" s="2" t="str">
        <f>'Posted Sales Invoice Lines'!E808</f>
        <v>F53003</v>
      </c>
      <c r="E808" s="2" t="str">
        <f>'Posted Sales Invoice Lines'!F808</f>
        <v>Cs. 4" Unseeded Challah Bun 8-12pk</v>
      </c>
      <c r="F808" s="3">
        <f>'Posted Sales Invoice Lines'!G808</f>
        <v>46108</v>
      </c>
      <c r="G808" s="9">
        <f>'Posted Sales Invoice Lines'!L808</f>
        <v>24</v>
      </c>
      <c r="H808" s="8">
        <f>'Posted Sales Invoice Lines'!N808</f>
        <v>37.08</v>
      </c>
      <c r="I808" s="8">
        <f>'Posted Sales Invoice Lines'!O808</f>
        <v>889.92</v>
      </c>
    </row>
    <row r="809" spans="1:9" x14ac:dyDescent="0.25">
      <c r="A809" s="2" t="str">
        <f>'Posted Sales Invoice Lines'!A809</f>
        <v>PS-INV198833</v>
      </c>
      <c r="B809" s="2" t="str">
        <f>'Posted Sales Invoice Lines'!B809</f>
        <v>10511</v>
      </c>
      <c r="C809" s="2" t="str">
        <f>'Posted Sales Invoice Lines'!C809</f>
        <v>Sysco Nashville, LLC</v>
      </c>
      <c r="D809" s="2" t="str">
        <f>'Posted Sales Invoice Lines'!E809</f>
        <v>F51200</v>
      </c>
      <c r="E809" s="2" t="str">
        <f>'Posted Sales Invoice Lines'!F809</f>
        <v>Cs. Jalapeno Corn Hearth 5/8" 8lvs</v>
      </c>
      <c r="F809" s="3">
        <f>'Posted Sales Invoice Lines'!G809</f>
        <v>46108</v>
      </c>
      <c r="G809" s="9">
        <f>'Posted Sales Invoice Lines'!L809</f>
        <v>48</v>
      </c>
      <c r="H809" s="8">
        <f>'Posted Sales Invoice Lines'!N809</f>
        <v>60.07</v>
      </c>
      <c r="I809" s="8">
        <f>'Posted Sales Invoice Lines'!O809</f>
        <v>2883.36</v>
      </c>
    </row>
    <row r="810" spans="1:9" x14ac:dyDescent="0.25">
      <c r="A810" s="2" t="str">
        <f>'Posted Sales Invoice Lines'!A810</f>
        <v>PS-INV198833</v>
      </c>
      <c r="B810" s="2" t="str">
        <f>'Posted Sales Invoice Lines'!B810</f>
        <v>10511</v>
      </c>
      <c r="C810" s="2" t="str">
        <f>'Posted Sales Invoice Lines'!C810</f>
        <v>Sysco Nashville, LLC</v>
      </c>
      <c r="D810" s="2" t="str">
        <f>'Posted Sales Invoice Lines'!E810</f>
        <v>F53001</v>
      </c>
      <c r="E810" s="2" t="str">
        <f>'Posted Sales Invoice Lines'!F810</f>
        <v>Cs. 4" Brioche Bun 8-12pk</v>
      </c>
      <c r="F810" s="3">
        <f>'Posted Sales Invoice Lines'!G810</f>
        <v>46108</v>
      </c>
      <c r="G810" s="9">
        <f>'Posted Sales Invoice Lines'!L810</f>
        <v>144</v>
      </c>
      <c r="H810" s="8">
        <f>'Posted Sales Invoice Lines'!N810</f>
        <v>46.1</v>
      </c>
      <c r="I810" s="8">
        <f>'Posted Sales Invoice Lines'!O810</f>
        <v>6638.4</v>
      </c>
    </row>
    <row r="811" spans="1:9" x14ac:dyDescent="0.25">
      <c r="A811" s="2" t="str">
        <f>'Posted Sales Invoice Lines'!A811</f>
        <v>PS-INV198833</v>
      </c>
      <c r="B811" s="2" t="str">
        <f>'Posted Sales Invoice Lines'!B811</f>
        <v>10511</v>
      </c>
      <c r="C811" s="2" t="str">
        <f>'Posted Sales Invoice Lines'!C811</f>
        <v>Sysco Nashville, LLC</v>
      </c>
      <c r="D811" s="2" t="str">
        <f>'Posted Sales Invoice Lines'!E811</f>
        <v>F53116</v>
      </c>
      <c r="E811" s="2" t="str">
        <f>'Posted Sales Invoice Lines'!F811</f>
        <v>Cs. 7" French Hinged 12</v>
      </c>
      <c r="F811" s="3">
        <f>'Posted Sales Invoice Lines'!G811</f>
        <v>46108</v>
      </c>
      <c r="G811" s="9">
        <f>'Posted Sales Invoice Lines'!L811</f>
        <v>96</v>
      </c>
      <c r="H811" s="8">
        <f>'Posted Sales Invoice Lines'!N811</f>
        <v>38</v>
      </c>
      <c r="I811" s="8">
        <f>'Posted Sales Invoice Lines'!O811</f>
        <v>3648</v>
      </c>
    </row>
    <row r="812" spans="1:9" x14ac:dyDescent="0.25">
      <c r="A812" s="2" t="str">
        <f>'Posted Sales Invoice Lines'!A812</f>
        <v>PS-INV198833</v>
      </c>
      <c r="B812" s="2" t="str">
        <f>'Posted Sales Invoice Lines'!B812</f>
        <v>10511</v>
      </c>
      <c r="C812" s="2" t="str">
        <f>'Posted Sales Invoice Lines'!C812</f>
        <v>Sysco Nashville, LLC</v>
      </c>
      <c r="D812" s="2" t="str">
        <f>'Posted Sales Invoice Lines'!E812</f>
        <v>F53128</v>
      </c>
      <c r="E812" s="2" t="str">
        <f>'Posted Sales Invoice Lines'!F812</f>
        <v>Cs. 8" Philly Unsliced 10-6pk</v>
      </c>
      <c r="F812" s="3">
        <f>'Posted Sales Invoice Lines'!G812</f>
        <v>46108</v>
      </c>
      <c r="G812" s="9">
        <f>'Posted Sales Invoice Lines'!L812</f>
        <v>112</v>
      </c>
      <c r="H812" s="8">
        <f>'Posted Sales Invoice Lines'!N812</f>
        <v>45</v>
      </c>
      <c r="I812" s="8">
        <f>'Posted Sales Invoice Lines'!O812</f>
        <v>5040</v>
      </c>
    </row>
    <row r="813" spans="1:9" x14ac:dyDescent="0.25">
      <c r="A813" s="2" t="str">
        <f>'Posted Sales Invoice Lines'!A813</f>
        <v>PS-INV198838</v>
      </c>
      <c r="B813" s="2" t="str">
        <f>'Posted Sales Invoice Lines'!B813</f>
        <v>20334</v>
      </c>
      <c r="C813" s="2" t="str">
        <f>'Posted Sales Invoice Lines'!C813</f>
        <v>Sysco Atlanta</v>
      </c>
      <c r="D813" s="2" t="str">
        <f>'Posted Sales Invoice Lines'!E813</f>
        <v>F53116</v>
      </c>
      <c r="E813" s="2" t="str">
        <f>'Posted Sales Invoice Lines'!F813</f>
        <v>Cs. 7" French Hinged 12</v>
      </c>
      <c r="F813" s="3">
        <f>'Posted Sales Invoice Lines'!G813</f>
        <v>46105</v>
      </c>
      <c r="G813" s="9">
        <f>'Posted Sales Invoice Lines'!L813</f>
        <v>0</v>
      </c>
      <c r="H813" s="8">
        <f>'Posted Sales Invoice Lines'!N813</f>
        <v>31.42</v>
      </c>
      <c r="I813" s="8">
        <f>'Posted Sales Invoice Lines'!O813</f>
        <v>0</v>
      </c>
    </row>
    <row r="814" spans="1:9" x14ac:dyDescent="0.25">
      <c r="A814" s="2" t="str">
        <f>'Posted Sales Invoice Lines'!A814</f>
        <v>PS-INV198838</v>
      </c>
      <c r="B814" s="2" t="str">
        <f>'Posted Sales Invoice Lines'!B814</f>
        <v>20334</v>
      </c>
      <c r="C814" s="2" t="str">
        <f>'Posted Sales Invoice Lines'!C814</f>
        <v>Sysco Atlanta</v>
      </c>
      <c r="D814" s="2" t="str">
        <f>'Posted Sales Invoice Lines'!E814</f>
        <v>F53087</v>
      </c>
      <c r="E814" s="2" t="str">
        <f>'Posted Sales Invoice Lines'!F814</f>
        <v>Cs. 3.5" Challah Bun 8-12 pk</v>
      </c>
      <c r="F814" s="3">
        <f>'Posted Sales Invoice Lines'!G814</f>
        <v>46105</v>
      </c>
      <c r="G814" s="9">
        <f>'Posted Sales Invoice Lines'!L814</f>
        <v>628</v>
      </c>
      <c r="H814" s="8">
        <f>'Posted Sales Invoice Lines'!N814</f>
        <v>34</v>
      </c>
      <c r="I814" s="8">
        <f>'Posted Sales Invoice Lines'!O814</f>
        <v>21352</v>
      </c>
    </row>
    <row r="815" spans="1:9" x14ac:dyDescent="0.25">
      <c r="A815" s="2" t="str">
        <f>'Posted Sales Invoice Lines'!A815</f>
        <v>PS-INV198838</v>
      </c>
      <c r="B815" s="2" t="str">
        <f>'Posted Sales Invoice Lines'!B815</f>
        <v>20334</v>
      </c>
      <c r="C815" s="2" t="str">
        <f>'Posted Sales Invoice Lines'!C815</f>
        <v>Sysco Atlanta</v>
      </c>
      <c r="D815" s="2" t="str">
        <f>'Posted Sales Invoice Lines'!E815</f>
        <v>F51024</v>
      </c>
      <c r="E815" s="2" t="str">
        <f>'Posted Sales Invoice Lines'!F815</f>
        <v>Cs. Marble Rye 5/8" 8lvs</v>
      </c>
      <c r="F815" s="3">
        <f>'Posted Sales Invoice Lines'!G815</f>
        <v>46105</v>
      </c>
      <c r="G815" s="9">
        <f>'Posted Sales Invoice Lines'!L815</f>
        <v>0</v>
      </c>
      <c r="H815" s="8">
        <f>'Posted Sales Invoice Lines'!N815</f>
        <v>43.26</v>
      </c>
      <c r="I815" s="8">
        <f>'Posted Sales Invoice Lines'!O815</f>
        <v>0</v>
      </c>
    </row>
    <row r="816" spans="1:9" x14ac:dyDescent="0.25">
      <c r="A816" s="2" t="str">
        <f>'Posted Sales Invoice Lines'!A816</f>
        <v>PS-INV198838</v>
      </c>
      <c r="B816" s="2" t="str">
        <f>'Posted Sales Invoice Lines'!B816</f>
        <v>20334</v>
      </c>
      <c r="C816" s="2" t="str">
        <f>'Posted Sales Invoice Lines'!C816</f>
        <v>Sysco Atlanta</v>
      </c>
      <c r="D816" s="2" t="str">
        <f>'Posted Sales Invoice Lines'!E816</f>
        <v>F53001</v>
      </c>
      <c r="E816" s="2" t="str">
        <f>'Posted Sales Invoice Lines'!F816</f>
        <v>Cs. 4" Brioche Bun 8-12pk</v>
      </c>
      <c r="F816" s="3">
        <f>'Posted Sales Invoice Lines'!G816</f>
        <v>46105</v>
      </c>
      <c r="G816" s="9">
        <f>'Posted Sales Invoice Lines'!L816</f>
        <v>112</v>
      </c>
      <c r="H816" s="8">
        <f>'Posted Sales Invoice Lines'!N816</f>
        <v>43.36</v>
      </c>
      <c r="I816" s="8">
        <f>'Posted Sales Invoice Lines'!O816</f>
        <v>4856.32</v>
      </c>
    </row>
    <row r="817" spans="1:9" x14ac:dyDescent="0.25">
      <c r="A817" s="2" t="str">
        <f>'Posted Sales Invoice Lines'!A817</f>
        <v>PS-INV198838</v>
      </c>
      <c r="B817" s="2" t="str">
        <f>'Posted Sales Invoice Lines'!B817</f>
        <v>20334</v>
      </c>
      <c r="C817" s="2" t="str">
        <f>'Posted Sales Invoice Lines'!C817</f>
        <v>Sysco Atlanta</v>
      </c>
      <c r="D817" s="2" t="str">
        <f>'Posted Sales Invoice Lines'!E817</f>
        <v>F53004</v>
      </c>
      <c r="E817" s="2" t="str">
        <f>'Posted Sales Invoice Lines'!F817</f>
        <v>Cs. 4" Sesame Brioche 8-12pk</v>
      </c>
      <c r="F817" s="3">
        <f>'Posted Sales Invoice Lines'!G817</f>
        <v>46105</v>
      </c>
      <c r="G817" s="9">
        <f>'Posted Sales Invoice Lines'!L817</f>
        <v>0</v>
      </c>
      <c r="H817" s="8">
        <f>'Posted Sales Invoice Lines'!N817</f>
        <v>44.77</v>
      </c>
      <c r="I817" s="8">
        <f>'Posted Sales Invoice Lines'!O817</f>
        <v>0</v>
      </c>
    </row>
    <row r="818" spans="1:9" x14ac:dyDescent="0.25">
      <c r="A818" s="2" t="str">
        <f>'Posted Sales Invoice Lines'!A818</f>
        <v>PS-INV198838</v>
      </c>
      <c r="B818" s="2" t="str">
        <f>'Posted Sales Invoice Lines'!B818</f>
        <v>20334</v>
      </c>
      <c r="C818" s="2" t="str">
        <f>'Posted Sales Invoice Lines'!C818</f>
        <v>Sysco Atlanta</v>
      </c>
      <c r="D818" s="2" t="str">
        <f>'Posted Sales Invoice Lines'!E818</f>
        <v>F53033</v>
      </c>
      <c r="E818" s="2" t="str">
        <f>'Posted Sales Invoice Lines'!F818</f>
        <v>Cs. 4" Parker House 8-12pk</v>
      </c>
      <c r="F818" s="3">
        <f>'Posted Sales Invoice Lines'!G818</f>
        <v>46105</v>
      </c>
      <c r="G818" s="9">
        <f>'Posted Sales Invoice Lines'!L818</f>
        <v>0</v>
      </c>
      <c r="H818" s="8">
        <f>'Posted Sales Invoice Lines'!N818</f>
        <v>39.53</v>
      </c>
      <c r="I818" s="8">
        <f>'Posted Sales Invoice Lines'!O818</f>
        <v>0</v>
      </c>
    </row>
    <row r="819" spans="1:9" x14ac:dyDescent="0.25">
      <c r="A819" s="2" t="str">
        <f>'Posted Sales Invoice Lines'!A819</f>
        <v>PS-INV198838</v>
      </c>
      <c r="B819" s="2" t="str">
        <f>'Posted Sales Invoice Lines'!B819</f>
        <v>20334</v>
      </c>
      <c r="C819" s="2" t="str">
        <f>'Posted Sales Invoice Lines'!C819</f>
        <v>Sysco Atlanta</v>
      </c>
      <c r="D819" s="2" t="str">
        <f>'Posted Sales Invoice Lines'!E819</f>
        <v>F54044</v>
      </c>
      <c r="E819" s="2" t="str">
        <f>'Posted Sales Invoice Lines'!F819</f>
        <v>Cs. Buttons Parker House 12-12pk</v>
      </c>
      <c r="F819" s="3">
        <f>'Posted Sales Invoice Lines'!G819</f>
        <v>46105</v>
      </c>
      <c r="G819" s="9">
        <f>'Posted Sales Invoice Lines'!L819</f>
        <v>0</v>
      </c>
      <c r="H819" s="8">
        <f>'Posted Sales Invoice Lines'!N819</f>
        <v>36.979999999999997</v>
      </c>
      <c r="I819" s="8">
        <f>'Posted Sales Invoice Lines'!O819</f>
        <v>0</v>
      </c>
    </row>
    <row r="820" spans="1:9" x14ac:dyDescent="0.25">
      <c r="A820" s="2" t="str">
        <f>'Posted Sales Invoice Lines'!A820</f>
        <v>PS-INV198838</v>
      </c>
      <c r="B820" s="2" t="str">
        <f>'Posted Sales Invoice Lines'!B820</f>
        <v>20334</v>
      </c>
      <c r="C820" s="2" t="str">
        <f>'Posted Sales Invoice Lines'!C820</f>
        <v>Sysco Atlanta</v>
      </c>
      <c r="D820" s="2" t="str">
        <f>'Posted Sales Invoice Lines'!E820</f>
        <v>F53140</v>
      </c>
      <c r="E820" s="2" t="str">
        <f>'Posted Sales Invoice Lines'!F820</f>
        <v>Cs. Knuckies 8" White 12-6pk</v>
      </c>
      <c r="F820" s="3">
        <f>'Posted Sales Invoice Lines'!G820</f>
        <v>46105</v>
      </c>
      <c r="G820" s="9">
        <f>'Posted Sales Invoice Lines'!L820</f>
        <v>100</v>
      </c>
      <c r="H820" s="8">
        <f>'Posted Sales Invoice Lines'!N820</f>
        <v>41</v>
      </c>
      <c r="I820" s="8">
        <f>'Posted Sales Invoice Lines'!O820</f>
        <v>4100</v>
      </c>
    </row>
    <row r="821" spans="1:9" x14ac:dyDescent="0.25">
      <c r="A821" s="2" t="str">
        <f>'Posted Sales Invoice Lines'!A821</f>
        <v>PS-INV198842</v>
      </c>
      <c r="B821" s="2" t="str">
        <f>'Posted Sales Invoice Lines'!B821</f>
        <v>10719-6</v>
      </c>
      <c r="C821" s="2" t="str">
        <f>'Posted Sales Invoice Lines'!C821</f>
        <v>US Foods - Alcoa TN.</v>
      </c>
      <c r="D821" s="2" t="str">
        <f>'Posted Sales Invoice Lines'!E821</f>
        <v>F53094</v>
      </c>
      <c r="E821" s="2" t="str">
        <f>'Posted Sales Invoice Lines'!F821</f>
        <v>Cs. 6" Italian 12-6pks</v>
      </c>
      <c r="F821" s="3">
        <f>'Posted Sales Invoice Lines'!G821</f>
        <v>46112</v>
      </c>
      <c r="G821" s="9">
        <f>'Posted Sales Invoice Lines'!L821</f>
        <v>28</v>
      </c>
      <c r="H821" s="8">
        <f>'Posted Sales Invoice Lines'!N821</f>
        <v>35</v>
      </c>
      <c r="I821" s="8">
        <f>'Posted Sales Invoice Lines'!O821</f>
        <v>980</v>
      </c>
    </row>
    <row r="822" spans="1:9" x14ac:dyDescent="0.25">
      <c r="A822" s="2" t="str">
        <f>'Posted Sales Invoice Lines'!A822</f>
        <v>PS-INV198842</v>
      </c>
      <c r="B822" s="2" t="str">
        <f>'Posted Sales Invoice Lines'!B822</f>
        <v>10719-6</v>
      </c>
      <c r="C822" s="2" t="str">
        <f>'Posted Sales Invoice Lines'!C822</f>
        <v>US Foods - Alcoa TN.</v>
      </c>
      <c r="D822" s="2" t="str">
        <f>'Posted Sales Invoice Lines'!E822</f>
        <v>F530491</v>
      </c>
      <c r="E822" s="2" t="str">
        <f>'Posted Sales Invoice Lines'!F822</f>
        <v>Cs. 4.5 Brioche Bun 6-12pk</v>
      </c>
      <c r="F822" s="3">
        <f>'Posted Sales Invoice Lines'!G822</f>
        <v>46112</v>
      </c>
      <c r="G822" s="9">
        <f>'Posted Sales Invoice Lines'!L822</f>
        <v>40</v>
      </c>
      <c r="H822" s="8">
        <f>'Posted Sales Invoice Lines'!N822</f>
        <v>40</v>
      </c>
      <c r="I822" s="8">
        <f>'Posted Sales Invoice Lines'!O822</f>
        <v>1600</v>
      </c>
    </row>
    <row r="823" spans="1:9" x14ac:dyDescent="0.25">
      <c r="A823" s="2" t="str">
        <f>'Posted Sales Invoice Lines'!A823</f>
        <v>PS-INV198842</v>
      </c>
      <c r="B823" s="2" t="str">
        <f>'Posted Sales Invoice Lines'!B823</f>
        <v>10719-6</v>
      </c>
      <c r="C823" s="2" t="str">
        <f>'Posted Sales Invoice Lines'!C823</f>
        <v>US Foods - Alcoa TN.</v>
      </c>
      <c r="D823" s="2" t="str">
        <f>'Posted Sales Invoice Lines'!E823</f>
        <v>F52540</v>
      </c>
      <c r="E823" s="2" t="str">
        <f>'Posted Sales Invoice Lines'!F823</f>
        <v>Cs. Sour Dough Batard 1/2" 8lvs</v>
      </c>
      <c r="F823" s="3">
        <f>'Posted Sales Invoice Lines'!G823</f>
        <v>46112</v>
      </c>
      <c r="G823" s="9">
        <f>'Posted Sales Invoice Lines'!L823</f>
        <v>15</v>
      </c>
      <c r="H823" s="8">
        <f>'Posted Sales Invoice Lines'!N823</f>
        <v>56</v>
      </c>
      <c r="I823" s="8">
        <f>'Posted Sales Invoice Lines'!O823</f>
        <v>840</v>
      </c>
    </row>
    <row r="824" spans="1:9" x14ac:dyDescent="0.25">
      <c r="A824" s="2" t="str">
        <f>'Posted Sales Invoice Lines'!A824</f>
        <v>PS-INV198842</v>
      </c>
      <c r="B824" s="2" t="str">
        <f>'Posted Sales Invoice Lines'!B824</f>
        <v>10719-6</v>
      </c>
      <c r="C824" s="2" t="str">
        <f>'Posted Sales Invoice Lines'!C824</f>
        <v>US Foods - Alcoa TN.</v>
      </c>
      <c r="D824" s="2" t="str">
        <f>'Posted Sales Invoice Lines'!E824</f>
        <v>F51136</v>
      </c>
      <c r="E824" s="2" t="str">
        <f>'Posted Sales Invoice Lines'!F824</f>
        <v>Cs. Texas Toast 1" 12lvs</v>
      </c>
      <c r="F824" s="3">
        <f>'Posted Sales Invoice Lines'!G824</f>
        <v>46112</v>
      </c>
      <c r="G824" s="9">
        <f>'Posted Sales Invoice Lines'!L824</f>
        <v>80</v>
      </c>
      <c r="H824" s="8">
        <f>'Posted Sales Invoice Lines'!N824</f>
        <v>40.119999999999997</v>
      </c>
      <c r="I824" s="8">
        <f>'Posted Sales Invoice Lines'!O824</f>
        <v>3209.6</v>
      </c>
    </row>
    <row r="825" spans="1:9" x14ac:dyDescent="0.25">
      <c r="A825" s="2" t="str">
        <f>'Posted Sales Invoice Lines'!A825</f>
        <v>PS-INV198842</v>
      </c>
      <c r="B825" s="2" t="str">
        <f>'Posted Sales Invoice Lines'!B825</f>
        <v>10719-6</v>
      </c>
      <c r="C825" s="2" t="str">
        <f>'Posted Sales Invoice Lines'!C825</f>
        <v>US Foods - Alcoa TN.</v>
      </c>
      <c r="D825" s="2" t="str">
        <f>'Posted Sales Invoice Lines'!E825</f>
        <v>F51004</v>
      </c>
      <c r="E825" s="2" t="str">
        <f>'Posted Sales Invoice Lines'!F825</f>
        <v>Cs. Rye 5/8" 8lvs</v>
      </c>
      <c r="F825" s="3">
        <f>'Posted Sales Invoice Lines'!G825</f>
        <v>46112</v>
      </c>
      <c r="G825" s="9">
        <f>'Posted Sales Invoice Lines'!L825</f>
        <v>8</v>
      </c>
      <c r="H825" s="8">
        <f>'Posted Sales Invoice Lines'!N825</f>
        <v>42.03</v>
      </c>
      <c r="I825" s="8">
        <f>'Posted Sales Invoice Lines'!O825</f>
        <v>336.24</v>
      </c>
    </row>
    <row r="826" spans="1:9" x14ac:dyDescent="0.25">
      <c r="A826" s="2" t="str">
        <f>'Posted Sales Invoice Lines'!A826</f>
        <v>PS-INV198842</v>
      </c>
      <c r="B826" s="2" t="str">
        <f>'Posted Sales Invoice Lines'!B826</f>
        <v>10719-6</v>
      </c>
      <c r="C826" s="2" t="str">
        <f>'Posted Sales Invoice Lines'!C826</f>
        <v>US Foods - Alcoa TN.</v>
      </c>
      <c r="D826" s="2" t="str">
        <f>'Posted Sales Invoice Lines'!E826</f>
        <v>F53025</v>
      </c>
      <c r="E826" s="2" t="str">
        <f>'Posted Sales Invoice Lines'!F826</f>
        <v>Cs. Sesame Challah Kaiser 8-12pk</v>
      </c>
      <c r="F826" s="3">
        <f>'Posted Sales Invoice Lines'!G826</f>
        <v>46112</v>
      </c>
      <c r="G826" s="9">
        <f>'Posted Sales Invoice Lines'!L826</f>
        <v>112</v>
      </c>
      <c r="H826" s="8">
        <f>'Posted Sales Invoice Lines'!N826</f>
        <v>39</v>
      </c>
      <c r="I826" s="8">
        <f>'Posted Sales Invoice Lines'!O826</f>
        <v>4368</v>
      </c>
    </row>
    <row r="827" spans="1:9" x14ac:dyDescent="0.25">
      <c r="A827" s="2" t="str">
        <f>'Posted Sales Invoice Lines'!A827</f>
        <v>PS-INV198842</v>
      </c>
      <c r="B827" s="2" t="str">
        <f>'Posted Sales Invoice Lines'!B827</f>
        <v>10719-6</v>
      </c>
      <c r="C827" s="2" t="str">
        <f>'Posted Sales Invoice Lines'!C827</f>
        <v>US Foods - Alcoa TN.</v>
      </c>
      <c r="D827" s="2" t="str">
        <f>'Posted Sales Invoice Lines'!E827</f>
        <v>F53087</v>
      </c>
      <c r="E827" s="2" t="str">
        <f>'Posted Sales Invoice Lines'!F827</f>
        <v>Cs. 3.5" Challah Bun 8-12 pk</v>
      </c>
      <c r="F827" s="3">
        <f>'Posted Sales Invoice Lines'!G827</f>
        <v>46112</v>
      </c>
      <c r="G827" s="9">
        <f>'Posted Sales Invoice Lines'!L827</f>
        <v>40</v>
      </c>
      <c r="H827" s="8">
        <f>'Posted Sales Invoice Lines'!N827</f>
        <v>36.24</v>
      </c>
      <c r="I827" s="8">
        <f>'Posted Sales Invoice Lines'!O827</f>
        <v>1449.6</v>
      </c>
    </row>
    <row r="828" spans="1:9" x14ac:dyDescent="0.25">
      <c r="A828" s="2" t="str">
        <f>'Posted Sales Invoice Lines'!A828</f>
        <v>PS-INV198842</v>
      </c>
      <c r="B828" s="2" t="str">
        <f>'Posted Sales Invoice Lines'!B828</f>
        <v>10719-6</v>
      </c>
      <c r="C828" s="2" t="str">
        <f>'Posted Sales Invoice Lines'!C828</f>
        <v>US Foods - Alcoa TN.</v>
      </c>
      <c r="D828" s="2" t="str">
        <f>'Posted Sales Invoice Lines'!E828</f>
        <v>F56251</v>
      </c>
      <c r="E828" s="2" t="str">
        <f>'Posted Sales Invoice Lines'!F828</f>
        <v>Cs. Challah Sliders Sliced 18-12pks</v>
      </c>
      <c r="F828" s="3">
        <f>'Posted Sales Invoice Lines'!G828</f>
        <v>46112</v>
      </c>
      <c r="G828" s="9">
        <f>'Posted Sales Invoice Lines'!L828</f>
        <v>28</v>
      </c>
      <c r="H828" s="8">
        <f>'Posted Sales Invoice Lines'!N828</f>
        <v>41.5</v>
      </c>
      <c r="I828" s="8">
        <f>'Posted Sales Invoice Lines'!O828</f>
        <v>1162</v>
      </c>
    </row>
    <row r="829" spans="1:9" x14ac:dyDescent="0.25">
      <c r="A829" s="2" t="str">
        <f>'Posted Sales Invoice Lines'!A829</f>
        <v>PS-INV198842</v>
      </c>
      <c r="B829" s="2" t="str">
        <f>'Posted Sales Invoice Lines'!B829</f>
        <v>10719-6</v>
      </c>
      <c r="C829" s="2" t="str">
        <f>'Posted Sales Invoice Lines'!C829</f>
        <v>US Foods - Alcoa TN.</v>
      </c>
      <c r="D829" s="2" t="str">
        <f>'Posted Sales Invoice Lines'!E829</f>
        <v>F53001</v>
      </c>
      <c r="E829" s="2" t="str">
        <f>'Posted Sales Invoice Lines'!F829</f>
        <v>Cs. 4" Brioche Bun 8-12pk</v>
      </c>
      <c r="F829" s="3">
        <f>'Posted Sales Invoice Lines'!G829</f>
        <v>46112</v>
      </c>
      <c r="G829" s="9">
        <f>'Posted Sales Invoice Lines'!L829</f>
        <v>220</v>
      </c>
      <c r="H829" s="8">
        <f>'Posted Sales Invoice Lines'!N829</f>
        <v>45.49</v>
      </c>
      <c r="I829" s="8">
        <f>'Posted Sales Invoice Lines'!O829</f>
        <v>10007.799999999999</v>
      </c>
    </row>
    <row r="830" spans="1:9" x14ac:dyDescent="0.25">
      <c r="A830" s="2" t="str">
        <f>'Posted Sales Invoice Lines'!A830</f>
        <v>PS-INV198842</v>
      </c>
      <c r="B830" s="2" t="str">
        <f>'Posted Sales Invoice Lines'!B830</f>
        <v>10719-6</v>
      </c>
      <c r="C830" s="2" t="str">
        <f>'Posted Sales Invoice Lines'!C830</f>
        <v>US Foods - Alcoa TN.</v>
      </c>
      <c r="D830" s="2" t="str">
        <f>'Posted Sales Invoice Lines'!E830</f>
        <v>F530501</v>
      </c>
      <c r="E830" s="2" t="str">
        <f>'Posted Sales Invoice Lines'!F830</f>
        <v>Cs. 4.5" Challah Kaiser 6-12pk</v>
      </c>
      <c r="F830" s="3">
        <f>'Posted Sales Invoice Lines'!G830</f>
        <v>46112</v>
      </c>
      <c r="G830" s="9">
        <f>'Posted Sales Invoice Lines'!L830</f>
        <v>8</v>
      </c>
      <c r="H830" s="8">
        <f>'Posted Sales Invoice Lines'!N830</f>
        <v>37.020000000000003</v>
      </c>
      <c r="I830" s="8">
        <f>'Posted Sales Invoice Lines'!O830</f>
        <v>296.16000000000003</v>
      </c>
    </row>
    <row r="831" spans="1:9" x14ac:dyDescent="0.25">
      <c r="A831" s="2" t="str">
        <f>'Posted Sales Invoice Lines'!A831</f>
        <v>PS-INV198842</v>
      </c>
      <c r="B831" s="2" t="str">
        <f>'Posted Sales Invoice Lines'!B831</f>
        <v>10719-6</v>
      </c>
      <c r="C831" s="2" t="str">
        <f>'Posted Sales Invoice Lines'!C831</f>
        <v>US Foods - Alcoa TN.</v>
      </c>
      <c r="D831" s="2" t="str">
        <f>'Posted Sales Invoice Lines'!E831</f>
        <v>F51084</v>
      </c>
      <c r="E831" s="2" t="str">
        <f>'Posted Sales Invoice Lines'!F831</f>
        <v>Cs. Wheatberry Hearth</v>
      </c>
      <c r="F831" s="3">
        <f>'Posted Sales Invoice Lines'!G831</f>
        <v>46112</v>
      </c>
      <c r="G831" s="9">
        <f>'Posted Sales Invoice Lines'!L831</f>
        <v>8</v>
      </c>
      <c r="H831" s="8">
        <f>'Posted Sales Invoice Lines'!N831</f>
        <v>52.47</v>
      </c>
      <c r="I831" s="8">
        <f>'Posted Sales Invoice Lines'!O831</f>
        <v>419.76</v>
      </c>
    </row>
    <row r="832" spans="1:9" x14ac:dyDescent="0.25">
      <c r="A832" s="2" t="str">
        <f>'Posted Sales Invoice Lines'!A832</f>
        <v>PS-INV198842</v>
      </c>
      <c r="B832" s="2" t="str">
        <f>'Posted Sales Invoice Lines'!B832</f>
        <v>10719-6</v>
      </c>
      <c r="C832" s="2" t="str">
        <f>'Posted Sales Invoice Lines'!C832</f>
        <v>US Foods - Alcoa TN.</v>
      </c>
      <c r="D832" s="2" t="str">
        <f>'Posted Sales Invoice Lines'!E832</f>
        <v>F51024</v>
      </c>
      <c r="E832" s="2" t="str">
        <f>'Posted Sales Invoice Lines'!F832</f>
        <v>Cs. Marble Rye 5/8" 8lvs</v>
      </c>
      <c r="F832" s="3">
        <f>'Posted Sales Invoice Lines'!G832</f>
        <v>46112</v>
      </c>
      <c r="G832" s="9">
        <f>'Posted Sales Invoice Lines'!L832</f>
        <v>12</v>
      </c>
      <c r="H832" s="8">
        <f>'Posted Sales Invoice Lines'!N832</f>
        <v>54</v>
      </c>
      <c r="I832" s="8">
        <f>'Posted Sales Invoice Lines'!O832</f>
        <v>648</v>
      </c>
    </row>
    <row r="833" spans="1:9" x14ac:dyDescent="0.25">
      <c r="A833" s="2" t="str">
        <f>'Posted Sales Invoice Lines'!A833</f>
        <v>PS-INV198842</v>
      </c>
      <c r="B833" s="2" t="str">
        <f>'Posted Sales Invoice Lines'!B833</f>
        <v>10719-6</v>
      </c>
      <c r="C833" s="2" t="str">
        <f>'Posted Sales Invoice Lines'!C833</f>
        <v>US Foods - Alcoa TN.</v>
      </c>
      <c r="D833" s="2" t="str">
        <f>'Posted Sales Invoice Lines'!E833</f>
        <v>F51034</v>
      </c>
      <c r="E833" s="2" t="str">
        <f>'Posted Sales Invoice Lines'!F833</f>
        <v>Cs. Sour Dough Hearth 5/8" 8lvs</v>
      </c>
      <c r="F833" s="3">
        <f>'Posted Sales Invoice Lines'!G833</f>
        <v>46112</v>
      </c>
      <c r="G833" s="9">
        <f>'Posted Sales Invoice Lines'!L833</f>
        <v>4</v>
      </c>
      <c r="H833" s="8">
        <f>'Posted Sales Invoice Lines'!N833</f>
        <v>43.2</v>
      </c>
      <c r="I833" s="8">
        <f>'Posted Sales Invoice Lines'!O833</f>
        <v>172.8</v>
      </c>
    </row>
    <row r="834" spans="1:9" x14ac:dyDescent="0.25">
      <c r="A834" s="2" t="str">
        <f>'Posted Sales Invoice Lines'!A834</f>
        <v>PS-INV198842</v>
      </c>
      <c r="B834" s="2" t="str">
        <f>'Posted Sales Invoice Lines'!B834</f>
        <v>10719-6</v>
      </c>
      <c r="C834" s="2" t="str">
        <f>'Posted Sales Invoice Lines'!C834</f>
        <v>US Foods - Alcoa TN.</v>
      </c>
      <c r="D834" s="2" t="str">
        <f>'Posted Sales Invoice Lines'!E834</f>
        <v>F51157</v>
      </c>
      <c r="E834" s="2" t="str">
        <f>'Posted Sales Invoice Lines'!F834</f>
        <v>Cs. Challah Hearth 7/8" 8lvs</v>
      </c>
      <c r="F834" s="3">
        <f>'Posted Sales Invoice Lines'!G834</f>
        <v>46112</v>
      </c>
      <c r="G834" s="9">
        <f>'Posted Sales Invoice Lines'!L834</f>
        <v>28</v>
      </c>
      <c r="H834" s="8">
        <f>'Posted Sales Invoice Lines'!N834</f>
        <v>44.15</v>
      </c>
      <c r="I834" s="8">
        <f>'Posted Sales Invoice Lines'!O834</f>
        <v>1236.2</v>
      </c>
    </row>
    <row r="835" spans="1:9" x14ac:dyDescent="0.25">
      <c r="A835" s="2" t="str">
        <f>'Posted Sales Invoice Lines'!A835</f>
        <v>PS-INV198842</v>
      </c>
      <c r="B835" s="2" t="str">
        <f>'Posted Sales Invoice Lines'!B835</f>
        <v>10719-6</v>
      </c>
      <c r="C835" s="2" t="str">
        <f>'Posted Sales Invoice Lines'!C835</f>
        <v>US Foods - Alcoa TN.</v>
      </c>
      <c r="D835" s="2" t="str">
        <f>'Posted Sales Invoice Lines'!E835</f>
        <v>F53100</v>
      </c>
      <c r="E835" s="2" t="str">
        <f>'Posted Sales Invoice Lines'!F835</f>
        <v>Cs. Hot Dog pl/sl 12-8pk</v>
      </c>
      <c r="F835" s="3">
        <f>'Posted Sales Invoice Lines'!G835</f>
        <v>46112</v>
      </c>
      <c r="G835" s="9">
        <f>'Posted Sales Invoice Lines'!L835</f>
        <v>0</v>
      </c>
      <c r="H835" s="8">
        <f>'Posted Sales Invoice Lines'!N835</f>
        <v>36.6</v>
      </c>
      <c r="I835" s="8">
        <f>'Posted Sales Invoice Lines'!O835</f>
        <v>0</v>
      </c>
    </row>
    <row r="836" spans="1:9" x14ac:dyDescent="0.25">
      <c r="A836" s="2" t="str">
        <f>'Posted Sales Invoice Lines'!A836</f>
        <v>PS-INV198842</v>
      </c>
      <c r="B836" s="2" t="str">
        <f>'Posted Sales Invoice Lines'!B836</f>
        <v>10719-6</v>
      </c>
      <c r="C836" s="2" t="str">
        <f>'Posted Sales Invoice Lines'!C836</f>
        <v>US Foods - Alcoa TN.</v>
      </c>
      <c r="D836" s="2" t="str">
        <f>'Posted Sales Invoice Lines'!E836</f>
        <v>F53006</v>
      </c>
      <c r="E836" s="2" t="str">
        <f>'Posted Sales Invoice Lines'!F836</f>
        <v>Cs. 4" Wheat Bun 8-12pk</v>
      </c>
      <c r="F836" s="3">
        <f>'Posted Sales Invoice Lines'!G836</f>
        <v>46112</v>
      </c>
      <c r="G836" s="9">
        <f>'Posted Sales Invoice Lines'!L836</f>
        <v>12</v>
      </c>
      <c r="H836" s="8">
        <f>'Posted Sales Invoice Lines'!N836</f>
        <v>40.22</v>
      </c>
      <c r="I836" s="8">
        <f>'Posted Sales Invoice Lines'!O836</f>
        <v>482.64</v>
      </c>
    </row>
    <row r="837" spans="1:9" x14ac:dyDescent="0.25">
      <c r="A837" s="2" t="str">
        <f>'Posted Sales Invoice Lines'!A837</f>
        <v>PS-INV198842</v>
      </c>
      <c r="B837" s="2" t="str">
        <f>'Posted Sales Invoice Lines'!B837</f>
        <v>10719-6</v>
      </c>
      <c r="C837" s="2" t="str">
        <f>'Posted Sales Invoice Lines'!C837</f>
        <v>US Foods - Alcoa TN.</v>
      </c>
      <c r="D837" s="2" t="str">
        <f>'Posted Sales Invoice Lines'!E837</f>
        <v>F53127</v>
      </c>
      <c r="E837" s="2" t="str">
        <f>'Posted Sales Invoice Lines'!F837</f>
        <v>Cs. 8" Philly 10-6pks</v>
      </c>
      <c r="F837" s="3">
        <f>'Posted Sales Invoice Lines'!G837</f>
        <v>46112</v>
      </c>
      <c r="G837" s="9">
        <f>'Posted Sales Invoice Lines'!L837</f>
        <v>84</v>
      </c>
      <c r="H837" s="8">
        <f>'Posted Sales Invoice Lines'!N837</f>
        <v>42.37</v>
      </c>
      <c r="I837" s="8">
        <f>'Posted Sales Invoice Lines'!O837</f>
        <v>3559.08</v>
      </c>
    </row>
    <row r="838" spans="1:9" x14ac:dyDescent="0.25">
      <c r="A838" s="2" t="str">
        <f>'Posted Sales Invoice Lines'!A838</f>
        <v>PS-INV198842</v>
      </c>
      <c r="B838" s="2" t="str">
        <f>'Posted Sales Invoice Lines'!B838</f>
        <v>10719-6</v>
      </c>
      <c r="C838" s="2" t="str">
        <f>'Posted Sales Invoice Lines'!C838</f>
        <v>US Foods - Alcoa TN.</v>
      </c>
      <c r="D838" s="2" t="str">
        <f>'Posted Sales Invoice Lines'!E838</f>
        <v>F51343</v>
      </c>
      <c r="E838" s="2" t="str">
        <f>'Posted Sales Invoice Lines'!F838</f>
        <v>Cs. White Bread Pullman 3/4" 10lvs</v>
      </c>
      <c r="F838" s="3">
        <f>'Posted Sales Invoice Lines'!G838</f>
        <v>46112</v>
      </c>
      <c r="G838" s="9">
        <f>'Posted Sales Invoice Lines'!L838</f>
        <v>16</v>
      </c>
      <c r="H838" s="8">
        <f>'Posted Sales Invoice Lines'!N838</f>
        <v>42.22</v>
      </c>
      <c r="I838" s="8">
        <f>'Posted Sales Invoice Lines'!O838</f>
        <v>675.52</v>
      </c>
    </row>
    <row r="839" spans="1:9" x14ac:dyDescent="0.25">
      <c r="A839" s="2" t="str">
        <f>'Posted Sales Invoice Lines'!A839</f>
        <v>PS-INV198842</v>
      </c>
      <c r="B839" s="2" t="str">
        <f>'Posted Sales Invoice Lines'!B839</f>
        <v>10719-6</v>
      </c>
      <c r="C839" s="2" t="str">
        <f>'Posted Sales Invoice Lines'!C839</f>
        <v>US Foods - Alcoa TN.</v>
      </c>
      <c r="D839" s="2" t="str">
        <f>'Posted Sales Invoice Lines'!E839</f>
        <v>F53086</v>
      </c>
      <c r="E839" s="2" t="str">
        <f>'Posted Sales Invoice Lines'!F839</f>
        <v>Cs. 3.5" Plain Hamburger Bun 8-12pk</v>
      </c>
      <c r="F839" s="3">
        <f>'Posted Sales Invoice Lines'!G839</f>
        <v>46112</v>
      </c>
      <c r="G839" s="9">
        <f>'Posted Sales Invoice Lines'!L839</f>
        <v>4</v>
      </c>
      <c r="H839" s="8">
        <f>'Posted Sales Invoice Lines'!N839</f>
        <v>36.24</v>
      </c>
      <c r="I839" s="8">
        <f>'Posted Sales Invoice Lines'!O839</f>
        <v>144.96</v>
      </c>
    </row>
    <row r="840" spans="1:9" x14ac:dyDescent="0.25">
      <c r="A840" s="2" t="str">
        <f>'Posted Sales Invoice Lines'!A840</f>
        <v>PS-INV198842</v>
      </c>
      <c r="B840" s="2" t="str">
        <f>'Posted Sales Invoice Lines'!B840</f>
        <v>10719-6</v>
      </c>
      <c r="C840" s="2" t="str">
        <f>'Posted Sales Invoice Lines'!C840</f>
        <v>US Foods - Alcoa TN.</v>
      </c>
      <c r="D840" s="2" t="str">
        <f>'Posted Sales Invoice Lines'!E840</f>
        <v>F52035</v>
      </c>
      <c r="E840" s="2" t="str">
        <f>'Posted Sales Invoice Lines'!F840</f>
        <v>Cs. French Boule 12-2pk</v>
      </c>
      <c r="F840" s="3">
        <f>'Posted Sales Invoice Lines'!G840</f>
        <v>46112</v>
      </c>
      <c r="G840" s="9">
        <f>'Posted Sales Invoice Lines'!L840</f>
        <v>28</v>
      </c>
      <c r="H840" s="8">
        <f>'Posted Sales Invoice Lines'!N840</f>
        <v>32.549999999999997</v>
      </c>
      <c r="I840" s="8">
        <f>'Posted Sales Invoice Lines'!O840</f>
        <v>911.4</v>
      </c>
    </row>
    <row r="841" spans="1:9" x14ac:dyDescent="0.25">
      <c r="A841" s="2" t="str">
        <f>'Posted Sales Invoice Lines'!A841</f>
        <v>PS-INV198842</v>
      </c>
      <c r="B841" s="2" t="str">
        <f>'Posted Sales Invoice Lines'!B841</f>
        <v>10719-6</v>
      </c>
      <c r="C841" s="2" t="str">
        <f>'Posted Sales Invoice Lines'!C841</f>
        <v>US Foods - Alcoa TN.</v>
      </c>
      <c r="D841" s="2" t="str">
        <f>'Posted Sales Invoice Lines'!E841</f>
        <v>F53106</v>
      </c>
      <c r="E841" s="2" t="str">
        <f>'Posted Sales Invoice Lines'!F841</f>
        <v>Cs. Large Hot Dog 12-6pk</v>
      </c>
      <c r="F841" s="3">
        <f>'Posted Sales Invoice Lines'!G841</f>
        <v>46112</v>
      </c>
      <c r="G841" s="9">
        <f>'Posted Sales Invoice Lines'!L841</f>
        <v>4</v>
      </c>
      <c r="H841" s="8">
        <f>'Posted Sales Invoice Lines'!N841</f>
        <v>35.57</v>
      </c>
      <c r="I841" s="8">
        <f>'Posted Sales Invoice Lines'!O841</f>
        <v>142.28</v>
      </c>
    </row>
    <row r="842" spans="1:9" x14ac:dyDescent="0.25">
      <c r="A842" s="2" t="str">
        <f>'Posted Sales Invoice Lines'!A842</f>
        <v>PS-INV198842</v>
      </c>
      <c r="B842" s="2" t="str">
        <f>'Posted Sales Invoice Lines'!B842</f>
        <v>10719-6</v>
      </c>
      <c r="C842" s="2" t="str">
        <f>'Posted Sales Invoice Lines'!C842</f>
        <v>US Foods - Alcoa TN.</v>
      </c>
      <c r="D842" s="2" t="str">
        <f>'Posted Sales Invoice Lines'!E842</f>
        <v>F52032</v>
      </c>
      <c r="E842" s="2" t="str">
        <f>'Posted Sales Invoice Lines'!F842</f>
        <v>Cs. 8oz Sour Dough Boule 12-2pk</v>
      </c>
      <c r="F842" s="3">
        <f>'Posted Sales Invoice Lines'!G842</f>
        <v>46112</v>
      </c>
      <c r="G842" s="9">
        <f>'Posted Sales Invoice Lines'!L842</f>
        <v>28</v>
      </c>
      <c r="H842" s="8">
        <f>'Posted Sales Invoice Lines'!N842</f>
        <v>41.25</v>
      </c>
      <c r="I842" s="8">
        <f>'Posted Sales Invoice Lines'!O842</f>
        <v>1155</v>
      </c>
    </row>
    <row r="843" spans="1:9" x14ac:dyDescent="0.25">
      <c r="A843" s="2" t="str">
        <f>'Posted Sales Invoice Lines'!A843</f>
        <v>PS-INV198842</v>
      </c>
      <c r="B843" s="2" t="str">
        <f>'Posted Sales Invoice Lines'!B843</f>
        <v>10719-6</v>
      </c>
      <c r="C843" s="2" t="str">
        <f>'Posted Sales Invoice Lines'!C843</f>
        <v>US Foods - Alcoa TN.</v>
      </c>
      <c r="D843" s="2" t="str">
        <f>'Posted Sales Invoice Lines'!E843</f>
        <v>F53024</v>
      </c>
      <c r="E843" s="2" t="str">
        <f>'Posted Sales Invoice Lines'!F843</f>
        <v>Cs. 4" Challah Kaiser 8-12pk</v>
      </c>
      <c r="F843" s="3">
        <f>'Posted Sales Invoice Lines'!G843</f>
        <v>46112</v>
      </c>
      <c r="G843" s="9">
        <f>'Posted Sales Invoice Lines'!L843</f>
        <v>28</v>
      </c>
      <c r="H843" s="8">
        <f>'Posted Sales Invoice Lines'!N843</f>
        <v>40.22</v>
      </c>
      <c r="I843" s="8">
        <f>'Posted Sales Invoice Lines'!O843</f>
        <v>1126.1600000000001</v>
      </c>
    </row>
    <row r="844" spans="1:9" x14ac:dyDescent="0.25">
      <c r="A844" s="2" t="str">
        <f>'Posted Sales Invoice Lines'!A844</f>
        <v>PS-INV198855</v>
      </c>
      <c r="B844" s="2" t="str">
        <f>'Posted Sales Invoice Lines'!B844</f>
        <v>10547</v>
      </c>
      <c r="C844" s="2" t="str">
        <f>'Posted Sales Invoice Lines'!C844</f>
        <v>PFG Hale TN</v>
      </c>
      <c r="D844" s="2" t="str">
        <f>'Posted Sales Invoice Lines'!E844</f>
        <v>F51024</v>
      </c>
      <c r="E844" s="2" t="str">
        <f>'Posted Sales Invoice Lines'!F844</f>
        <v>Cs. Marble Rye 5/8" 8lvs</v>
      </c>
      <c r="F844" s="3">
        <f>'Posted Sales Invoice Lines'!G844</f>
        <v>46113</v>
      </c>
      <c r="G844" s="9">
        <f>'Posted Sales Invoice Lines'!L844</f>
        <v>112</v>
      </c>
      <c r="H844" s="8">
        <f>'Posted Sales Invoice Lines'!N844</f>
        <v>46.25</v>
      </c>
      <c r="I844" s="8">
        <f>'Posted Sales Invoice Lines'!O844</f>
        <v>5180</v>
      </c>
    </row>
    <row r="845" spans="1:9" x14ac:dyDescent="0.25">
      <c r="A845" s="2" t="str">
        <f>'Posted Sales Invoice Lines'!A845</f>
        <v>PS-INV198855</v>
      </c>
      <c r="B845" s="2" t="str">
        <f>'Posted Sales Invoice Lines'!B845</f>
        <v>10547</v>
      </c>
      <c r="C845" s="2" t="str">
        <f>'Posted Sales Invoice Lines'!C845</f>
        <v>PFG Hale TN</v>
      </c>
      <c r="D845" s="2" t="str">
        <f>'Posted Sales Invoice Lines'!E845</f>
        <v>F53001</v>
      </c>
      <c r="E845" s="2" t="str">
        <f>'Posted Sales Invoice Lines'!F845</f>
        <v>Cs. 4" Brioche Bun 8-12pk</v>
      </c>
      <c r="F845" s="3">
        <f>'Posted Sales Invoice Lines'!G845</f>
        <v>46113</v>
      </c>
      <c r="G845" s="9">
        <f>'Posted Sales Invoice Lines'!L845</f>
        <v>96</v>
      </c>
      <c r="H845" s="8">
        <f>'Posted Sales Invoice Lines'!N845</f>
        <v>42</v>
      </c>
      <c r="I845" s="8">
        <f>'Posted Sales Invoice Lines'!O845</f>
        <v>4032</v>
      </c>
    </row>
    <row r="846" spans="1:9" x14ac:dyDescent="0.25">
      <c r="A846" s="2" t="str">
        <f>'Posted Sales Invoice Lines'!A846</f>
        <v>PS-INV198855</v>
      </c>
      <c r="B846" s="2" t="str">
        <f>'Posted Sales Invoice Lines'!B846</f>
        <v>10547</v>
      </c>
      <c r="C846" s="2" t="str">
        <f>'Posted Sales Invoice Lines'!C846</f>
        <v>PFG Hale TN</v>
      </c>
      <c r="D846" s="2" t="str">
        <f>'Posted Sales Invoice Lines'!E846</f>
        <v>F530421</v>
      </c>
      <c r="E846" s="2" t="str">
        <f>'Posted Sales Invoice Lines'!F846</f>
        <v>Cs. 4.5" Challah Buns 6-12pk.</v>
      </c>
      <c r="F846" s="3">
        <f>'Posted Sales Invoice Lines'!G846</f>
        <v>46113</v>
      </c>
      <c r="G846" s="9">
        <f>'Posted Sales Invoice Lines'!L846</f>
        <v>308</v>
      </c>
      <c r="H846" s="8">
        <f>'Posted Sales Invoice Lines'!N846</f>
        <v>38.299999999999997</v>
      </c>
      <c r="I846" s="8">
        <f>'Posted Sales Invoice Lines'!O846</f>
        <v>11796.4</v>
      </c>
    </row>
    <row r="847" spans="1:9" x14ac:dyDescent="0.25">
      <c r="A847" s="2" t="str">
        <f>'Posted Sales Invoice Lines'!A847</f>
        <v>PS-INV198855</v>
      </c>
      <c r="B847" s="2" t="str">
        <f>'Posted Sales Invoice Lines'!B847</f>
        <v>10547</v>
      </c>
      <c r="C847" s="2" t="str">
        <f>'Posted Sales Invoice Lines'!C847</f>
        <v>PFG Hale TN</v>
      </c>
      <c r="D847" s="2" t="str">
        <f>'Posted Sales Invoice Lines'!E847</f>
        <v>F53094</v>
      </c>
      <c r="E847" s="2" t="str">
        <f>'Posted Sales Invoice Lines'!F847</f>
        <v>Cs. 6" Italian 12-6pks</v>
      </c>
      <c r="F847" s="3">
        <f>'Posted Sales Invoice Lines'!G847</f>
        <v>46113</v>
      </c>
      <c r="G847" s="9">
        <f>'Posted Sales Invoice Lines'!L847</f>
        <v>84</v>
      </c>
      <c r="H847" s="8">
        <f>'Posted Sales Invoice Lines'!N847</f>
        <v>36.47</v>
      </c>
      <c r="I847" s="8">
        <f>'Posted Sales Invoice Lines'!O847</f>
        <v>3063.48</v>
      </c>
    </row>
    <row r="848" spans="1:9" x14ac:dyDescent="0.25">
      <c r="A848" s="2" t="str">
        <f>'Posted Sales Invoice Lines'!A848</f>
        <v>PS-INV198855</v>
      </c>
      <c r="B848" s="2" t="str">
        <f>'Posted Sales Invoice Lines'!B848</f>
        <v>10547</v>
      </c>
      <c r="C848" s="2" t="str">
        <f>'Posted Sales Invoice Lines'!C848</f>
        <v>PFG Hale TN</v>
      </c>
      <c r="D848" s="2" t="str">
        <f>'Posted Sales Invoice Lines'!E848</f>
        <v>F53000</v>
      </c>
      <c r="E848" s="2" t="str">
        <f>'Posted Sales Invoice Lines'!F848</f>
        <v>Cs. 4" Hamburger Bun 8-12pk</v>
      </c>
      <c r="F848" s="3">
        <f>'Posted Sales Invoice Lines'!G848</f>
        <v>46113</v>
      </c>
      <c r="G848" s="9">
        <f>'Posted Sales Invoice Lines'!L848</f>
        <v>36</v>
      </c>
      <c r="H848" s="8">
        <f>'Posted Sales Invoice Lines'!N848</f>
        <v>33.25</v>
      </c>
      <c r="I848" s="8">
        <f>'Posted Sales Invoice Lines'!O848</f>
        <v>1197</v>
      </c>
    </row>
    <row r="849" spans="1:9" x14ac:dyDescent="0.25">
      <c r="A849" s="2" t="str">
        <f>'Posted Sales Invoice Lines'!A849</f>
        <v>PS-INV198855</v>
      </c>
      <c r="B849" s="2" t="str">
        <f>'Posted Sales Invoice Lines'!B849</f>
        <v>10547</v>
      </c>
      <c r="C849" s="2" t="str">
        <f>'Posted Sales Invoice Lines'!C849</f>
        <v>PFG Hale TN</v>
      </c>
      <c r="D849" s="2" t="str">
        <f>'Posted Sales Invoice Lines'!E849</f>
        <v>F53098</v>
      </c>
      <c r="E849" s="2" t="str">
        <f>'Posted Sales Invoice Lines'!F849</f>
        <v>Cs. Onion Club 12-6pk</v>
      </c>
      <c r="F849" s="3">
        <f>'Posted Sales Invoice Lines'!G849</f>
        <v>46113</v>
      </c>
      <c r="G849" s="9">
        <f>'Posted Sales Invoice Lines'!L849</f>
        <v>48</v>
      </c>
      <c r="H849" s="8">
        <f>'Posted Sales Invoice Lines'!N849</f>
        <v>35.75</v>
      </c>
      <c r="I849" s="8">
        <f>'Posted Sales Invoice Lines'!O849</f>
        <v>1716</v>
      </c>
    </row>
    <row r="850" spans="1:9" x14ac:dyDescent="0.25">
      <c r="A850" s="2" t="str">
        <f>'Posted Sales Invoice Lines'!A850</f>
        <v>PS-INV198855</v>
      </c>
      <c r="B850" s="2" t="str">
        <f>'Posted Sales Invoice Lines'!B850</f>
        <v>10547</v>
      </c>
      <c r="C850" s="2" t="str">
        <f>'Posted Sales Invoice Lines'!C850</f>
        <v>PFG Hale TN</v>
      </c>
      <c r="D850" s="2" t="str">
        <f>'Posted Sales Invoice Lines'!E850</f>
        <v>F51136</v>
      </c>
      <c r="E850" s="2" t="str">
        <f>'Posted Sales Invoice Lines'!F850</f>
        <v>Cs. Texas Toast 1" 12lvs</v>
      </c>
      <c r="F850" s="3">
        <f>'Posted Sales Invoice Lines'!G850</f>
        <v>46113</v>
      </c>
      <c r="G850" s="9">
        <f>'Posted Sales Invoice Lines'!L850</f>
        <v>39</v>
      </c>
      <c r="H850" s="8">
        <f>'Posted Sales Invoice Lines'!N850</f>
        <v>38</v>
      </c>
      <c r="I850" s="8">
        <f>'Posted Sales Invoice Lines'!O850</f>
        <v>1482</v>
      </c>
    </row>
    <row r="851" spans="1:9" x14ac:dyDescent="0.25">
      <c r="A851" s="2" t="str">
        <f>'Posted Sales Invoice Lines'!A851</f>
        <v>PS-INV199197</v>
      </c>
      <c r="B851" s="2" t="str">
        <f>'Posted Sales Invoice Lines'!B851</f>
        <v>20334</v>
      </c>
      <c r="C851" s="2" t="str">
        <f>'Posted Sales Invoice Lines'!C851</f>
        <v>Sysco Atlanta</v>
      </c>
      <c r="D851" s="2" t="str">
        <f>'Posted Sales Invoice Lines'!E851</f>
        <v>F53116</v>
      </c>
      <c r="E851" s="2" t="str">
        <f>'Posted Sales Invoice Lines'!F851</f>
        <v>Cs. 7" French Hinged 12</v>
      </c>
      <c r="F851" s="3">
        <f>'Posted Sales Invoice Lines'!G851</f>
        <v>46106</v>
      </c>
      <c r="G851" s="9">
        <f>'Posted Sales Invoice Lines'!L851</f>
        <v>28</v>
      </c>
      <c r="H851" s="8">
        <f>'Posted Sales Invoice Lines'!N851</f>
        <v>31.42</v>
      </c>
      <c r="I851" s="8">
        <f>'Posted Sales Invoice Lines'!O851</f>
        <v>879.76</v>
      </c>
    </row>
    <row r="852" spans="1:9" x14ac:dyDescent="0.25">
      <c r="A852" s="2" t="str">
        <f>'Posted Sales Invoice Lines'!A852</f>
        <v>PS-INV199197</v>
      </c>
      <c r="B852" s="2" t="str">
        <f>'Posted Sales Invoice Lines'!B852</f>
        <v>20334</v>
      </c>
      <c r="C852" s="2" t="str">
        <f>'Posted Sales Invoice Lines'!C852</f>
        <v>Sysco Atlanta</v>
      </c>
      <c r="D852" s="2" t="str">
        <f>'Posted Sales Invoice Lines'!E852</f>
        <v>F53087</v>
      </c>
      <c r="E852" s="2" t="str">
        <f>'Posted Sales Invoice Lines'!F852</f>
        <v>Cs. 3.5" Challah Bun 8-12 pk</v>
      </c>
      <c r="F852" s="3">
        <f>'Posted Sales Invoice Lines'!G852</f>
        <v>46106</v>
      </c>
      <c r="G852" s="9">
        <f>'Posted Sales Invoice Lines'!L852</f>
        <v>140</v>
      </c>
      <c r="H852" s="8">
        <f>'Posted Sales Invoice Lines'!N852</f>
        <v>34</v>
      </c>
      <c r="I852" s="8">
        <f>'Posted Sales Invoice Lines'!O852</f>
        <v>4760</v>
      </c>
    </row>
    <row r="853" spans="1:9" x14ac:dyDescent="0.25">
      <c r="A853" s="2" t="str">
        <f>'Posted Sales Invoice Lines'!A853</f>
        <v>PS-INV199197</v>
      </c>
      <c r="B853" s="2" t="str">
        <f>'Posted Sales Invoice Lines'!B853</f>
        <v>20334</v>
      </c>
      <c r="C853" s="2" t="str">
        <f>'Posted Sales Invoice Lines'!C853</f>
        <v>Sysco Atlanta</v>
      </c>
      <c r="D853" s="2" t="str">
        <f>'Posted Sales Invoice Lines'!E853</f>
        <v>F51127</v>
      </c>
      <c r="E853" s="2" t="str">
        <f>'Posted Sales Invoice Lines'!F853</f>
        <v>Cs. Challah 3-Braid 8</v>
      </c>
      <c r="F853" s="3">
        <f>'Posted Sales Invoice Lines'!G853</f>
        <v>46106</v>
      </c>
      <c r="G853" s="9">
        <f>'Posted Sales Invoice Lines'!L853</f>
        <v>20</v>
      </c>
      <c r="H853" s="8">
        <f>'Posted Sales Invoice Lines'!N853</f>
        <v>43.26</v>
      </c>
      <c r="I853" s="8">
        <f>'Posted Sales Invoice Lines'!O853</f>
        <v>865.2</v>
      </c>
    </row>
    <row r="854" spans="1:9" x14ac:dyDescent="0.25">
      <c r="A854" s="2" t="str">
        <f>'Posted Sales Invoice Lines'!A854</f>
        <v>PS-INV199197</v>
      </c>
      <c r="B854" s="2" t="str">
        <f>'Posted Sales Invoice Lines'!B854</f>
        <v>20334</v>
      </c>
      <c r="C854" s="2" t="str">
        <f>'Posted Sales Invoice Lines'!C854</f>
        <v>Sysco Atlanta</v>
      </c>
      <c r="D854" s="2" t="str">
        <f>'Posted Sales Invoice Lines'!E854</f>
        <v>F53001</v>
      </c>
      <c r="E854" s="2" t="str">
        <f>'Posted Sales Invoice Lines'!F854</f>
        <v>Cs. 4" Brioche Bun 8-12pk</v>
      </c>
      <c r="F854" s="3">
        <f>'Posted Sales Invoice Lines'!G854</f>
        <v>46106</v>
      </c>
      <c r="G854" s="9">
        <f>'Posted Sales Invoice Lines'!L854</f>
        <v>112</v>
      </c>
      <c r="H854" s="8">
        <f>'Posted Sales Invoice Lines'!N854</f>
        <v>43.36</v>
      </c>
      <c r="I854" s="8">
        <f>'Posted Sales Invoice Lines'!O854</f>
        <v>4856.32</v>
      </c>
    </row>
    <row r="855" spans="1:9" x14ac:dyDescent="0.25">
      <c r="A855" s="2" t="str">
        <f>'Posted Sales Invoice Lines'!A855</f>
        <v>PS-INV199197</v>
      </c>
      <c r="B855" s="2" t="str">
        <f>'Posted Sales Invoice Lines'!B855</f>
        <v>20334</v>
      </c>
      <c r="C855" s="2" t="str">
        <f>'Posted Sales Invoice Lines'!C855</f>
        <v>Sysco Atlanta</v>
      </c>
      <c r="D855" s="2" t="str">
        <f>'Posted Sales Invoice Lines'!E855</f>
        <v>F51034</v>
      </c>
      <c r="E855" s="2" t="str">
        <f>'Posted Sales Invoice Lines'!F855</f>
        <v>Cs. Sour Dough Hearth 5/8" 8lvs</v>
      </c>
      <c r="F855" s="3">
        <f>'Posted Sales Invoice Lines'!G855</f>
        <v>46106</v>
      </c>
      <c r="G855" s="9">
        <f>'Posted Sales Invoice Lines'!L855</f>
        <v>20</v>
      </c>
      <c r="H855" s="8">
        <f>'Posted Sales Invoice Lines'!N855</f>
        <v>41.2</v>
      </c>
      <c r="I855" s="8">
        <f>'Posted Sales Invoice Lines'!O855</f>
        <v>824</v>
      </c>
    </row>
    <row r="856" spans="1:9" x14ac:dyDescent="0.25">
      <c r="A856" s="2" t="str">
        <f>'Posted Sales Invoice Lines'!A856</f>
        <v>PS-INV199197</v>
      </c>
      <c r="B856" s="2" t="str">
        <f>'Posted Sales Invoice Lines'!B856</f>
        <v>20334</v>
      </c>
      <c r="C856" s="2" t="str">
        <f>'Posted Sales Invoice Lines'!C856</f>
        <v>Sysco Atlanta</v>
      </c>
      <c r="D856" s="2" t="str">
        <f>'Posted Sales Invoice Lines'!E856</f>
        <v>F53140</v>
      </c>
      <c r="E856" s="2" t="str">
        <f>'Posted Sales Invoice Lines'!F856</f>
        <v>Cs. Knuckies 8" White 12-6pk</v>
      </c>
      <c r="F856" s="3">
        <f>'Posted Sales Invoice Lines'!G856</f>
        <v>46106</v>
      </c>
      <c r="G856" s="9">
        <f>'Posted Sales Invoice Lines'!L856</f>
        <v>20</v>
      </c>
      <c r="H856" s="8">
        <f>'Posted Sales Invoice Lines'!N856</f>
        <v>41</v>
      </c>
      <c r="I856" s="8">
        <f>'Posted Sales Invoice Lines'!O856</f>
        <v>820</v>
      </c>
    </row>
    <row r="857" spans="1:9" x14ac:dyDescent="0.25">
      <c r="A857" s="2" t="str">
        <f>'Posted Sales Invoice Lines'!A857</f>
        <v>PS-INV199202</v>
      </c>
      <c r="B857" s="2" t="str">
        <f>'Posted Sales Invoice Lines'!B857</f>
        <v>X10540-3</v>
      </c>
      <c r="C857" s="2" t="str">
        <f>'Posted Sales Invoice Lines'!C857</f>
        <v>PFG Pittsburgh PA</v>
      </c>
      <c r="D857" s="2" t="str">
        <f>'Posted Sales Invoice Lines'!E857</f>
        <v>F53001</v>
      </c>
      <c r="E857" s="2" t="str">
        <f>'Posted Sales Invoice Lines'!F857</f>
        <v>Cs. 4" Brioche Bun 8-12pk</v>
      </c>
      <c r="F857" s="3">
        <f>'Posted Sales Invoice Lines'!G857</f>
        <v>46105</v>
      </c>
      <c r="G857" s="9">
        <f>'Posted Sales Invoice Lines'!L857</f>
        <v>504</v>
      </c>
      <c r="H857" s="8">
        <f>'Posted Sales Invoice Lines'!N857</f>
        <v>42.6</v>
      </c>
      <c r="I857" s="8">
        <f>'Posted Sales Invoice Lines'!O857</f>
        <v>21470.400000000001</v>
      </c>
    </row>
    <row r="858" spans="1:9" x14ac:dyDescent="0.25">
      <c r="A858" s="2" t="str">
        <f>'Posted Sales Invoice Lines'!A858</f>
        <v>PS-INV199202</v>
      </c>
      <c r="B858" s="2" t="str">
        <f>'Posted Sales Invoice Lines'!B858</f>
        <v>X10540-3</v>
      </c>
      <c r="C858" s="2" t="str">
        <f>'Posted Sales Invoice Lines'!C858</f>
        <v>PFG Pittsburgh PA</v>
      </c>
      <c r="D858" s="2" t="str">
        <f>'Posted Sales Invoice Lines'!E858</f>
        <v>F53105</v>
      </c>
      <c r="E858" s="2" t="str">
        <f>'Posted Sales Invoice Lines'!F858</f>
        <v>Cs. 6" White Hot Dog 16-8pk</v>
      </c>
      <c r="F858" s="3">
        <f>'Posted Sales Invoice Lines'!G858</f>
        <v>46105</v>
      </c>
      <c r="G858" s="9">
        <f>'Posted Sales Invoice Lines'!L858</f>
        <v>252</v>
      </c>
      <c r="H858" s="8">
        <f>'Posted Sales Invoice Lines'!N858</f>
        <v>34.5</v>
      </c>
      <c r="I858" s="8">
        <f>'Posted Sales Invoice Lines'!O858</f>
        <v>8694</v>
      </c>
    </row>
    <row r="859" spans="1:9" x14ac:dyDescent="0.25">
      <c r="A859" s="2" t="str">
        <f>'Posted Sales Invoice Lines'!A859</f>
        <v>PS-INV199202</v>
      </c>
      <c r="B859" s="2" t="str">
        <f>'Posted Sales Invoice Lines'!B859</f>
        <v>X10540-3</v>
      </c>
      <c r="C859" s="2" t="str">
        <f>'Posted Sales Invoice Lines'!C859</f>
        <v>PFG Pittsburgh PA</v>
      </c>
      <c r="D859" s="2" t="str">
        <f>'Posted Sales Invoice Lines'!E859</f>
        <v>F53094</v>
      </c>
      <c r="E859" s="2" t="str">
        <f>'Posted Sales Invoice Lines'!F859</f>
        <v>Cs. 6" Italian 12-6pks</v>
      </c>
      <c r="F859" s="3">
        <f>'Posted Sales Invoice Lines'!G859</f>
        <v>46105</v>
      </c>
      <c r="G859" s="9">
        <f>'Posted Sales Invoice Lines'!L859</f>
        <v>84</v>
      </c>
      <c r="H859" s="8">
        <f>'Posted Sales Invoice Lines'!N859</f>
        <v>35</v>
      </c>
      <c r="I859" s="8">
        <f>'Posted Sales Invoice Lines'!O859</f>
        <v>2940</v>
      </c>
    </row>
    <row r="860" spans="1:9" x14ac:dyDescent="0.25">
      <c r="A860" s="2" t="str">
        <f>'Posted Sales Invoice Lines'!A860</f>
        <v>PS-INV199668</v>
      </c>
      <c r="B860" s="2" t="str">
        <f>'Posted Sales Invoice Lines'!B860</f>
        <v>11394</v>
      </c>
      <c r="C860" s="2" t="str">
        <f>'Posted Sales Invoice Lines'!C860</f>
        <v>La Cosecha Food Service</v>
      </c>
      <c r="D860" s="2" t="str">
        <f>'Posted Sales Invoice Lines'!E860</f>
        <v>F53003</v>
      </c>
      <c r="E860" s="2" t="str">
        <f>'Posted Sales Invoice Lines'!F860</f>
        <v>Cs. 4" Unseeded Challah Bun 8-12pk</v>
      </c>
      <c r="F860" s="3">
        <f>'Posted Sales Invoice Lines'!G860</f>
        <v>46094</v>
      </c>
      <c r="G860" s="9">
        <f>'Posted Sales Invoice Lines'!L860</f>
        <v>20</v>
      </c>
      <c r="H860" s="8">
        <f>'Posted Sales Invoice Lines'!N860</f>
        <v>30.32</v>
      </c>
      <c r="I860" s="8">
        <f>'Posted Sales Invoice Lines'!O860</f>
        <v>606.4</v>
      </c>
    </row>
    <row r="861" spans="1:9" x14ac:dyDescent="0.25">
      <c r="A861" s="2" t="str">
        <f>'Posted Sales Invoice Lines'!A861</f>
        <v>PS-INV199668</v>
      </c>
      <c r="B861" s="2" t="str">
        <f>'Posted Sales Invoice Lines'!B861</f>
        <v>11394</v>
      </c>
      <c r="C861" s="2" t="str">
        <f>'Posted Sales Invoice Lines'!C861</f>
        <v>La Cosecha Food Service</v>
      </c>
      <c r="D861" s="2" t="str">
        <f>'Posted Sales Invoice Lines'!E861</f>
        <v>F530401</v>
      </c>
      <c r="E861" s="2" t="str">
        <f>'Posted Sales Invoice Lines'!F861</f>
        <v>Cs. 4.5" Sesame 6-12pk</v>
      </c>
      <c r="F861" s="3">
        <f>'Posted Sales Invoice Lines'!G861</f>
        <v>46094</v>
      </c>
      <c r="G861" s="9">
        <f>'Posted Sales Invoice Lines'!L861</f>
        <v>35</v>
      </c>
      <c r="H861" s="8">
        <f>'Posted Sales Invoice Lines'!N861</f>
        <v>34.18</v>
      </c>
      <c r="I861" s="8">
        <f>'Posted Sales Invoice Lines'!O861</f>
        <v>1196.3</v>
      </c>
    </row>
    <row r="862" spans="1:9" x14ac:dyDescent="0.25">
      <c r="A862" s="2" t="str">
        <f>'Posted Sales Invoice Lines'!A862</f>
        <v>PS-INV199668</v>
      </c>
      <c r="B862" s="2" t="str">
        <f>'Posted Sales Invoice Lines'!B862</f>
        <v>11394</v>
      </c>
      <c r="C862" s="2" t="str">
        <f>'Posted Sales Invoice Lines'!C862</f>
        <v>La Cosecha Food Service</v>
      </c>
      <c r="D862" s="2" t="str">
        <f>'Posted Sales Invoice Lines'!E862</f>
        <v>F53127</v>
      </c>
      <c r="E862" s="2" t="str">
        <f>'Posted Sales Invoice Lines'!F862</f>
        <v>Cs. 8" Philly 10-6pks</v>
      </c>
      <c r="F862" s="3">
        <f>'Posted Sales Invoice Lines'!G862</f>
        <v>46094</v>
      </c>
      <c r="G862" s="9">
        <f>'Posted Sales Invoice Lines'!L862</f>
        <v>20</v>
      </c>
      <c r="H862" s="8">
        <f>'Posted Sales Invoice Lines'!N862</f>
        <v>53.2</v>
      </c>
      <c r="I862" s="8">
        <f>'Posted Sales Invoice Lines'!O862</f>
        <v>1064</v>
      </c>
    </row>
    <row r="863" spans="1:9" x14ac:dyDescent="0.25">
      <c r="A863" s="2" t="str">
        <f>'Posted Sales Invoice Lines'!A863</f>
        <v>PS-INV199691</v>
      </c>
      <c r="B863" s="2" t="str">
        <f>'Posted Sales Invoice Lines'!B863</f>
        <v>10899</v>
      </c>
      <c r="C863" s="2" t="str">
        <f>'Posted Sales Invoice Lines'!C863</f>
        <v>Wood Fruitticher Grocery Co.</v>
      </c>
      <c r="D863" s="2" t="str">
        <f>'Posted Sales Invoice Lines'!E863</f>
        <v>F53072</v>
      </c>
      <c r="E863" s="2" t="str">
        <f>'Posted Sales Invoice Lines'!F863</f>
        <v>Cs. 5" Challah Bun 8-8pk</v>
      </c>
      <c r="F863" s="3">
        <f>'Posted Sales Invoice Lines'!G863</f>
        <v>46107</v>
      </c>
      <c r="G863" s="9">
        <f>'Posted Sales Invoice Lines'!L863</f>
        <v>32</v>
      </c>
      <c r="H863" s="8">
        <f>'Posted Sales Invoice Lines'!N863</f>
        <v>34.93</v>
      </c>
      <c r="I863" s="8">
        <f>'Posted Sales Invoice Lines'!O863</f>
        <v>1117.76</v>
      </c>
    </row>
    <row r="864" spans="1:9" x14ac:dyDescent="0.25">
      <c r="A864" s="2" t="str">
        <f>'Posted Sales Invoice Lines'!A864</f>
        <v>PS-INV199691</v>
      </c>
      <c r="B864" s="2" t="str">
        <f>'Posted Sales Invoice Lines'!B864</f>
        <v>10899</v>
      </c>
      <c r="C864" s="2" t="str">
        <f>'Posted Sales Invoice Lines'!C864</f>
        <v>Wood Fruitticher Grocery Co.</v>
      </c>
      <c r="D864" s="2" t="str">
        <f>'Posted Sales Invoice Lines'!E864</f>
        <v>F53003</v>
      </c>
      <c r="E864" s="2" t="str">
        <f>'Posted Sales Invoice Lines'!F864</f>
        <v>Cs. 4" Unseeded Challah Bun 8-12pk</v>
      </c>
      <c r="F864" s="3">
        <f>'Posted Sales Invoice Lines'!G864</f>
        <v>46107</v>
      </c>
      <c r="G864" s="9">
        <f>'Posted Sales Invoice Lines'!L864</f>
        <v>72</v>
      </c>
      <c r="H864" s="8">
        <f>'Posted Sales Invoice Lines'!N864</f>
        <v>35.479999999999997</v>
      </c>
      <c r="I864" s="8">
        <f>'Posted Sales Invoice Lines'!O864</f>
        <v>2554.56</v>
      </c>
    </row>
    <row r="865" spans="1:9" x14ac:dyDescent="0.25">
      <c r="A865" s="2" t="str">
        <f>'Posted Sales Invoice Lines'!A865</f>
        <v>PS-INV199691</v>
      </c>
      <c r="B865" s="2" t="str">
        <f>'Posted Sales Invoice Lines'!B865</f>
        <v>10899</v>
      </c>
      <c r="C865" s="2" t="str">
        <f>'Posted Sales Invoice Lines'!C865</f>
        <v>Wood Fruitticher Grocery Co.</v>
      </c>
      <c r="D865" s="2" t="str">
        <f>'Posted Sales Invoice Lines'!E865</f>
        <v>F53115</v>
      </c>
      <c r="E865" s="2" t="str">
        <f>'Posted Sales Invoice Lines'!F865</f>
        <v>Cs. 7" French Unsliced 12-6pk</v>
      </c>
      <c r="F865" s="3">
        <f>'Posted Sales Invoice Lines'!G865</f>
        <v>46107</v>
      </c>
      <c r="G865" s="9">
        <f>'Posted Sales Invoice Lines'!L865</f>
        <v>32</v>
      </c>
      <c r="H865" s="8">
        <f>'Posted Sales Invoice Lines'!N865</f>
        <v>28.88</v>
      </c>
      <c r="I865" s="8">
        <f>'Posted Sales Invoice Lines'!O865</f>
        <v>924.16</v>
      </c>
    </row>
    <row r="866" spans="1:9" x14ac:dyDescent="0.25">
      <c r="A866" s="2" t="str">
        <f>'Posted Sales Invoice Lines'!A866</f>
        <v>PS-INV199691</v>
      </c>
      <c r="B866" s="2" t="str">
        <f>'Posted Sales Invoice Lines'!B866</f>
        <v>10899</v>
      </c>
      <c r="C866" s="2" t="str">
        <f>'Posted Sales Invoice Lines'!C866</f>
        <v>Wood Fruitticher Grocery Co.</v>
      </c>
      <c r="D866" s="2" t="str">
        <f>'Posted Sales Invoice Lines'!E866</f>
        <v>F53000</v>
      </c>
      <c r="E866" s="2" t="str">
        <f>'Posted Sales Invoice Lines'!F866</f>
        <v>Cs. 4" Hamburger Bun 8-12pk</v>
      </c>
      <c r="F866" s="3">
        <f>'Posted Sales Invoice Lines'!G866</f>
        <v>46107</v>
      </c>
      <c r="G866" s="9">
        <f>'Posted Sales Invoice Lines'!L866</f>
        <v>112</v>
      </c>
      <c r="H866" s="8">
        <f>'Posted Sales Invoice Lines'!N866</f>
        <v>28.33</v>
      </c>
      <c r="I866" s="8">
        <f>'Posted Sales Invoice Lines'!O866</f>
        <v>3172.96</v>
      </c>
    </row>
    <row r="867" spans="1:9" x14ac:dyDescent="0.25">
      <c r="A867" s="2" t="str">
        <f>'Posted Sales Invoice Lines'!A867</f>
        <v>PS-INV199691</v>
      </c>
      <c r="B867" s="2" t="str">
        <f>'Posted Sales Invoice Lines'!B867</f>
        <v>10899</v>
      </c>
      <c r="C867" s="2" t="str">
        <f>'Posted Sales Invoice Lines'!C867</f>
        <v>Wood Fruitticher Grocery Co.</v>
      </c>
      <c r="D867" s="2" t="str">
        <f>'Posted Sales Invoice Lines'!E867</f>
        <v>F51137</v>
      </c>
      <c r="E867" s="2" t="str">
        <f>'Posted Sales Invoice Lines'!F867</f>
        <v>Cs. Texas Toast 3/4" 12lvs</v>
      </c>
      <c r="F867" s="3">
        <f>'Posted Sales Invoice Lines'!G867</f>
        <v>46107</v>
      </c>
      <c r="G867" s="9">
        <f>'Posted Sales Invoice Lines'!L867</f>
        <v>120</v>
      </c>
      <c r="H867" s="8">
        <f>'Posted Sales Invoice Lines'!N867</f>
        <v>28.49</v>
      </c>
      <c r="I867" s="8">
        <f>'Posted Sales Invoice Lines'!O867</f>
        <v>3418.8</v>
      </c>
    </row>
    <row r="868" spans="1:9" x14ac:dyDescent="0.25">
      <c r="A868" s="2" t="str">
        <f>'Posted Sales Invoice Lines'!A868</f>
        <v>PS-INV199691</v>
      </c>
      <c r="B868" s="2" t="str">
        <f>'Posted Sales Invoice Lines'!B868</f>
        <v>10899</v>
      </c>
      <c r="C868" s="2" t="str">
        <f>'Posted Sales Invoice Lines'!C868</f>
        <v>Wood Fruitticher Grocery Co.</v>
      </c>
      <c r="D868" s="2" t="str">
        <f>'Posted Sales Invoice Lines'!E868</f>
        <v>F51136</v>
      </c>
      <c r="E868" s="2" t="str">
        <f>'Posted Sales Invoice Lines'!F868</f>
        <v>Cs. Texas Toast 1" 12lvs</v>
      </c>
      <c r="F868" s="3">
        <f>'Posted Sales Invoice Lines'!G868</f>
        <v>46107</v>
      </c>
      <c r="G868" s="9">
        <f>'Posted Sales Invoice Lines'!L868</f>
        <v>56</v>
      </c>
      <c r="H868" s="8">
        <f>'Posted Sales Invoice Lines'!N868</f>
        <v>28.49</v>
      </c>
      <c r="I868" s="8">
        <f>'Posted Sales Invoice Lines'!O868</f>
        <v>1595.44</v>
      </c>
    </row>
    <row r="869" spans="1:9" x14ac:dyDescent="0.25">
      <c r="A869" s="2" t="str">
        <f>'Posted Sales Invoice Lines'!A869</f>
        <v>PS-INV199691</v>
      </c>
      <c r="B869" s="2" t="str">
        <f>'Posted Sales Invoice Lines'!B869</f>
        <v>10899</v>
      </c>
      <c r="C869" s="2" t="str">
        <f>'Posted Sales Invoice Lines'!C869</f>
        <v>Wood Fruitticher Grocery Co.</v>
      </c>
      <c r="D869" s="2" t="str">
        <f>'Posted Sales Invoice Lines'!E869</f>
        <v>F51130</v>
      </c>
      <c r="E869" s="2" t="str">
        <f>'Posted Sales Invoice Lines'!F869</f>
        <v>Cs. Club White 12lvs</v>
      </c>
      <c r="F869" s="3">
        <f>'Posted Sales Invoice Lines'!G869</f>
        <v>46107</v>
      </c>
      <c r="G869" s="9">
        <f>'Posted Sales Invoice Lines'!L869</f>
        <v>64</v>
      </c>
      <c r="H869" s="8">
        <f>'Posted Sales Invoice Lines'!N869</f>
        <v>28.49</v>
      </c>
      <c r="I869" s="8">
        <f>'Posted Sales Invoice Lines'!O869</f>
        <v>1823.36</v>
      </c>
    </row>
    <row r="870" spans="1:9" x14ac:dyDescent="0.25">
      <c r="A870" s="2" t="str">
        <f>'Posted Sales Invoice Lines'!A870</f>
        <v>PS-INV199691</v>
      </c>
      <c r="B870" s="2" t="str">
        <f>'Posted Sales Invoice Lines'!B870</f>
        <v>10899</v>
      </c>
      <c r="C870" s="2" t="str">
        <f>'Posted Sales Invoice Lines'!C870</f>
        <v>Wood Fruitticher Grocery Co.</v>
      </c>
      <c r="D870" s="2" t="str">
        <f>'Posted Sales Invoice Lines'!E870</f>
        <v>F53094</v>
      </c>
      <c r="E870" s="2" t="str">
        <f>'Posted Sales Invoice Lines'!F870</f>
        <v>Cs. 6" Italian 12-6pks</v>
      </c>
      <c r="F870" s="3">
        <f>'Posted Sales Invoice Lines'!G870</f>
        <v>46107</v>
      </c>
      <c r="G870" s="9">
        <f>'Posted Sales Invoice Lines'!L870</f>
        <v>140</v>
      </c>
      <c r="H870" s="8">
        <f>'Posted Sales Invoice Lines'!N870</f>
        <v>25.25</v>
      </c>
      <c r="I870" s="8">
        <f>'Posted Sales Invoice Lines'!O870</f>
        <v>3535</v>
      </c>
    </row>
    <row r="871" spans="1:9" x14ac:dyDescent="0.25">
      <c r="A871" s="2" t="str">
        <f>'Posted Sales Invoice Lines'!A871</f>
        <v>PS-INV199691</v>
      </c>
      <c r="B871" s="2" t="str">
        <f>'Posted Sales Invoice Lines'!B871</f>
        <v>10899</v>
      </c>
      <c r="C871" s="2" t="str">
        <f>'Posted Sales Invoice Lines'!C871</f>
        <v>Wood Fruitticher Grocery Co.</v>
      </c>
      <c r="D871" s="2" t="str">
        <f>'Posted Sales Invoice Lines'!E871</f>
        <v>F51006</v>
      </c>
      <c r="E871" s="2" t="str">
        <f>'Posted Sales Invoice Lines'!F871</f>
        <v>Cs. Rye 3/4" 8lvs</v>
      </c>
      <c r="F871" s="3">
        <f>'Posted Sales Invoice Lines'!G871</f>
        <v>46107</v>
      </c>
      <c r="G871" s="9">
        <f>'Posted Sales Invoice Lines'!L871</f>
        <v>32</v>
      </c>
      <c r="H871" s="8">
        <f>'Posted Sales Invoice Lines'!N871</f>
        <v>36.630000000000003</v>
      </c>
      <c r="I871" s="8">
        <f>'Posted Sales Invoice Lines'!O871</f>
        <v>1172.1600000000001</v>
      </c>
    </row>
    <row r="872" spans="1:9" x14ac:dyDescent="0.25">
      <c r="A872" s="2" t="str">
        <f>'Posted Sales Invoice Lines'!A872</f>
        <v>PS-INV199691</v>
      </c>
      <c r="B872" s="2" t="str">
        <f>'Posted Sales Invoice Lines'!B872</f>
        <v>10899</v>
      </c>
      <c r="C872" s="2" t="str">
        <f>'Posted Sales Invoice Lines'!C872</f>
        <v>Wood Fruitticher Grocery Co.</v>
      </c>
      <c r="D872" s="2" t="str">
        <f>'Posted Sales Invoice Lines'!E872</f>
        <v>F51070</v>
      </c>
      <c r="E872" s="2" t="str">
        <f>'Posted Sales Invoice Lines'!F872</f>
        <v>Cs. 8-Grain 5/8" 8lvs</v>
      </c>
      <c r="F872" s="3">
        <f>'Posted Sales Invoice Lines'!G872</f>
        <v>46107</v>
      </c>
      <c r="G872" s="9">
        <f>'Posted Sales Invoice Lines'!L872</f>
        <v>12</v>
      </c>
      <c r="H872" s="8">
        <f>'Posted Sales Invoice Lines'!N872</f>
        <v>47.74</v>
      </c>
      <c r="I872" s="8">
        <f>'Posted Sales Invoice Lines'!O872</f>
        <v>572.88</v>
      </c>
    </row>
    <row r="873" spans="1:9" x14ac:dyDescent="0.25">
      <c r="A873" s="2" t="str">
        <f>'Posted Sales Invoice Lines'!A873</f>
        <v>PS-INV199691</v>
      </c>
      <c r="B873" s="2" t="str">
        <f>'Posted Sales Invoice Lines'!B873</f>
        <v>10899</v>
      </c>
      <c r="C873" s="2" t="str">
        <f>'Posted Sales Invoice Lines'!C873</f>
        <v>Wood Fruitticher Grocery Co.</v>
      </c>
      <c r="D873" s="2" t="str">
        <f>'Posted Sales Invoice Lines'!E873</f>
        <v>F51024</v>
      </c>
      <c r="E873" s="2" t="str">
        <f>'Posted Sales Invoice Lines'!F873</f>
        <v>Cs. Marble Rye 5/8" 8lvs</v>
      </c>
      <c r="F873" s="3">
        <f>'Posted Sales Invoice Lines'!G873</f>
        <v>46107</v>
      </c>
      <c r="G873" s="9">
        <f>'Posted Sales Invoice Lines'!L873</f>
        <v>48</v>
      </c>
      <c r="H873" s="8">
        <f>'Posted Sales Invoice Lines'!N873</f>
        <v>36.630000000000003</v>
      </c>
      <c r="I873" s="8">
        <f>'Posted Sales Invoice Lines'!O873</f>
        <v>1758.24</v>
      </c>
    </row>
    <row r="874" spans="1:9" x14ac:dyDescent="0.25">
      <c r="A874" s="2" t="str">
        <f>'Posted Sales Invoice Lines'!A874</f>
        <v>PS-INV199691</v>
      </c>
      <c r="B874" s="2" t="str">
        <f>'Posted Sales Invoice Lines'!B874</f>
        <v>10899</v>
      </c>
      <c r="C874" s="2" t="str">
        <f>'Posted Sales Invoice Lines'!C874</f>
        <v>Wood Fruitticher Grocery Co.</v>
      </c>
      <c r="D874" s="2" t="str">
        <f>'Posted Sales Invoice Lines'!E874</f>
        <v>F53001</v>
      </c>
      <c r="E874" s="2" t="str">
        <f>'Posted Sales Invoice Lines'!F874</f>
        <v>Cs. 4" Brioche Bun 8-12pk</v>
      </c>
      <c r="F874" s="3">
        <f>'Posted Sales Invoice Lines'!G874</f>
        <v>46107</v>
      </c>
      <c r="G874" s="9">
        <f>'Posted Sales Invoice Lines'!L874</f>
        <v>112</v>
      </c>
      <c r="H874" s="8">
        <f>'Posted Sales Invoice Lines'!N874</f>
        <v>40.43</v>
      </c>
      <c r="I874" s="8">
        <f>'Posted Sales Invoice Lines'!O874</f>
        <v>4528.16</v>
      </c>
    </row>
    <row r="875" spans="1:9" x14ac:dyDescent="0.25">
      <c r="A875" s="2" t="str">
        <f>'Posted Sales Invoice Lines'!A875</f>
        <v>PS-INV199695</v>
      </c>
      <c r="B875" s="2" t="str">
        <f>'Posted Sales Invoice Lines'!B875</f>
        <v>11394</v>
      </c>
      <c r="C875" s="2" t="str">
        <f>'Posted Sales Invoice Lines'!C875</f>
        <v>La Cosecha Food Service</v>
      </c>
      <c r="D875" s="2" t="str">
        <f>'Posted Sales Invoice Lines'!E875</f>
        <v>F53003</v>
      </c>
      <c r="E875" s="2" t="str">
        <f>'Posted Sales Invoice Lines'!F875</f>
        <v>Cs. 4" Unseeded Challah Bun 8-12pk</v>
      </c>
      <c r="F875" s="3">
        <f>'Posted Sales Invoice Lines'!G875</f>
        <v>46106</v>
      </c>
      <c r="G875" s="9">
        <f>'Posted Sales Invoice Lines'!L875</f>
        <v>25</v>
      </c>
      <c r="H875" s="8">
        <f>'Posted Sales Invoice Lines'!N875</f>
        <v>30.32</v>
      </c>
      <c r="I875" s="8">
        <f>'Posted Sales Invoice Lines'!O875</f>
        <v>758</v>
      </c>
    </row>
    <row r="876" spans="1:9" x14ac:dyDescent="0.25">
      <c r="A876" s="2" t="str">
        <f>'Posted Sales Invoice Lines'!A876</f>
        <v>PS-INV199695</v>
      </c>
      <c r="B876" s="2" t="str">
        <f>'Posted Sales Invoice Lines'!B876</f>
        <v>11394</v>
      </c>
      <c r="C876" s="2" t="str">
        <f>'Posted Sales Invoice Lines'!C876</f>
        <v>La Cosecha Food Service</v>
      </c>
      <c r="D876" s="2" t="str">
        <f>'Posted Sales Invoice Lines'!E876</f>
        <v>F530401</v>
      </c>
      <c r="E876" s="2" t="str">
        <f>'Posted Sales Invoice Lines'!F876</f>
        <v>Cs. 4.5" Sesame 6-12pk</v>
      </c>
      <c r="F876" s="3">
        <f>'Posted Sales Invoice Lines'!G876</f>
        <v>46106</v>
      </c>
      <c r="G876" s="9">
        <f>'Posted Sales Invoice Lines'!L876</f>
        <v>45</v>
      </c>
      <c r="H876" s="8">
        <f>'Posted Sales Invoice Lines'!N876</f>
        <v>34.18</v>
      </c>
      <c r="I876" s="8">
        <f>'Posted Sales Invoice Lines'!O876</f>
        <v>1538.1</v>
      </c>
    </row>
    <row r="877" spans="1:9" x14ac:dyDescent="0.25">
      <c r="A877" s="2" t="str">
        <f>'Posted Sales Invoice Lines'!A877</f>
        <v>PS-INV199695</v>
      </c>
      <c r="B877" s="2" t="str">
        <f>'Posted Sales Invoice Lines'!B877</f>
        <v>11394</v>
      </c>
      <c r="C877" s="2" t="str">
        <f>'Posted Sales Invoice Lines'!C877</f>
        <v>La Cosecha Food Service</v>
      </c>
      <c r="D877" s="2" t="str">
        <f>'Posted Sales Invoice Lines'!E877</f>
        <v>F53127</v>
      </c>
      <c r="E877" s="2" t="str">
        <f>'Posted Sales Invoice Lines'!F877</f>
        <v>Cs. 8" Philly 10-6pks</v>
      </c>
      <c r="F877" s="3">
        <f>'Posted Sales Invoice Lines'!G877</f>
        <v>46106</v>
      </c>
      <c r="G877" s="9">
        <f>'Posted Sales Invoice Lines'!L877</f>
        <v>20</v>
      </c>
      <c r="H877" s="8">
        <f>'Posted Sales Invoice Lines'!N877</f>
        <v>53.2</v>
      </c>
      <c r="I877" s="8">
        <f>'Posted Sales Invoice Lines'!O877</f>
        <v>1064</v>
      </c>
    </row>
    <row r="878" spans="1:9" x14ac:dyDescent="0.25">
      <c r="A878" s="2" t="str">
        <f>'Posted Sales Invoice Lines'!A878</f>
        <v>PS-INV199711</v>
      </c>
      <c r="B878" s="2" t="str">
        <f>'Posted Sales Invoice Lines'!B878</f>
        <v>12988</v>
      </c>
      <c r="C878" s="2" t="str">
        <f>'Posted Sales Invoice Lines'!C878</f>
        <v>Sysco Norman OK</v>
      </c>
      <c r="D878" s="2" t="str">
        <f>'Posted Sales Invoice Lines'!E878</f>
        <v>F53001</v>
      </c>
      <c r="E878" s="2" t="str">
        <f>'Posted Sales Invoice Lines'!F878</f>
        <v>Cs. 4" Brioche Bun 8-12pk</v>
      </c>
      <c r="F878" s="3">
        <f>'Posted Sales Invoice Lines'!G878</f>
        <v>46114</v>
      </c>
      <c r="G878" s="9">
        <f>'Posted Sales Invoice Lines'!L878</f>
        <v>224</v>
      </c>
      <c r="H878" s="8">
        <f>'Posted Sales Invoice Lines'!N878</f>
        <v>46</v>
      </c>
      <c r="I878" s="8">
        <f>'Posted Sales Invoice Lines'!O878</f>
        <v>10304</v>
      </c>
    </row>
    <row r="879" spans="1:9" x14ac:dyDescent="0.25">
      <c r="A879" s="2" t="str">
        <f>'Posted Sales Invoice Lines'!A879</f>
        <v>PS-INV199711</v>
      </c>
      <c r="B879" s="2" t="str">
        <f>'Posted Sales Invoice Lines'!B879</f>
        <v>12988</v>
      </c>
      <c r="C879" s="2" t="str">
        <f>'Posted Sales Invoice Lines'!C879</f>
        <v>Sysco Norman OK</v>
      </c>
      <c r="D879" s="2" t="str">
        <f>'Posted Sales Invoice Lines'!E879</f>
        <v>F530491</v>
      </c>
      <c r="E879" s="2" t="str">
        <f>'Posted Sales Invoice Lines'!F879</f>
        <v>Cs. 4.5 Brioche Bun 6-12pk</v>
      </c>
      <c r="F879" s="3">
        <f>'Posted Sales Invoice Lines'!G879</f>
        <v>46114</v>
      </c>
      <c r="G879" s="9">
        <f>'Posted Sales Invoice Lines'!L879</f>
        <v>49</v>
      </c>
      <c r="H879" s="8">
        <f>'Posted Sales Invoice Lines'!N879</f>
        <v>40</v>
      </c>
      <c r="I879" s="8">
        <f>'Posted Sales Invoice Lines'!O879</f>
        <v>1960</v>
      </c>
    </row>
    <row r="880" spans="1:9" x14ac:dyDescent="0.25">
      <c r="A880" s="2" t="str">
        <f>'Posted Sales Invoice Lines'!A880</f>
        <v>PS-INV199919</v>
      </c>
      <c r="B880" s="2" t="str">
        <f>'Posted Sales Invoice Lines'!B880</f>
        <v>10540-03</v>
      </c>
      <c r="C880" s="2" t="str">
        <f>'Posted Sales Invoice Lines'!C880</f>
        <v>PFG Louisville TN</v>
      </c>
      <c r="D880" s="2" t="str">
        <f>'Posted Sales Invoice Lines'!E880</f>
        <v>F53001</v>
      </c>
      <c r="E880" s="2" t="str">
        <f>'Posted Sales Invoice Lines'!F880</f>
        <v>Cs. 4" Brioche Bun 8-12pk</v>
      </c>
      <c r="F880" s="3">
        <f>'Posted Sales Invoice Lines'!G880</f>
        <v>46107</v>
      </c>
      <c r="G880" s="9">
        <f>'Posted Sales Invoice Lines'!L880</f>
        <v>336</v>
      </c>
      <c r="H880" s="8">
        <f>'Posted Sales Invoice Lines'!N880</f>
        <v>42.6</v>
      </c>
      <c r="I880" s="8">
        <f>'Posted Sales Invoice Lines'!O880</f>
        <v>14313.6</v>
      </c>
    </row>
    <row r="881" spans="1:9" x14ac:dyDescent="0.25">
      <c r="A881" s="2" t="str">
        <f>'Posted Sales Invoice Lines'!A881</f>
        <v>PS-INV199919</v>
      </c>
      <c r="B881" s="2" t="str">
        <f>'Posted Sales Invoice Lines'!B881</f>
        <v>10540-03</v>
      </c>
      <c r="C881" s="2" t="str">
        <f>'Posted Sales Invoice Lines'!C881</f>
        <v>PFG Louisville TN</v>
      </c>
      <c r="D881" s="2" t="str">
        <f>'Posted Sales Invoice Lines'!E881</f>
        <v>F53160</v>
      </c>
      <c r="E881" s="2" t="str">
        <f>'Posted Sales Invoice Lines'!F881</f>
        <v>Cs. Large White Sub 6-6pk</v>
      </c>
      <c r="F881" s="3">
        <f>'Posted Sales Invoice Lines'!G881</f>
        <v>46107</v>
      </c>
      <c r="G881" s="9">
        <f>'Posted Sales Invoice Lines'!L881</f>
        <v>56</v>
      </c>
      <c r="H881" s="8">
        <f>'Posted Sales Invoice Lines'!N881</f>
        <v>34.200000000000003</v>
      </c>
      <c r="I881" s="8">
        <f>'Posted Sales Invoice Lines'!O881</f>
        <v>1915.2</v>
      </c>
    </row>
    <row r="882" spans="1:9" x14ac:dyDescent="0.25">
      <c r="A882" s="2" t="str">
        <f>'Posted Sales Invoice Lines'!A882</f>
        <v>PS-INV199919</v>
      </c>
      <c r="B882" s="2" t="str">
        <f>'Posted Sales Invoice Lines'!B882</f>
        <v>10540-03</v>
      </c>
      <c r="C882" s="2" t="str">
        <f>'Posted Sales Invoice Lines'!C882</f>
        <v>PFG Louisville TN</v>
      </c>
      <c r="D882" s="2" t="str">
        <f>'Posted Sales Invoice Lines'!E882</f>
        <v>F53170</v>
      </c>
      <c r="E882" s="2" t="str">
        <f>'Posted Sales Invoice Lines'!F882</f>
        <v>Cs. Large Country Wheat Sub 6-6pk</v>
      </c>
      <c r="F882" s="3">
        <f>'Posted Sales Invoice Lines'!G882</f>
        <v>46107</v>
      </c>
      <c r="G882" s="9">
        <f>'Posted Sales Invoice Lines'!L882</f>
        <v>28</v>
      </c>
      <c r="H882" s="8">
        <f>'Posted Sales Invoice Lines'!N882</f>
        <v>35.65</v>
      </c>
      <c r="I882" s="8">
        <f>'Posted Sales Invoice Lines'!O882</f>
        <v>998.2</v>
      </c>
    </row>
    <row r="883" spans="1:9" x14ac:dyDescent="0.25">
      <c r="A883" s="2" t="str">
        <f>'Posted Sales Invoice Lines'!A883</f>
        <v>PS-INV199919</v>
      </c>
      <c r="B883" s="2" t="str">
        <f>'Posted Sales Invoice Lines'!B883</f>
        <v>10540-03</v>
      </c>
      <c r="C883" s="2" t="str">
        <f>'Posted Sales Invoice Lines'!C883</f>
        <v>PFG Louisville TN</v>
      </c>
      <c r="D883" s="2" t="str">
        <f>'Posted Sales Invoice Lines'!E883</f>
        <v>F53180</v>
      </c>
      <c r="E883" s="2" t="str">
        <f>'Posted Sales Invoice Lines'!F883</f>
        <v>Cs. Large Pumpernickel Sub 6-6pk</v>
      </c>
      <c r="F883" s="3">
        <f>'Posted Sales Invoice Lines'!G883</f>
        <v>46107</v>
      </c>
      <c r="G883" s="9">
        <f>'Posted Sales Invoice Lines'!L883</f>
        <v>56</v>
      </c>
      <c r="H883" s="8">
        <f>'Posted Sales Invoice Lines'!N883</f>
        <v>35.65</v>
      </c>
      <c r="I883" s="8">
        <f>'Posted Sales Invoice Lines'!O883</f>
        <v>1996.4</v>
      </c>
    </row>
    <row r="884" spans="1:9" x14ac:dyDescent="0.25">
      <c r="A884" s="2" t="str">
        <f>'Posted Sales Invoice Lines'!A884</f>
        <v>PS-INV199919</v>
      </c>
      <c r="B884" s="2" t="str">
        <f>'Posted Sales Invoice Lines'!B884</f>
        <v>10540-03</v>
      </c>
      <c r="C884" s="2" t="str">
        <f>'Posted Sales Invoice Lines'!C884</f>
        <v>PFG Louisville TN</v>
      </c>
      <c r="D884" s="2" t="str">
        <f>'Posted Sales Invoice Lines'!E884</f>
        <v>F530501</v>
      </c>
      <c r="E884" s="2" t="str">
        <f>'Posted Sales Invoice Lines'!F884</f>
        <v>Cs. 4.5" Challah Kaiser 6-12pk</v>
      </c>
      <c r="F884" s="3">
        <f>'Posted Sales Invoice Lines'!G884</f>
        <v>46107</v>
      </c>
      <c r="G884" s="9">
        <f>'Posted Sales Invoice Lines'!L884</f>
        <v>16</v>
      </c>
      <c r="H884" s="8">
        <f>'Posted Sales Invoice Lines'!N884</f>
        <v>38.299999999999997</v>
      </c>
      <c r="I884" s="8">
        <f>'Posted Sales Invoice Lines'!O884</f>
        <v>612.79999999999995</v>
      </c>
    </row>
    <row r="885" spans="1:9" x14ac:dyDescent="0.25">
      <c r="A885" s="2" t="str">
        <f>'Posted Sales Invoice Lines'!A885</f>
        <v>PS-INV199919</v>
      </c>
      <c r="B885" s="2" t="str">
        <f>'Posted Sales Invoice Lines'!B885</f>
        <v>10540-03</v>
      </c>
      <c r="C885" s="2" t="str">
        <f>'Posted Sales Invoice Lines'!C885</f>
        <v>PFG Louisville TN</v>
      </c>
      <c r="D885" s="2" t="str">
        <f>'Posted Sales Invoice Lines'!E885</f>
        <v>F53013</v>
      </c>
      <c r="E885" s="2" t="str">
        <f>'Posted Sales Invoice Lines'!F885</f>
        <v>Cs. 4" Vidalia 8-12pk</v>
      </c>
      <c r="F885" s="3">
        <f>'Posted Sales Invoice Lines'!G885</f>
        <v>46107</v>
      </c>
      <c r="G885" s="9">
        <f>'Posted Sales Invoice Lines'!L885</f>
        <v>0</v>
      </c>
      <c r="H885" s="8">
        <f>'Posted Sales Invoice Lines'!N885</f>
        <v>46</v>
      </c>
      <c r="I885" s="8">
        <f>'Posted Sales Invoice Lines'!O885</f>
        <v>0</v>
      </c>
    </row>
    <row r="886" spans="1:9" x14ac:dyDescent="0.25">
      <c r="A886" s="2" t="str">
        <f>'Posted Sales Invoice Lines'!A886</f>
        <v>PS-INV199919</v>
      </c>
      <c r="B886" s="2" t="str">
        <f>'Posted Sales Invoice Lines'!B886</f>
        <v>10540-03</v>
      </c>
      <c r="C886" s="2" t="str">
        <f>'Posted Sales Invoice Lines'!C886</f>
        <v>PFG Louisville TN</v>
      </c>
      <c r="D886" s="2" t="str">
        <f>'Posted Sales Invoice Lines'!E886</f>
        <v>F53091</v>
      </c>
      <c r="E886" s="2" t="str">
        <f>'Posted Sales Invoice Lines'!F886</f>
        <v>Cs. 6" Hoagie Slab Cut</v>
      </c>
      <c r="F886" s="3">
        <f>'Posted Sales Invoice Lines'!G886</f>
        <v>46107</v>
      </c>
      <c r="G886" s="9">
        <f>'Posted Sales Invoice Lines'!L886</f>
        <v>0</v>
      </c>
      <c r="H886" s="8">
        <f>'Posted Sales Invoice Lines'!N886</f>
        <v>35</v>
      </c>
      <c r="I886" s="8">
        <f>'Posted Sales Invoice Lines'!O886</f>
        <v>0</v>
      </c>
    </row>
    <row r="887" spans="1:9" x14ac:dyDescent="0.25">
      <c r="A887" s="2" t="str">
        <f>'Posted Sales Invoice Lines'!A887</f>
        <v>PS-INV199919</v>
      </c>
      <c r="B887" s="2" t="str">
        <f>'Posted Sales Invoice Lines'!B887</f>
        <v>10540-03</v>
      </c>
      <c r="C887" s="2" t="str">
        <f>'Posted Sales Invoice Lines'!C887</f>
        <v>PFG Louisville TN</v>
      </c>
      <c r="D887" s="2" t="str">
        <f>'Posted Sales Invoice Lines'!E887</f>
        <v>F530421</v>
      </c>
      <c r="E887" s="2" t="str">
        <f>'Posted Sales Invoice Lines'!F887</f>
        <v>Cs. 4.5" Challah Buns 6-12pk.</v>
      </c>
      <c r="F887" s="3">
        <f>'Posted Sales Invoice Lines'!G887</f>
        <v>46107</v>
      </c>
      <c r="G887" s="9">
        <f>'Posted Sales Invoice Lines'!L887</f>
        <v>0</v>
      </c>
      <c r="H887" s="8">
        <f>'Posted Sales Invoice Lines'!N887</f>
        <v>38.299999999999997</v>
      </c>
      <c r="I887" s="8">
        <f>'Posted Sales Invoice Lines'!O887</f>
        <v>0</v>
      </c>
    </row>
    <row r="888" spans="1:9" x14ac:dyDescent="0.25">
      <c r="A888" s="2" t="str">
        <f>'Posted Sales Invoice Lines'!A888</f>
        <v>PS-INV199919</v>
      </c>
      <c r="B888" s="2" t="str">
        <f>'Posted Sales Invoice Lines'!B888</f>
        <v>10540-03</v>
      </c>
      <c r="C888" s="2" t="str">
        <f>'Posted Sales Invoice Lines'!C888</f>
        <v>PFG Louisville TN</v>
      </c>
      <c r="D888" s="2" t="str">
        <f>'Posted Sales Invoice Lines'!E888</f>
        <v>F53094</v>
      </c>
      <c r="E888" s="2" t="str">
        <f>'Posted Sales Invoice Lines'!F888</f>
        <v>Cs. 6" Italian 12-6pks</v>
      </c>
      <c r="F888" s="3">
        <f>'Posted Sales Invoice Lines'!G888</f>
        <v>46107</v>
      </c>
      <c r="G888" s="9">
        <f>'Posted Sales Invoice Lines'!L888</f>
        <v>56</v>
      </c>
      <c r="H888" s="8">
        <f>'Posted Sales Invoice Lines'!N888</f>
        <v>35</v>
      </c>
      <c r="I888" s="8">
        <f>'Posted Sales Invoice Lines'!O888</f>
        <v>1960</v>
      </c>
    </row>
    <row r="889" spans="1:9" x14ac:dyDescent="0.25">
      <c r="A889" s="2" t="str">
        <f>'Posted Sales Invoice Lines'!A889</f>
        <v>PS-INV199919</v>
      </c>
      <c r="B889" s="2" t="str">
        <f>'Posted Sales Invoice Lines'!B889</f>
        <v>10540-03</v>
      </c>
      <c r="C889" s="2" t="str">
        <f>'Posted Sales Invoice Lines'!C889</f>
        <v>PFG Louisville TN</v>
      </c>
      <c r="D889" s="2" t="str">
        <f>'Posted Sales Invoice Lines'!E889</f>
        <v>F53100</v>
      </c>
      <c r="E889" s="2" t="str">
        <f>'Posted Sales Invoice Lines'!F889</f>
        <v>Cs. Hot Dog pl/sl 12-8pk</v>
      </c>
      <c r="F889" s="3">
        <f>'Posted Sales Invoice Lines'!G889</f>
        <v>46107</v>
      </c>
      <c r="G889" s="9">
        <f>'Posted Sales Invoice Lines'!L889</f>
        <v>40</v>
      </c>
      <c r="H889" s="8">
        <f>'Posted Sales Invoice Lines'!N889</f>
        <v>36.18</v>
      </c>
      <c r="I889" s="8">
        <f>'Posted Sales Invoice Lines'!O889</f>
        <v>1447.2</v>
      </c>
    </row>
    <row r="890" spans="1:9" x14ac:dyDescent="0.25">
      <c r="A890" s="2" t="str">
        <f>'Posted Sales Invoice Lines'!A890</f>
        <v>PS-INV199919</v>
      </c>
      <c r="B890" s="2" t="str">
        <f>'Posted Sales Invoice Lines'!B890</f>
        <v>10540-03</v>
      </c>
      <c r="C890" s="2" t="str">
        <f>'Posted Sales Invoice Lines'!C890</f>
        <v>PFG Louisville TN</v>
      </c>
      <c r="D890" s="2" t="str">
        <f>'Posted Sales Invoice Lines'!E890</f>
        <v>F53106</v>
      </c>
      <c r="E890" s="2" t="str">
        <f>'Posted Sales Invoice Lines'!F890</f>
        <v>Cs. Large Hot Dog 12-6pk</v>
      </c>
      <c r="F890" s="3">
        <f>'Posted Sales Invoice Lines'!G890</f>
        <v>46107</v>
      </c>
      <c r="G890" s="9">
        <f>'Posted Sales Invoice Lines'!L890</f>
        <v>12</v>
      </c>
      <c r="H890" s="8">
        <f>'Posted Sales Invoice Lines'!N890</f>
        <v>36.07</v>
      </c>
      <c r="I890" s="8">
        <f>'Posted Sales Invoice Lines'!O890</f>
        <v>432.84</v>
      </c>
    </row>
    <row r="891" spans="1:9" x14ac:dyDescent="0.25">
      <c r="A891" s="2" t="str">
        <f>'Posted Sales Invoice Lines'!A891</f>
        <v>PS-INV199919</v>
      </c>
      <c r="B891" s="2" t="str">
        <f>'Posted Sales Invoice Lines'!B891</f>
        <v>10540-03</v>
      </c>
      <c r="C891" s="2" t="str">
        <f>'Posted Sales Invoice Lines'!C891</f>
        <v>PFG Louisville TN</v>
      </c>
      <c r="D891" s="2" t="str">
        <f>'Posted Sales Invoice Lines'!E891</f>
        <v>F52007</v>
      </c>
      <c r="E891" s="2" t="str">
        <f>'Posted Sales Invoice Lines'!F891</f>
        <v>Cs. 22" 17oz French 10-2pk</v>
      </c>
      <c r="F891" s="3">
        <f>'Posted Sales Invoice Lines'!G891</f>
        <v>46107</v>
      </c>
      <c r="G891" s="9">
        <f>'Posted Sales Invoice Lines'!L891</f>
        <v>28</v>
      </c>
      <c r="H891" s="8">
        <f>'Posted Sales Invoice Lines'!N891</f>
        <v>42</v>
      </c>
      <c r="I891" s="8">
        <f>'Posted Sales Invoice Lines'!O891</f>
        <v>1176</v>
      </c>
    </row>
    <row r="892" spans="1:9" x14ac:dyDescent="0.25">
      <c r="A892" s="2" t="str">
        <f>'Posted Sales Invoice Lines'!A892</f>
        <v>PS-INV199919</v>
      </c>
      <c r="B892" s="2" t="str">
        <f>'Posted Sales Invoice Lines'!B892</f>
        <v>10540-03</v>
      </c>
      <c r="C892" s="2" t="str">
        <f>'Posted Sales Invoice Lines'!C892</f>
        <v>PFG Louisville TN</v>
      </c>
      <c r="D892" s="2" t="str">
        <f>'Posted Sales Invoice Lines'!E892</f>
        <v>F51034</v>
      </c>
      <c r="E892" s="2" t="str">
        <f>'Posted Sales Invoice Lines'!F892</f>
        <v>Cs. Sour Dough Hearth 5/8" 8lvs</v>
      </c>
      <c r="F892" s="3">
        <f>'Posted Sales Invoice Lines'!G892</f>
        <v>46107</v>
      </c>
      <c r="G892" s="9">
        <f>'Posted Sales Invoice Lines'!L892</f>
        <v>28</v>
      </c>
      <c r="H892" s="8">
        <f>'Posted Sales Invoice Lines'!N892</f>
        <v>43.82</v>
      </c>
      <c r="I892" s="8">
        <f>'Posted Sales Invoice Lines'!O892</f>
        <v>1226.96</v>
      </c>
    </row>
    <row r="893" spans="1:9" x14ac:dyDescent="0.25">
      <c r="A893" s="2" t="str">
        <f>'Posted Sales Invoice Lines'!A893</f>
        <v>PS-INV199919</v>
      </c>
      <c r="B893" s="2" t="str">
        <f>'Posted Sales Invoice Lines'!B893</f>
        <v>10540-03</v>
      </c>
      <c r="C893" s="2" t="str">
        <f>'Posted Sales Invoice Lines'!C893</f>
        <v>PFG Louisville TN</v>
      </c>
      <c r="D893" s="2" t="str">
        <f>'Posted Sales Invoice Lines'!E893</f>
        <v>F51137</v>
      </c>
      <c r="E893" s="2" t="str">
        <f>'Posted Sales Invoice Lines'!F893</f>
        <v>Cs. Texas Toast 3/4" 12lvs</v>
      </c>
      <c r="F893" s="3">
        <f>'Posted Sales Invoice Lines'!G893</f>
        <v>46107</v>
      </c>
      <c r="G893" s="9">
        <f>'Posted Sales Invoice Lines'!L893</f>
        <v>84</v>
      </c>
      <c r="H893" s="8">
        <f>'Posted Sales Invoice Lines'!N893</f>
        <v>40.619999999999997</v>
      </c>
      <c r="I893" s="8">
        <f>'Posted Sales Invoice Lines'!O893</f>
        <v>3412.08</v>
      </c>
    </row>
    <row r="894" spans="1:9" x14ac:dyDescent="0.25">
      <c r="A894" s="2" t="str">
        <f>'Posted Sales Invoice Lines'!A894</f>
        <v>PS-INV199919</v>
      </c>
      <c r="B894" s="2" t="str">
        <f>'Posted Sales Invoice Lines'!B894</f>
        <v>10540-03</v>
      </c>
      <c r="C894" s="2" t="str">
        <f>'Posted Sales Invoice Lines'!C894</f>
        <v>PFG Louisville TN</v>
      </c>
      <c r="D894" s="2" t="str">
        <f>'Posted Sales Invoice Lines'!E894</f>
        <v>F53110</v>
      </c>
      <c r="E894" s="2" t="str">
        <f>'Posted Sales Invoice Lines'!F894</f>
        <v>Cs. Foot Long Challah Hot Dog Buns 10-6pk</v>
      </c>
      <c r="F894" s="3">
        <f>'Posted Sales Invoice Lines'!G894</f>
        <v>46107</v>
      </c>
      <c r="G894" s="9">
        <f>'Posted Sales Invoice Lines'!L894</f>
        <v>56</v>
      </c>
      <c r="H894" s="8">
        <f>'Posted Sales Invoice Lines'!N894</f>
        <v>39.25</v>
      </c>
      <c r="I894" s="8">
        <f>'Posted Sales Invoice Lines'!O894</f>
        <v>2198</v>
      </c>
    </row>
    <row r="895" spans="1:9" x14ac:dyDescent="0.25">
      <c r="A895" s="2" t="str">
        <f>'Posted Sales Invoice Lines'!A895</f>
        <v>PS-INV199919</v>
      </c>
      <c r="B895" s="2" t="str">
        <f>'Posted Sales Invoice Lines'!B895</f>
        <v>10540-03</v>
      </c>
      <c r="C895" s="2" t="str">
        <f>'Posted Sales Invoice Lines'!C895</f>
        <v>PFG Louisville TN</v>
      </c>
      <c r="D895" s="2" t="str">
        <f>'Posted Sales Invoice Lines'!E895</f>
        <v>F51030</v>
      </c>
      <c r="E895" s="2" t="str">
        <f>'Posted Sales Invoice Lines'!F895</f>
        <v>Cs. Sour Dough Hearth 8lvs</v>
      </c>
      <c r="F895" s="3">
        <f>'Posted Sales Invoice Lines'!G895</f>
        <v>46107</v>
      </c>
      <c r="G895" s="9">
        <f>'Posted Sales Invoice Lines'!L895</f>
        <v>28</v>
      </c>
      <c r="H895" s="8">
        <f>'Posted Sales Invoice Lines'!N895</f>
        <v>43.82</v>
      </c>
      <c r="I895" s="8">
        <f>'Posted Sales Invoice Lines'!O895</f>
        <v>1226.96</v>
      </c>
    </row>
    <row r="896" spans="1:9" x14ac:dyDescent="0.25">
      <c r="A896" s="2" t="str">
        <f>'Posted Sales Invoice Lines'!A896</f>
        <v>PS-INV199919</v>
      </c>
      <c r="B896" s="2" t="str">
        <f>'Posted Sales Invoice Lines'!B896</f>
        <v>10540-03</v>
      </c>
      <c r="C896" s="2" t="str">
        <f>'Posted Sales Invoice Lines'!C896</f>
        <v>PFG Louisville TN</v>
      </c>
      <c r="D896" s="2" t="str">
        <f>'Posted Sales Invoice Lines'!E896</f>
        <v>F52552</v>
      </c>
      <c r="E896" s="2" t="str">
        <f>'Posted Sales Invoice Lines'!F896</f>
        <v>Cs. Multigrain Batard Unsliced 8lvs</v>
      </c>
      <c r="F896" s="3">
        <f>'Posted Sales Invoice Lines'!G896</f>
        <v>46107</v>
      </c>
      <c r="G896" s="9">
        <f>'Posted Sales Invoice Lines'!L896</f>
        <v>4</v>
      </c>
      <c r="H896" s="8">
        <f>'Posted Sales Invoice Lines'!N896</f>
        <v>64</v>
      </c>
      <c r="I896" s="8">
        <f>'Posted Sales Invoice Lines'!O896</f>
        <v>256</v>
      </c>
    </row>
    <row r="897" spans="1:9" x14ac:dyDescent="0.25">
      <c r="A897" s="2" t="str">
        <f>'Posted Sales Invoice Lines'!A897</f>
        <v>PS-INV200382</v>
      </c>
      <c r="B897" s="2" t="str">
        <f>'Posted Sales Invoice Lines'!B897</f>
        <v>10540-03</v>
      </c>
      <c r="C897" s="2" t="str">
        <f>'Posted Sales Invoice Lines'!C897</f>
        <v>PFG Louisville TN</v>
      </c>
      <c r="D897" s="2" t="str">
        <f>'Posted Sales Invoice Lines'!E897</f>
        <v>F51137</v>
      </c>
      <c r="E897" s="2" t="str">
        <f>'Posted Sales Invoice Lines'!F897</f>
        <v>Cs. Texas Toast 3/4" 12lvs</v>
      </c>
      <c r="F897" s="3">
        <f>'Posted Sales Invoice Lines'!G897</f>
        <v>46098</v>
      </c>
      <c r="G897" s="9">
        <f>'Posted Sales Invoice Lines'!L897</f>
        <v>28</v>
      </c>
      <c r="H897" s="8">
        <f>'Posted Sales Invoice Lines'!N897</f>
        <v>40.619999999999997</v>
      </c>
      <c r="I897" s="8">
        <f>'Posted Sales Invoice Lines'!O897</f>
        <v>1137.3599999999999</v>
      </c>
    </row>
    <row r="898" spans="1:9" x14ac:dyDescent="0.25">
      <c r="A898" s="2" t="str">
        <f>'Posted Sales Invoice Lines'!A898</f>
        <v>PS-INV200382</v>
      </c>
      <c r="B898" s="2" t="str">
        <f>'Posted Sales Invoice Lines'!B898</f>
        <v>10540-03</v>
      </c>
      <c r="C898" s="2" t="str">
        <f>'Posted Sales Invoice Lines'!C898</f>
        <v>PFG Louisville TN</v>
      </c>
      <c r="D898" s="2" t="str">
        <f>'Posted Sales Invoice Lines'!E898</f>
        <v>F51030</v>
      </c>
      <c r="E898" s="2" t="str">
        <f>'Posted Sales Invoice Lines'!F898</f>
        <v>Cs. Sour Dough Hearth 8lvs</v>
      </c>
      <c r="F898" s="3">
        <f>'Posted Sales Invoice Lines'!G898</f>
        <v>46098</v>
      </c>
      <c r="G898" s="9">
        <f>'Posted Sales Invoice Lines'!L898</f>
        <v>28</v>
      </c>
      <c r="H898" s="8">
        <f>'Posted Sales Invoice Lines'!N898</f>
        <v>43.82</v>
      </c>
      <c r="I898" s="8">
        <f>'Posted Sales Invoice Lines'!O898</f>
        <v>1226.96</v>
      </c>
    </row>
    <row r="899" spans="1:9" x14ac:dyDescent="0.25">
      <c r="A899" s="2" t="str">
        <f>'Posted Sales Invoice Lines'!A899</f>
        <v>PS-INV200607</v>
      </c>
      <c r="B899" s="2" t="str">
        <f>'Posted Sales Invoice Lines'!B899</f>
        <v>10540-01</v>
      </c>
      <c r="C899" s="2" t="str">
        <f>'Posted Sales Invoice Lines'!C899</f>
        <v>PFG Johnson City TN</v>
      </c>
      <c r="D899" s="2" t="str">
        <f>'Posted Sales Invoice Lines'!E899</f>
        <v>F53136</v>
      </c>
      <c r="E899" s="2" t="str">
        <f>'Posted Sales Invoice Lines'!F899</f>
        <v>Cs. 8" Squaw 12-6pks</v>
      </c>
      <c r="F899" s="3">
        <f>'Posted Sales Invoice Lines'!G899</f>
        <v>46111</v>
      </c>
      <c r="G899" s="9">
        <f>'Posted Sales Invoice Lines'!L899</f>
        <v>20</v>
      </c>
      <c r="H899" s="8">
        <f>'Posted Sales Invoice Lines'!N899</f>
        <v>43</v>
      </c>
      <c r="I899" s="8">
        <f>'Posted Sales Invoice Lines'!O899</f>
        <v>860</v>
      </c>
    </row>
    <row r="900" spans="1:9" x14ac:dyDescent="0.25">
      <c r="A900" s="2" t="str">
        <f>'Posted Sales Invoice Lines'!A900</f>
        <v>PS-INV200607</v>
      </c>
      <c r="B900" s="2" t="str">
        <f>'Posted Sales Invoice Lines'!B900</f>
        <v>10540-01</v>
      </c>
      <c r="C900" s="2" t="str">
        <f>'Posted Sales Invoice Lines'!C900</f>
        <v>PFG Johnson City TN</v>
      </c>
      <c r="D900" s="2" t="str">
        <f>'Posted Sales Invoice Lines'!E900</f>
        <v>F53001</v>
      </c>
      <c r="E900" s="2" t="str">
        <f>'Posted Sales Invoice Lines'!F900</f>
        <v>Cs. 4" Brioche Bun 8-12pk</v>
      </c>
      <c r="F900" s="3">
        <f>'Posted Sales Invoice Lines'!G900</f>
        <v>46111</v>
      </c>
      <c r="G900" s="9">
        <f>'Posted Sales Invoice Lines'!L900</f>
        <v>12</v>
      </c>
      <c r="H900" s="8">
        <f>'Posted Sales Invoice Lines'!N900</f>
        <v>44</v>
      </c>
      <c r="I900" s="8">
        <f>'Posted Sales Invoice Lines'!O900</f>
        <v>528</v>
      </c>
    </row>
    <row r="901" spans="1:9" x14ac:dyDescent="0.25">
      <c r="A901" s="2" t="str">
        <f>'Posted Sales Invoice Lines'!A901</f>
        <v>PS-INV200607</v>
      </c>
      <c r="B901" s="2" t="str">
        <f>'Posted Sales Invoice Lines'!B901</f>
        <v>10540-01</v>
      </c>
      <c r="C901" s="2" t="str">
        <f>'Posted Sales Invoice Lines'!C901</f>
        <v>PFG Johnson City TN</v>
      </c>
      <c r="D901" s="2" t="str">
        <f>'Posted Sales Invoice Lines'!E901</f>
        <v>F56251</v>
      </c>
      <c r="E901" s="2" t="str">
        <f>'Posted Sales Invoice Lines'!F901</f>
        <v>Cs. Challah Sliders Sliced 18-12pks</v>
      </c>
      <c r="F901" s="3">
        <f>'Posted Sales Invoice Lines'!G901</f>
        <v>46111</v>
      </c>
      <c r="G901" s="9">
        <f>'Posted Sales Invoice Lines'!L901</f>
        <v>16</v>
      </c>
      <c r="H901" s="8">
        <f>'Posted Sales Invoice Lines'!N901</f>
        <v>42.11</v>
      </c>
      <c r="I901" s="8">
        <f>'Posted Sales Invoice Lines'!O901</f>
        <v>673.76</v>
      </c>
    </row>
    <row r="902" spans="1:9" x14ac:dyDescent="0.25">
      <c r="A902" s="2" t="str">
        <f>'Posted Sales Invoice Lines'!A902</f>
        <v>PS-INV200607</v>
      </c>
      <c r="B902" s="2" t="str">
        <f>'Posted Sales Invoice Lines'!B902</f>
        <v>10540-01</v>
      </c>
      <c r="C902" s="2" t="str">
        <f>'Posted Sales Invoice Lines'!C902</f>
        <v>PFG Johnson City TN</v>
      </c>
      <c r="D902" s="2" t="str">
        <f>'Posted Sales Invoice Lines'!E902</f>
        <v>F53003</v>
      </c>
      <c r="E902" s="2" t="str">
        <f>'Posted Sales Invoice Lines'!F902</f>
        <v>Cs. 4" Unseeded Challah Bun 8-12pk</v>
      </c>
      <c r="F902" s="3">
        <f>'Posted Sales Invoice Lines'!G902</f>
        <v>46111</v>
      </c>
      <c r="G902" s="9">
        <f>'Posted Sales Invoice Lines'!L902</f>
        <v>84</v>
      </c>
      <c r="H902" s="8">
        <f>'Posted Sales Invoice Lines'!N902</f>
        <v>38.75</v>
      </c>
      <c r="I902" s="8">
        <f>'Posted Sales Invoice Lines'!O902</f>
        <v>3255</v>
      </c>
    </row>
    <row r="903" spans="1:9" x14ac:dyDescent="0.25">
      <c r="A903" s="2" t="str">
        <f>'Posted Sales Invoice Lines'!A903</f>
        <v>PS-INV200607</v>
      </c>
      <c r="B903" s="2" t="str">
        <f>'Posted Sales Invoice Lines'!B903</f>
        <v>10540-01</v>
      </c>
      <c r="C903" s="2" t="str">
        <f>'Posted Sales Invoice Lines'!C903</f>
        <v>PFG Johnson City TN</v>
      </c>
      <c r="D903" s="2" t="str">
        <f>'Posted Sales Invoice Lines'!E903</f>
        <v>F531052</v>
      </c>
      <c r="E903" s="2" t="str">
        <f>'Posted Sales Invoice Lines'!F903</f>
        <v>Cs. 6" Hot Dog Top Sliced 12-12pk</v>
      </c>
      <c r="F903" s="3">
        <f>'Posted Sales Invoice Lines'!G903</f>
        <v>46111</v>
      </c>
      <c r="G903" s="9">
        <f>'Posted Sales Invoice Lines'!L903</f>
        <v>12</v>
      </c>
      <c r="H903" s="8">
        <f>'Posted Sales Invoice Lines'!N903</f>
        <v>40.78</v>
      </c>
      <c r="I903" s="8">
        <f>'Posted Sales Invoice Lines'!O903</f>
        <v>489.36</v>
      </c>
    </row>
    <row r="904" spans="1:9" x14ac:dyDescent="0.25">
      <c r="A904" s="2" t="str">
        <f>'Posted Sales Invoice Lines'!A904</f>
        <v>PS-INV200607</v>
      </c>
      <c r="B904" s="2" t="str">
        <f>'Posted Sales Invoice Lines'!B904</f>
        <v>10540-01</v>
      </c>
      <c r="C904" s="2" t="str">
        <f>'Posted Sales Invoice Lines'!C904</f>
        <v>PFG Johnson City TN</v>
      </c>
      <c r="D904" s="2" t="str">
        <f>'Posted Sales Invoice Lines'!E904</f>
        <v>F51157</v>
      </c>
      <c r="E904" s="2" t="str">
        <f>'Posted Sales Invoice Lines'!F904</f>
        <v>Cs. Challah Hearth 7/8" 8lvs</v>
      </c>
      <c r="F904" s="3">
        <f>'Posted Sales Invoice Lines'!G904</f>
        <v>46111</v>
      </c>
      <c r="G904" s="9">
        <f>'Posted Sales Invoice Lines'!L904</f>
        <v>8</v>
      </c>
      <c r="H904" s="8">
        <f>'Posted Sales Invoice Lines'!N904</f>
        <v>44.65</v>
      </c>
      <c r="I904" s="8">
        <f>'Posted Sales Invoice Lines'!O904</f>
        <v>357.2</v>
      </c>
    </row>
    <row r="905" spans="1:9" x14ac:dyDescent="0.25">
      <c r="A905" s="2" t="str">
        <f>'Posted Sales Invoice Lines'!A905</f>
        <v>PS-INV200607</v>
      </c>
      <c r="B905" s="2" t="str">
        <f>'Posted Sales Invoice Lines'!B905</f>
        <v>10540-01</v>
      </c>
      <c r="C905" s="2" t="str">
        <f>'Posted Sales Invoice Lines'!C905</f>
        <v>PFG Johnson City TN</v>
      </c>
      <c r="D905" s="2" t="str">
        <f>'Posted Sales Invoice Lines'!E905</f>
        <v>F51136</v>
      </c>
      <c r="E905" s="2" t="str">
        <f>'Posted Sales Invoice Lines'!F905</f>
        <v>Cs. Texas Toast 1" 12lvs</v>
      </c>
      <c r="F905" s="3">
        <f>'Posted Sales Invoice Lines'!G905</f>
        <v>46111</v>
      </c>
      <c r="G905" s="9">
        <f>'Posted Sales Invoice Lines'!L905</f>
        <v>16</v>
      </c>
      <c r="H905" s="8">
        <f>'Posted Sales Invoice Lines'!N905</f>
        <v>40.619999999999997</v>
      </c>
      <c r="I905" s="8">
        <f>'Posted Sales Invoice Lines'!O905</f>
        <v>649.91999999999996</v>
      </c>
    </row>
    <row r="906" spans="1:9" x14ac:dyDescent="0.25">
      <c r="A906" s="2" t="str">
        <f>'Posted Sales Invoice Lines'!A906</f>
        <v>PS-INV200607</v>
      </c>
      <c r="B906" s="2" t="str">
        <f>'Posted Sales Invoice Lines'!B906</f>
        <v>10540-01</v>
      </c>
      <c r="C906" s="2" t="str">
        <f>'Posted Sales Invoice Lines'!C906</f>
        <v>PFG Johnson City TN</v>
      </c>
      <c r="D906" s="2" t="str">
        <f>'Posted Sales Invoice Lines'!E906</f>
        <v>F51000</v>
      </c>
      <c r="E906" s="2" t="str">
        <f>'Posted Sales Invoice Lines'!F906</f>
        <v>Cs. Rye Bread 8lvs</v>
      </c>
      <c r="F906" s="3">
        <f>'Posted Sales Invoice Lines'!G906</f>
        <v>46111</v>
      </c>
      <c r="G906" s="9">
        <f>'Posted Sales Invoice Lines'!L906</f>
        <v>4</v>
      </c>
      <c r="H906" s="8">
        <f>'Posted Sales Invoice Lines'!N906</f>
        <v>41.6</v>
      </c>
      <c r="I906" s="8">
        <f>'Posted Sales Invoice Lines'!O906</f>
        <v>166.4</v>
      </c>
    </row>
    <row r="907" spans="1:9" x14ac:dyDescent="0.25">
      <c r="A907" s="2" t="str">
        <f>'Posted Sales Invoice Lines'!A907</f>
        <v>PS-INV200607</v>
      </c>
      <c r="B907" s="2" t="str">
        <f>'Posted Sales Invoice Lines'!B907</f>
        <v>10540-01</v>
      </c>
      <c r="C907" s="2" t="str">
        <f>'Posted Sales Invoice Lines'!C907</f>
        <v>PFG Johnson City TN</v>
      </c>
      <c r="D907" s="2" t="str">
        <f>'Posted Sales Invoice Lines'!E907</f>
        <v>F53094</v>
      </c>
      <c r="E907" s="2" t="str">
        <f>'Posted Sales Invoice Lines'!F907</f>
        <v>Cs. 6" Italian 12-6pks</v>
      </c>
      <c r="F907" s="3">
        <f>'Posted Sales Invoice Lines'!G907</f>
        <v>46111</v>
      </c>
      <c r="G907" s="9">
        <f>'Posted Sales Invoice Lines'!L907</f>
        <v>48</v>
      </c>
      <c r="H907" s="8">
        <f>'Posted Sales Invoice Lines'!N907</f>
        <v>35</v>
      </c>
      <c r="I907" s="8">
        <f>'Posted Sales Invoice Lines'!O907</f>
        <v>1680</v>
      </c>
    </row>
    <row r="908" spans="1:9" x14ac:dyDescent="0.25">
      <c r="A908" s="2" t="str">
        <f>'Posted Sales Invoice Lines'!A908</f>
        <v>PS-INV200607</v>
      </c>
      <c r="B908" s="2" t="str">
        <f>'Posted Sales Invoice Lines'!B908</f>
        <v>10540-01</v>
      </c>
      <c r="C908" s="2" t="str">
        <f>'Posted Sales Invoice Lines'!C908</f>
        <v>PFG Johnson City TN</v>
      </c>
      <c r="D908" s="2" t="str">
        <f>'Posted Sales Invoice Lines'!E908</f>
        <v>F53100</v>
      </c>
      <c r="E908" s="2" t="str">
        <f>'Posted Sales Invoice Lines'!F908</f>
        <v>Cs. Hot Dog pl/sl 12-8pk</v>
      </c>
      <c r="F908" s="3">
        <f>'Posted Sales Invoice Lines'!G908</f>
        <v>46111</v>
      </c>
      <c r="G908" s="9">
        <f>'Posted Sales Invoice Lines'!L908</f>
        <v>4</v>
      </c>
      <c r="H908" s="8">
        <f>'Posted Sales Invoice Lines'!N908</f>
        <v>36.18</v>
      </c>
      <c r="I908" s="8">
        <f>'Posted Sales Invoice Lines'!O908</f>
        <v>144.72</v>
      </c>
    </row>
    <row r="909" spans="1:9" x14ac:dyDescent="0.25">
      <c r="A909" s="2" t="str">
        <f>'Posted Sales Invoice Lines'!A909</f>
        <v>PS-INV200607</v>
      </c>
      <c r="B909" s="2" t="str">
        <f>'Posted Sales Invoice Lines'!B909</f>
        <v>10540-01</v>
      </c>
      <c r="C909" s="2" t="str">
        <f>'Posted Sales Invoice Lines'!C909</f>
        <v>PFG Johnson City TN</v>
      </c>
      <c r="D909" s="2" t="str">
        <f>'Posted Sales Invoice Lines'!E909</f>
        <v>F51024</v>
      </c>
      <c r="E909" s="2" t="str">
        <f>'Posted Sales Invoice Lines'!F909</f>
        <v>Cs. Marble Rye 5/8" 8lvs</v>
      </c>
      <c r="F909" s="3">
        <f>'Posted Sales Invoice Lines'!G909</f>
        <v>46111</v>
      </c>
      <c r="G909" s="9">
        <f>'Posted Sales Invoice Lines'!L909</f>
        <v>40</v>
      </c>
      <c r="H909" s="8">
        <f>'Posted Sales Invoice Lines'!N909</f>
        <v>53</v>
      </c>
      <c r="I909" s="8">
        <f>'Posted Sales Invoice Lines'!O909</f>
        <v>2120</v>
      </c>
    </row>
    <row r="910" spans="1:9" x14ac:dyDescent="0.25">
      <c r="A910" s="2" t="str">
        <f>'Posted Sales Invoice Lines'!A910</f>
        <v>PS-INV200607</v>
      </c>
      <c r="B910" s="2" t="str">
        <f>'Posted Sales Invoice Lines'!B910</f>
        <v>10540-01</v>
      </c>
      <c r="C910" s="2" t="str">
        <f>'Posted Sales Invoice Lines'!C910</f>
        <v>PFG Johnson City TN</v>
      </c>
      <c r="D910" s="2" t="str">
        <f>'Posted Sales Invoice Lines'!E910</f>
        <v>F51034</v>
      </c>
      <c r="E910" s="2" t="str">
        <f>'Posted Sales Invoice Lines'!F910</f>
        <v>Cs. Sour Dough Hearth 5/8" 8lvs</v>
      </c>
      <c r="F910" s="3">
        <f>'Posted Sales Invoice Lines'!G910</f>
        <v>46111</v>
      </c>
      <c r="G910" s="9">
        <f>'Posted Sales Invoice Lines'!L910</f>
        <v>56</v>
      </c>
      <c r="H910" s="8">
        <f>'Posted Sales Invoice Lines'!N910</f>
        <v>43.82</v>
      </c>
      <c r="I910" s="8">
        <f>'Posted Sales Invoice Lines'!O910</f>
        <v>2453.92</v>
      </c>
    </row>
    <row r="911" spans="1:9" x14ac:dyDescent="0.25">
      <c r="A911" s="2" t="str">
        <f>'Posted Sales Invoice Lines'!A911</f>
        <v>PS-INV200607</v>
      </c>
      <c r="B911" s="2" t="str">
        <f>'Posted Sales Invoice Lines'!B911</f>
        <v>10540-01</v>
      </c>
      <c r="C911" s="2" t="str">
        <f>'Posted Sales Invoice Lines'!C911</f>
        <v>PFG Johnson City TN</v>
      </c>
      <c r="D911" s="2" t="str">
        <f>'Posted Sales Invoice Lines'!E911</f>
        <v>F51383</v>
      </c>
      <c r="E911" s="2" t="str">
        <f>'Posted Sales Invoice Lines'!F911</f>
        <v>Cs. Challah Pullman 3/4" 10lvs</v>
      </c>
      <c r="F911" s="3">
        <f>'Posted Sales Invoice Lines'!G911</f>
        <v>46111</v>
      </c>
      <c r="G911" s="9">
        <f>'Posted Sales Invoice Lines'!L911</f>
        <v>16</v>
      </c>
      <c r="H911" s="8">
        <f>'Posted Sales Invoice Lines'!N911</f>
        <v>55.13</v>
      </c>
      <c r="I911" s="8">
        <f>'Posted Sales Invoice Lines'!O911</f>
        <v>882.08</v>
      </c>
    </row>
    <row r="912" spans="1:9" x14ac:dyDescent="0.25">
      <c r="A912" s="2" t="str">
        <f>'Posted Sales Invoice Lines'!A912</f>
        <v>PS-INV200619</v>
      </c>
      <c r="B912" s="2" t="str">
        <f>'Posted Sales Invoice Lines'!B912</f>
        <v>10700</v>
      </c>
      <c r="C912" s="2" t="str">
        <f>'Posted Sales Invoice Lines'!C912</f>
        <v>Gordon Food Service - Douglas</v>
      </c>
      <c r="D912" s="2" t="str">
        <f>'Posted Sales Invoice Lines'!E912</f>
        <v>F53002</v>
      </c>
      <c r="E912" s="2" t="str">
        <f>'Posted Sales Invoice Lines'!F912</f>
        <v>Cs. 4" Challah Sesame Bun 8-12pk</v>
      </c>
      <c r="F912" s="3">
        <f>'Posted Sales Invoice Lines'!G912</f>
        <v>46111</v>
      </c>
      <c r="G912" s="9">
        <f>'Posted Sales Invoice Lines'!L912</f>
        <v>60</v>
      </c>
      <c r="H912" s="8">
        <f>'Posted Sales Invoice Lines'!N912</f>
        <v>41.7</v>
      </c>
      <c r="I912" s="8">
        <f>'Posted Sales Invoice Lines'!O912</f>
        <v>2502</v>
      </c>
    </row>
    <row r="913" spans="1:9" x14ac:dyDescent="0.25">
      <c r="A913" s="2" t="str">
        <f>'Posted Sales Invoice Lines'!A913</f>
        <v>PS-INV200619</v>
      </c>
      <c r="B913" s="2" t="str">
        <f>'Posted Sales Invoice Lines'!B913</f>
        <v>10700</v>
      </c>
      <c r="C913" s="2" t="str">
        <f>'Posted Sales Invoice Lines'!C913</f>
        <v>Gordon Food Service - Douglas</v>
      </c>
      <c r="D913" s="2" t="str">
        <f>'Posted Sales Invoice Lines'!E913</f>
        <v>F51361</v>
      </c>
      <c r="E913" s="2" t="str">
        <f>'Posted Sales Invoice Lines'!F913</f>
        <v>Cs. Honey Wheat Pullman 7/8" 10lvs</v>
      </c>
      <c r="F913" s="3">
        <f>'Posted Sales Invoice Lines'!G913</f>
        <v>46111</v>
      </c>
      <c r="G913" s="9">
        <f>'Posted Sales Invoice Lines'!L913</f>
        <v>24</v>
      </c>
      <c r="H913" s="8">
        <f>'Posted Sales Invoice Lines'!N913</f>
        <v>41.49</v>
      </c>
      <c r="I913" s="8">
        <f>'Posted Sales Invoice Lines'!O913</f>
        <v>995.76</v>
      </c>
    </row>
    <row r="914" spans="1:9" x14ac:dyDescent="0.25">
      <c r="A914" s="2" t="str">
        <f>'Posted Sales Invoice Lines'!A914</f>
        <v>PS-INV200619</v>
      </c>
      <c r="B914" s="2" t="str">
        <f>'Posted Sales Invoice Lines'!B914</f>
        <v>10700</v>
      </c>
      <c r="C914" s="2" t="str">
        <f>'Posted Sales Invoice Lines'!C914</f>
        <v>Gordon Food Service - Douglas</v>
      </c>
      <c r="D914" s="2" t="str">
        <f>'Posted Sales Invoice Lines'!E914</f>
        <v>F51384</v>
      </c>
      <c r="E914" s="2" t="str">
        <f>'Posted Sales Invoice Lines'!F914</f>
        <v>Cs. Challah Pullman 7/8"</v>
      </c>
      <c r="F914" s="3">
        <f>'Posted Sales Invoice Lines'!G914</f>
        <v>46111</v>
      </c>
      <c r="G914" s="9">
        <f>'Posted Sales Invoice Lines'!L914</f>
        <v>240</v>
      </c>
      <c r="H914" s="8">
        <f>'Posted Sales Invoice Lines'!N914</f>
        <v>48.49</v>
      </c>
      <c r="I914" s="8">
        <f>'Posted Sales Invoice Lines'!O914</f>
        <v>11637.6</v>
      </c>
    </row>
    <row r="915" spans="1:9" x14ac:dyDescent="0.25">
      <c r="A915" s="2" t="str">
        <f>'Posted Sales Invoice Lines'!A915</f>
        <v>PS-INV200619</v>
      </c>
      <c r="B915" s="2" t="str">
        <f>'Posted Sales Invoice Lines'!B915</f>
        <v>10700</v>
      </c>
      <c r="C915" s="2" t="str">
        <f>'Posted Sales Invoice Lines'!C915</f>
        <v>Gordon Food Service - Douglas</v>
      </c>
      <c r="D915" s="2" t="str">
        <f>'Posted Sales Invoice Lines'!E915</f>
        <v>F56255</v>
      </c>
      <c r="E915" s="2" t="str">
        <f>'Posted Sales Invoice Lines'!F915</f>
        <v>Cs. English Muffin 30-6pk</v>
      </c>
      <c r="F915" s="3">
        <f>'Posted Sales Invoice Lines'!G915</f>
        <v>46111</v>
      </c>
      <c r="G915" s="9">
        <f>'Posted Sales Invoice Lines'!L915</f>
        <v>32</v>
      </c>
      <c r="H915" s="8">
        <f>'Posted Sales Invoice Lines'!N915</f>
        <v>36.299999999999997</v>
      </c>
      <c r="I915" s="8">
        <f>'Posted Sales Invoice Lines'!O915</f>
        <v>1161.5999999999999</v>
      </c>
    </row>
    <row r="916" spans="1:9" x14ac:dyDescent="0.25">
      <c r="A916" s="2" t="str">
        <f>'Posted Sales Invoice Lines'!A916</f>
        <v>PS-INV200619</v>
      </c>
      <c r="B916" s="2" t="str">
        <f>'Posted Sales Invoice Lines'!B916</f>
        <v>10700</v>
      </c>
      <c r="C916" s="2" t="str">
        <f>'Posted Sales Invoice Lines'!C916</f>
        <v>Gordon Food Service - Douglas</v>
      </c>
      <c r="D916" s="2" t="str">
        <f>'Posted Sales Invoice Lines'!E916</f>
        <v>F51084</v>
      </c>
      <c r="E916" s="2" t="str">
        <f>'Posted Sales Invoice Lines'!F916</f>
        <v>Cs. Wheatberry Hearth</v>
      </c>
      <c r="F916" s="3">
        <f>'Posted Sales Invoice Lines'!G916</f>
        <v>46111</v>
      </c>
      <c r="G916" s="9">
        <f>'Posted Sales Invoice Lines'!L916</f>
        <v>28</v>
      </c>
      <c r="H916" s="8">
        <f>'Posted Sales Invoice Lines'!N916</f>
        <v>33.299999999999997</v>
      </c>
      <c r="I916" s="8">
        <f>'Posted Sales Invoice Lines'!O916</f>
        <v>932.4</v>
      </c>
    </row>
    <row r="917" spans="1:9" x14ac:dyDescent="0.25">
      <c r="A917" s="2" t="str">
        <f>'Posted Sales Invoice Lines'!A917</f>
        <v>PS-INV200619</v>
      </c>
      <c r="B917" s="2" t="str">
        <f>'Posted Sales Invoice Lines'!B917</f>
        <v>10700</v>
      </c>
      <c r="C917" s="2" t="str">
        <f>'Posted Sales Invoice Lines'!C917</f>
        <v>Gordon Food Service - Douglas</v>
      </c>
      <c r="D917" s="2" t="str">
        <f>'Posted Sales Invoice Lines'!E917</f>
        <v>F53001</v>
      </c>
      <c r="E917" s="2" t="str">
        <f>'Posted Sales Invoice Lines'!F917</f>
        <v>Cs. 4" Brioche Bun 8-12pk</v>
      </c>
      <c r="F917" s="3">
        <f>'Posted Sales Invoice Lines'!G917</f>
        <v>46111</v>
      </c>
      <c r="G917" s="9">
        <f>'Posted Sales Invoice Lines'!L917</f>
        <v>112</v>
      </c>
      <c r="H917" s="8">
        <f>'Posted Sales Invoice Lines'!N917</f>
        <v>36.82</v>
      </c>
      <c r="I917" s="8">
        <f>'Posted Sales Invoice Lines'!O917</f>
        <v>4123.84</v>
      </c>
    </row>
    <row r="918" spans="1:9" x14ac:dyDescent="0.25">
      <c r="A918" s="2" t="str">
        <f>'Posted Sales Invoice Lines'!A918</f>
        <v>PS-INV200619</v>
      </c>
      <c r="B918" s="2" t="str">
        <f>'Posted Sales Invoice Lines'!B918</f>
        <v>10700</v>
      </c>
      <c r="C918" s="2" t="str">
        <f>'Posted Sales Invoice Lines'!C918</f>
        <v>Gordon Food Service - Douglas</v>
      </c>
      <c r="D918" s="2" t="str">
        <f>'Posted Sales Invoice Lines'!E918</f>
        <v>F51114</v>
      </c>
      <c r="E918" s="2" t="str">
        <f>'Posted Sales Invoice Lines'!F918</f>
        <v>Cs. Old Fashioned Hearth 5/8" 8lvs</v>
      </c>
      <c r="F918" s="3">
        <f>'Posted Sales Invoice Lines'!G918</f>
        <v>46111</v>
      </c>
      <c r="G918" s="9">
        <f>'Posted Sales Invoice Lines'!L918</f>
        <v>28</v>
      </c>
      <c r="H918" s="8">
        <f>'Posted Sales Invoice Lines'!N918</f>
        <v>39.700000000000003</v>
      </c>
      <c r="I918" s="8">
        <f>'Posted Sales Invoice Lines'!O918</f>
        <v>1111.5999999999999</v>
      </c>
    </row>
    <row r="919" spans="1:9" x14ac:dyDescent="0.25">
      <c r="A919" s="2" t="str">
        <f>'Posted Sales Invoice Lines'!A919</f>
        <v>PS-INV200619</v>
      </c>
      <c r="B919" s="2" t="str">
        <f>'Posted Sales Invoice Lines'!B919</f>
        <v>10700</v>
      </c>
      <c r="C919" s="2" t="str">
        <f>'Posted Sales Invoice Lines'!C919</f>
        <v>Gordon Food Service - Douglas</v>
      </c>
      <c r="D919" s="2" t="str">
        <f>'Posted Sales Invoice Lines'!E919</f>
        <v>F56251</v>
      </c>
      <c r="E919" s="2" t="str">
        <f>'Posted Sales Invoice Lines'!F919</f>
        <v>Cs. Challah Sliders Sliced 18-12pks</v>
      </c>
      <c r="F919" s="3">
        <f>'Posted Sales Invoice Lines'!G919</f>
        <v>46111</v>
      </c>
      <c r="G919" s="9">
        <f>'Posted Sales Invoice Lines'!L919</f>
        <v>168</v>
      </c>
      <c r="H919" s="8">
        <f>'Posted Sales Invoice Lines'!N919</f>
        <v>39.700000000000003</v>
      </c>
      <c r="I919" s="8">
        <f>'Posted Sales Invoice Lines'!O919</f>
        <v>6669.6</v>
      </c>
    </row>
    <row r="920" spans="1:9" x14ac:dyDescent="0.25">
      <c r="A920" s="2" t="str">
        <f>'Posted Sales Invoice Lines'!A920</f>
        <v>PS-INV200619</v>
      </c>
      <c r="B920" s="2" t="str">
        <f>'Posted Sales Invoice Lines'!B920</f>
        <v>10700</v>
      </c>
      <c r="C920" s="2" t="str">
        <f>'Posted Sales Invoice Lines'!C920</f>
        <v>Gordon Food Service - Douglas</v>
      </c>
      <c r="D920" s="2" t="str">
        <f>'Posted Sales Invoice Lines'!E920</f>
        <v>F53005</v>
      </c>
      <c r="E920" s="2" t="str">
        <f>'Posted Sales Invoice Lines'!F920</f>
        <v>Cs. 4" Gourmet PDS Bun 8-12pk</v>
      </c>
      <c r="F920" s="3">
        <f>'Posted Sales Invoice Lines'!G920</f>
        <v>46111</v>
      </c>
      <c r="G920" s="9">
        <f>'Posted Sales Invoice Lines'!L920</f>
        <v>48</v>
      </c>
      <c r="H920" s="8">
        <f>'Posted Sales Invoice Lines'!N920</f>
        <v>36</v>
      </c>
      <c r="I920" s="8">
        <f>'Posted Sales Invoice Lines'!O920</f>
        <v>1728</v>
      </c>
    </row>
    <row r="921" spans="1:9" x14ac:dyDescent="0.25">
      <c r="A921" s="2" t="str">
        <f>'Posted Sales Invoice Lines'!A921</f>
        <v>PS-INV200622</v>
      </c>
      <c r="B921" s="2" t="str">
        <f>'Posted Sales Invoice Lines'!B921</f>
        <v>Z11655</v>
      </c>
      <c r="C921" s="2" t="str">
        <f>'Posted Sales Invoice Lines'!C921</f>
        <v>PFG Hickory NC</v>
      </c>
      <c r="D921" s="2" t="str">
        <f>'Posted Sales Invoice Lines'!E921</f>
        <v>F53001</v>
      </c>
      <c r="E921" s="2" t="str">
        <f>'Posted Sales Invoice Lines'!F921</f>
        <v>Cs. 4" Brioche Bun 8-12pk</v>
      </c>
      <c r="F921" s="3">
        <f>'Posted Sales Invoice Lines'!G921</f>
        <v>46112</v>
      </c>
      <c r="G921" s="9">
        <f>'Posted Sales Invoice Lines'!L921</f>
        <v>625</v>
      </c>
      <c r="H921" s="8">
        <f>'Posted Sales Invoice Lines'!N921</f>
        <v>44</v>
      </c>
      <c r="I921" s="8">
        <f>'Posted Sales Invoice Lines'!O921</f>
        <v>27500</v>
      </c>
    </row>
    <row r="922" spans="1:9" x14ac:dyDescent="0.25">
      <c r="A922" s="2" t="str">
        <f>'Posted Sales Invoice Lines'!A922</f>
        <v>PS-INV201114</v>
      </c>
      <c r="B922" s="2" t="str">
        <f>'Posted Sales Invoice Lines'!B922</f>
        <v>10719-4</v>
      </c>
      <c r="C922" s="2" t="str">
        <f>'Posted Sales Invoice Lines'!C922</f>
        <v>US Foods - Columbia/Lexington</v>
      </c>
      <c r="D922" s="2" t="str">
        <f>'Posted Sales Invoice Lines'!E922</f>
        <v>F530041</v>
      </c>
      <c r="E922" s="2" t="str">
        <f>'Posted Sales Invoice Lines'!F922</f>
        <v>Cs. 4" S&amp;P Brioche Bun 8-12pk</v>
      </c>
      <c r="F922" s="3">
        <f>'Posted Sales Invoice Lines'!G922</f>
        <v>46113</v>
      </c>
      <c r="G922" s="9">
        <f>'Posted Sales Invoice Lines'!L922</f>
        <v>16</v>
      </c>
      <c r="H922" s="8">
        <f>'Posted Sales Invoice Lines'!N922</f>
        <v>46</v>
      </c>
      <c r="I922" s="8">
        <f>'Posted Sales Invoice Lines'!O922</f>
        <v>736</v>
      </c>
    </row>
    <row r="923" spans="1:9" x14ac:dyDescent="0.25">
      <c r="A923" s="2" t="str">
        <f>'Posted Sales Invoice Lines'!A923</f>
        <v>PS-INV201114</v>
      </c>
      <c r="B923" s="2" t="str">
        <f>'Posted Sales Invoice Lines'!B923</f>
        <v>10719-4</v>
      </c>
      <c r="C923" s="2" t="str">
        <f>'Posted Sales Invoice Lines'!C923</f>
        <v>US Foods - Columbia/Lexington</v>
      </c>
      <c r="D923" s="2" t="str">
        <f>'Posted Sales Invoice Lines'!E923</f>
        <v>F51044</v>
      </c>
      <c r="E923" s="2" t="str">
        <f>'Posted Sales Invoice Lines'!F923</f>
        <v>Cs. Vienna 5/8" 8lvs</v>
      </c>
      <c r="F923" s="3">
        <f>'Posted Sales Invoice Lines'!G923</f>
        <v>46113</v>
      </c>
      <c r="G923" s="9">
        <f>'Posted Sales Invoice Lines'!L923</f>
        <v>40</v>
      </c>
      <c r="H923" s="8">
        <f>'Posted Sales Invoice Lines'!N923</f>
        <v>40</v>
      </c>
      <c r="I923" s="8">
        <f>'Posted Sales Invoice Lines'!O923</f>
        <v>1600</v>
      </c>
    </row>
    <row r="924" spans="1:9" x14ac:dyDescent="0.25">
      <c r="A924" s="2" t="str">
        <f>'Posted Sales Invoice Lines'!A924</f>
        <v>PS-INV201114</v>
      </c>
      <c r="B924" s="2" t="str">
        <f>'Posted Sales Invoice Lines'!B924</f>
        <v>10719-4</v>
      </c>
      <c r="C924" s="2" t="str">
        <f>'Posted Sales Invoice Lines'!C924</f>
        <v>US Foods - Columbia/Lexington</v>
      </c>
      <c r="D924" s="2" t="str">
        <f>'Posted Sales Invoice Lines'!E924</f>
        <v>F53010</v>
      </c>
      <c r="E924" s="2" t="str">
        <f>'Posted Sales Invoice Lines'!F924</f>
        <v>Cs. Onion Roll 8-12pk</v>
      </c>
      <c r="F924" s="3">
        <f>'Posted Sales Invoice Lines'!G924</f>
        <v>46113</v>
      </c>
      <c r="G924" s="9">
        <f>'Posted Sales Invoice Lines'!L924</f>
        <v>16</v>
      </c>
      <c r="H924" s="8">
        <f>'Posted Sales Invoice Lines'!N924</f>
        <v>41.85</v>
      </c>
      <c r="I924" s="8">
        <f>'Posted Sales Invoice Lines'!O924</f>
        <v>669.6</v>
      </c>
    </row>
    <row r="925" spans="1:9" x14ac:dyDescent="0.25">
      <c r="A925" s="2" t="str">
        <f>'Posted Sales Invoice Lines'!A925</f>
        <v>PS-INV201114</v>
      </c>
      <c r="B925" s="2" t="str">
        <f>'Posted Sales Invoice Lines'!B925</f>
        <v>10719-4</v>
      </c>
      <c r="C925" s="2" t="str">
        <f>'Posted Sales Invoice Lines'!C925</f>
        <v>US Foods - Columbia/Lexington</v>
      </c>
      <c r="D925" s="2" t="str">
        <f>'Posted Sales Invoice Lines'!E925</f>
        <v>F53093</v>
      </c>
      <c r="E925" s="2" t="str">
        <f>'Posted Sales Invoice Lines'!F925</f>
        <v>Cs. 6" Philly Unsliced 12-6pk</v>
      </c>
      <c r="F925" s="3">
        <f>'Posted Sales Invoice Lines'!G925</f>
        <v>46113</v>
      </c>
      <c r="G925" s="9">
        <f>'Posted Sales Invoice Lines'!L925</f>
        <v>8</v>
      </c>
      <c r="H925" s="8">
        <f>'Posted Sales Invoice Lines'!N925</f>
        <v>47.2</v>
      </c>
      <c r="I925" s="8">
        <f>'Posted Sales Invoice Lines'!O925</f>
        <v>377.6</v>
      </c>
    </row>
    <row r="926" spans="1:9" x14ac:dyDescent="0.25">
      <c r="A926" s="2" t="str">
        <f>'Posted Sales Invoice Lines'!A926</f>
        <v>PS-INV201114</v>
      </c>
      <c r="B926" s="2" t="str">
        <f>'Posted Sales Invoice Lines'!B926</f>
        <v>10719-4</v>
      </c>
      <c r="C926" s="2" t="str">
        <f>'Posted Sales Invoice Lines'!C926</f>
        <v>US Foods - Columbia/Lexington</v>
      </c>
      <c r="D926" s="2" t="str">
        <f>'Posted Sales Invoice Lines'!E926</f>
        <v>F51026</v>
      </c>
      <c r="E926" s="2" t="str">
        <f>'Posted Sales Invoice Lines'!F926</f>
        <v>Cs. Marble Rye 3/4" 8lvs</v>
      </c>
      <c r="F926" s="3">
        <f>'Posted Sales Invoice Lines'!G926</f>
        <v>46113</v>
      </c>
      <c r="G926" s="9">
        <f>'Posted Sales Invoice Lines'!L926</f>
        <v>48</v>
      </c>
      <c r="H926" s="8">
        <f>'Posted Sales Invoice Lines'!N926</f>
        <v>52</v>
      </c>
      <c r="I926" s="8">
        <f>'Posted Sales Invoice Lines'!O926</f>
        <v>2496</v>
      </c>
    </row>
    <row r="927" spans="1:9" x14ac:dyDescent="0.25">
      <c r="A927" s="2" t="str">
        <f>'Posted Sales Invoice Lines'!A927</f>
        <v>PS-INV201114</v>
      </c>
      <c r="B927" s="2" t="str">
        <f>'Posted Sales Invoice Lines'!B927</f>
        <v>10719-4</v>
      </c>
      <c r="C927" s="2" t="str">
        <f>'Posted Sales Invoice Lines'!C927</f>
        <v>US Foods - Columbia/Lexington</v>
      </c>
      <c r="D927" s="2" t="str">
        <f>'Posted Sales Invoice Lines'!E927</f>
        <v>F53001</v>
      </c>
      <c r="E927" s="2" t="str">
        <f>'Posted Sales Invoice Lines'!F927</f>
        <v>Cs. 4" Brioche Bun 8-12pk</v>
      </c>
      <c r="F927" s="3">
        <f>'Posted Sales Invoice Lines'!G927</f>
        <v>46113</v>
      </c>
      <c r="G927" s="9">
        <f>'Posted Sales Invoice Lines'!L927</f>
        <v>192</v>
      </c>
      <c r="H927" s="8">
        <f>'Posted Sales Invoice Lines'!N927</f>
        <v>43.5</v>
      </c>
      <c r="I927" s="8">
        <f>'Posted Sales Invoice Lines'!O927</f>
        <v>8352</v>
      </c>
    </row>
    <row r="928" spans="1:9" x14ac:dyDescent="0.25">
      <c r="A928" s="2" t="str">
        <f>'Posted Sales Invoice Lines'!A928</f>
        <v>PS-INV201114</v>
      </c>
      <c r="B928" s="2" t="str">
        <f>'Posted Sales Invoice Lines'!B928</f>
        <v>10719-4</v>
      </c>
      <c r="C928" s="2" t="str">
        <f>'Posted Sales Invoice Lines'!C928</f>
        <v>US Foods - Columbia/Lexington</v>
      </c>
      <c r="D928" s="2" t="str">
        <f>'Posted Sales Invoice Lines'!E928</f>
        <v>F53024</v>
      </c>
      <c r="E928" s="2" t="str">
        <f>'Posted Sales Invoice Lines'!F928</f>
        <v>Cs. 4" Challah Kaiser 8-12pk</v>
      </c>
      <c r="F928" s="3">
        <f>'Posted Sales Invoice Lines'!G928</f>
        <v>46113</v>
      </c>
      <c r="G928" s="9">
        <f>'Posted Sales Invoice Lines'!L928</f>
        <v>16</v>
      </c>
      <c r="H928" s="8">
        <f>'Posted Sales Invoice Lines'!N928</f>
        <v>38.25</v>
      </c>
      <c r="I928" s="8">
        <f>'Posted Sales Invoice Lines'!O928</f>
        <v>612</v>
      </c>
    </row>
    <row r="929" spans="1:9" x14ac:dyDescent="0.25">
      <c r="A929" s="2" t="str">
        <f>'Posted Sales Invoice Lines'!A929</f>
        <v>PS-INV201198</v>
      </c>
      <c r="B929" s="2" t="str">
        <f>'Posted Sales Invoice Lines'!B929</f>
        <v>10899</v>
      </c>
      <c r="C929" s="2" t="str">
        <f>'Posted Sales Invoice Lines'!C929</f>
        <v>Wood Fruitticher Grocery Co.</v>
      </c>
      <c r="D929" s="2" t="str">
        <f>'Posted Sales Invoice Lines'!E929</f>
        <v>F53003</v>
      </c>
      <c r="E929" s="2" t="str">
        <f>'Posted Sales Invoice Lines'!F929</f>
        <v>Cs. 4" Unseeded Challah Bun 8-12pk</v>
      </c>
      <c r="F929" s="3">
        <f>'Posted Sales Invoice Lines'!G929</f>
        <v>46114</v>
      </c>
      <c r="G929" s="9">
        <f>'Posted Sales Invoice Lines'!L929</f>
        <v>48</v>
      </c>
      <c r="H929" s="8">
        <f>'Posted Sales Invoice Lines'!N929</f>
        <v>35.479999999999997</v>
      </c>
      <c r="I929" s="8">
        <f>'Posted Sales Invoice Lines'!O929</f>
        <v>1703.04</v>
      </c>
    </row>
    <row r="930" spans="1:9" x14ac:dyDescent="0.25">
      <c r="A930" s="2" t="str">
        <f>'Posted Sales Invoice Lines'!A930</f>
        <v>PS-INV201198</v>
      </c>
      <c r="B930" s="2" t="str">
        <f>'Posted Sales Invoice Lines'!B930</f>
        <v>10899</v>
      </c>
      <c r="C930" s="2" t="str">
        <f>'Posted Sales Invoice Lines'!C930</f>
        <v>Wood Fruitticher Grocery Co.</v>
      </c>
      <c r="D930" s="2" t="str">
        <f>'Posted Sales Invoice Lines'!E930</f>
        <v>F53070</v>
      </c>
      <c r="E930" s="2" t="str">
        <f>'Posted Sales Invoice Lines'!F930</f>
        <v xml:space="preserve">Cs. 5" Challah Sesame Buns </v>
      </c>
      <c r="F930" s="3">
        <f>'Posted Sales Invoice Lines'!G930</f>
        <v>46114</v>
      </c>
      <c r="G930" s="9">
        <f>'Posted Sales Invoice Lines'!L930</f>
        <v>80</v>
      </c>
      <c r="H930" s="8">
        <f>'Posted Sales Invoice Lines'!N930</f>
        <v>32.89</v>
      </c>
      <c r="I930" s="8">
        <f>'Posted Sales Invoice Lines'!O930</f>
        <v>2631.2</v>
      </c>
    </row>
    <row r="931" spans="1:9" x14ac:dyDescent="0.25">
      <c r="A931" s="2" t="str">
        <f>'Posted Sales Invoice Lines'!A931</f>
        <v>PS-INV201198</v>
      </c>
      <c r="B931" s="2" t="str">
        <f>'Posted Sales Invoice Lines'!B931</f>
        <v>10899</v>
      </c>
      <c r="C931" s="2" t="str">
        <f>'Posted Sales Invoice Lines'!C931</f>
        <v>Wood Fruitticher Grocery Co.</v>
      </c>
      <c r="D931" s="2" t="str">
        <f>'Posted Sales Invoice Lines'!E931</f>
        <v>F53000</v>
      </c>
      <c r="E931" s="2" t="str">
        <f>'Posted Sales Invoice Lines'!F931</f>
        <v>Cs. 4" Hamburger Bun 8-12pk</v>
      </c>
      <c r="F931" s="3">
        <f>'Posted Sales Invoice Lines'!G931</f>
        <v>46114</v>
      </c>
      <c r="G931" s="9">
        <f>'Posted Sales Invoice Lines'!L931</f>
        <v>224</v>
      </c>
      <c r="H931" s="8">
        <f>'Posted Sales Invoice Lines'!N931</f>
        <v>28.33</v>
      </c>
      <c r="I931" s="8">
        <f>'Posted Sales Invoice Lines'!O931</f>
        <v>6345.92</v>
      </c>
    </row>
    <row r="932" spans="1:9" x14ac:dyDescent="0.25">
      <c r="A932" s="2" t="str">
        <f>'Posted Sales Invoice Lines'!A932</f>
        <v>PS-INV201198</v>
      </c>
      <c r="B932" s="2" t="str">
        <f>'Posted Sales Invoice Lines'!B932</f>
        <v>10899</v>
      </c>
      <c r="C932" s="2" t="str">
        <f>'Posted Sales Invoice Lines'!C932</f>
        <v>Wood Fruitticher Grocery Co.</v>
      </c>
      <c r="D932" s="2" t="str">
        <f>'Posted Sales Invoice Lines'!E932</f>
        <v>F51137</v>
      </c>
      <c r="E932" s="2" t="str">
        <f>'Posted Sales Invoice Lines'!F932</f>
        <v>Cs. Texas Toast 3/4" 12lvs</v>
      </c>
      <c r="F932" s="3">
        <f>'Posted Sales Invoice Lines'!G932</f>
        <v>46114</v>
      </c>
      <c r="G932" s="9">
        <f>'Posted Sales Invoice Lines'!L932</f>
        <v>216</v>
      </c>
      <c r="H932" s="8">
        <f>'Posted Sales Invoice Lines'!N932</f>
        <v>28.49</v>
      </c>
      <c r="I932" s="8">
        <f>'Posted Sales Invoice Lines'!O932</f>
        <v>6153.84</v>
      </c>
    </row>
    <row r="933" spans="1:9" x14ac:dyDescent="0.25">
      <c r="A933" s="2" t="str">
        <f>'Posted Sales Invoice Lines'!A933</f>
        <v>PS-INV201198</v>
      </c>
      <c r="B933" s="2" t="str">
        <f>'Posted Sales Invoice Lines'!B933</f>
        <v>10899</v>
      </c>
      <c r="C933" s="2" t="str">
        <f>'Posted Sales Invoice Lines'!C933</f>
        <v>Wood Fruitticher Grocery Co.</v>
      </c>
      <c r="D933" s="2" t="str">
        <f>'Posted Sales Invoice Lines'!E933</f>
        <v>F51134</v>
      </c>
      <c r="E933" s="2" t="str">
        <f>'Posted Sales Invoice Lines'!F933</f>
        <v>Cs. Club Wheat 12lvs</v>
      </c>
      <c r="F933" s="3">
        <f>'Posted Sales Invoice Lines'!G933</f>
        <v>46114</v>
      </c>
      <c r="G933" s="9">
        <f>'Posted Sales Invoice Lines'!L933</f>
        <v>64</v>
      </c>
      <c r="H933" s="8">
        <f>'Posted Sales Invoice Lines'!N933</f>
        <v>28.49</v>
      </c>
      <c r="I933" s="8">
        <f>'Posted Sales Invoice Lines'!O933</f>
        <v>1823.36</v>
      </c>
    </row>
    <row r="934" spans="1:9" x14ac:dyDescent="0.25">
      <c r="A934" s="2" t="str">
        <f>'Posted Sales Invoice Lines'!A934</f>
        <v>PS-INV201198</v>
      </c>
      <c r="B934" s="2" t="str">
        <f>'Posted Sales Invoice Lines'!B934</f>
        <v>10899</v>
      </c>
      <c r="C934" s="2" t="str">
        <f>'Posted Sales Invoice Lines'!C934</f>
        <v>Wood Fruitticher Grocery Co.</v>
      </c>
      <c r="D934" s="2" t="str">
        <f>'Posted Sales Invoice Lines'!E934</f>
        <v>F51130</v>
      </c>
      <c r="E934" s="2" t="str">
        <f>'Posted Sales Invoice Lines'!F934</f>
        <v>Cs. Club White 12lvs</v>
      </c>
      <c r="F934" s="3">
        <f>'Posted Sales Invoice Lines'!G934</f>
        <v>46114</v>
      </c>
      <c r="G934" s="9">
        <f>'Posted Sales Invoice Lines'!L934</f>
        <v>32</v>
      </c>
      <c r="H934" s="8">
        <f>'Posted Sales Invoice Lines'!N934</f>
        <v>28.49</v>
      </c>
      <c r="I934" s="8">
        <f>'Posted Sales Invoice Lines'!O934</f>
        <v>911.68</v>
      </c>
    </row>
    <row r="935" spans="1:9" x14ac:dyDescent="0.25">
      <c r="A935" s="2" t="str">
        <f>'Posted Sales Invoice Lines'!A935</f>
        <v>PS-INV201198</v>
      </c>
      <c r="B935" s="2" t="str">
        <f>'Posted Sales Invoice Lines'!B935</f>
        <v>10899</v>
      </c>
      <c r="C935" s="2" t="str">
        <f>'Posted Sales Invoice Lines'!C935</f>
        <v>Wood Fruitticher Grocery Co.</v>
      </c>
      <c r="D935" s="2" t="str">
        <f>'Posted Sales Invoice Lines'!E935</f>
        <v>F53094</v>
      </c>
      <c r="E935" s="2" t="str">
        <f>'Posted Sales Invoice Lines'!F935</f>
        <v>Cs. 6" Italian 12-6pks</v>
      </c>
      <c r="F935" s="3">
        <f>'Posted Sales Invoice Lines'!G935</f>
        <v>46114</v>
      </c>
      <c r="G935" s="9">
        <f>'Posted Sales Invoice Lines'!L935</f>
        <v>56</v>
      </c>
      <c r="H935" s="8">
        <f>'Posted Sales Invoice Lines'!N935</f>
        <v>25.25</v>
      </c>
      <c r="I935" s="8">
        <f>'Posted Sales Invoice Lines'!O935</f>
        <v>1414</v>
      </c>
    </row>
    <row r="936" spans="1:9" x14ac:dyDescent="0.25">
      <c r="A936" s="2" t="str">
        <f>'Posted Sales Invoice Lines'!A936</f>
        <v>PS-INV201198</v>
      </c>
      <c r="B936" s="2" t="str">
        <f>'Posted Sales Invoice Lines'!B936</f>
        <v>10899</v>
      </c>
      <c r="C936" s="2" t="str">
        <f>'Posted Sales Invoice Lines'!C936</f>
        <v>Wood Fruitticher Grocery Co.</v>
      </c>
      <c r="D936" s="2" t="str">
        <f>'Posted Sales Invoice Lines'!E936</f>
        <v>F53116</v>
      </c>
      <c r="E936" s="2" t="str">
        <f>'Posted Sales Invoice Lines'!F936</f>
        <v>Cs. 7" French Hinged 12</v>
      </c>
      <c r="F936" s="3">
        <f>'Posted Sales Invoice Lines'!G936</f>
        <v>46114</v>
      </c>
      <c r="G936" s="9">
        <f>'Posted Sales Invoice Lines'!L936</f>
        <v>48</v>
      </c>
      <c r="H936" s="8">
        <f>'Posted Sales Invoice Lines'!N936</f>
        <v>28.88</v>
      </c>
      <c r="I936" s="8">
        <f>'Posted Sales Invoice Lines'!O936</f>
        <v>1386.24</v>
      </c>
    </row>
    <row r="937" spans="1:9" x14ac:dyDescent="0.25">
      <c r="A937" s="2" t="str">
        <f>'Posted Sales Invoice Lines'!A937</f>
        <v>PS-INV201198</v>
      </c>
      <c r="B937" s="2" t="str">
        <f>'Posted Sales Invoice Lines'!B937</f>
        <v>10899</v>
      </c>
      <c r="C937" s="2" t="str">
        <f>'Posted Sales Invoice Lines'!C937</f>
        <v>Wood Fruitticher Grocery Co.</v>
      </c>
      <c r="D937" s="2" t="str">
        <f>'Posted Sales Invoice Lines'!E937</f>
        <v>F51034</v>
      </c>
      <c r="E937" s="2" t="str">
        <f>'Posted Sales Invoice Lines'!F937</f>
        <v>Cs. Sour Dough Hearth 5/8" 8lvs</v>
      </c>
      <c r="F937" s="3">
        <f>'Posted Sales Invoice Lines'!G937</f>
        <v>46114</v>
      </c>
      <c r="G937" s="9">
        <f>'Posted Sales Invoice Lines'!L937</f>
        <v>24</v>
      </c>
      <c r="H937" s="8">
        <f>'Posted Sales Invoice Lines'!N937</f>
        <v>37.950000000000003</v>
      </c>
      <c r="I937" s="8">
        <f>'Posted Sales Invoice Lines'!O937</f>
        <v>910.8</v>
      </c>
    </row>
    <row r="938" spans="1:9" x14ac:dyDescent="0.25">
      <c r="A938" s="2" t="str">
        <f>'Posted Sales Invoice Lines'!A938</f>
        <v>PS-INV201198</v>
      </c>
      <c r="B938" s="2" t="str">
        <f>'Posted Sales Invoice Lines'!B938</f>
        <v>10899</v>
      </c>
      <c r="C938" s="2" t="str">
        <f>'Posted Sales Invoice Lines'!C938</f>
        <v>Wood Fruitticher Grocery Co.</v>
      </c>
      <c r="D938" s="2" t="str">
        <f>'Posted Sales Invoice Lines'!E938</f>
        <v>F51024</v>
      </c>
      <c r="E938" s="2" t="str">
        <f>'Posted Sales Invoice Lines'!F938</f>
        <v>Cs. Marble Rye 5/8" 8lvs</v>
      </c>
      <c r="F938" s="3">
        <f>'Posted Sales Invoice Lines'!G938</f>
        <v>46114</v>
      </c>
      <c r="G938" s="9">
        <f>'Posted Sales Invoice Lines'!L938</f>
        <v>24</v>
      </c>
      <c r="H938" s="8">
        <f>'Posted Sales Invoice Lines'!N938</f>
        <v>36.630000000000003</v>
      </c>
      <c r="I938" s="8">
        <f>'Posted Sales Invoice Lines'!O938</f>
        <v>879.12</v>
      </c>
    </row>
    <row r="939" spans="1:9" x14ac:dyDescent="0.25">
      <c r="A939" s="2" t="str">
        <f>'Posted Sales Invoice Lines'!A939</f>
        <v>PS-INV201198</v>
      </c>
      <c r="B939" s="2" t="str">
        <f>'Posted Sales Invoice Lines'!B939</f>
        <v>10899</v>
      </c>
      <c r="C939" s="2" t="str">
        <f>'Posted Sales Invoice Lines'!C939</f>
        <v>Wood Fruitticher Grocery Co.</v>
      </c>
      <c r="D939" s="2" t="str">
        <f>'Posted Sales Invoice Lines'!E939</f>
        <v>F51136</v>
      </c>
      <c r="E939" s="2" t="str">
        <f>'Posted Sales Invoice Lines'!F939</f>
        <v>Cs. Texas Toast 1" 12lvs</v>
      </c>
      <c r="F939" s="3">
        <f>'Posted Sales Invoice Lines'!G939</f>
        <v>46114</v>
      </c>
      <c r="G939" s="9">
        <f>'Posted Sales Invoice Lines'!L939</f>
        <v>28</v>
      </c>
      <c r="H939" s="8">
        <f>'Posted Sales Invoice Lines'!N939</f>
        <v>28.49</v>
      </c>
      <c r="I939" s="8">
        <f>'Posted Sales Invoice Lines'!O939</f>
        <v>797.72</v>
      </c>
    </row>
    <row r="940" spans="1:9" x14ac:dyDescent="0.25">
      <c r="A940" s="2" t="str">
        <f>'Posted Sales Invoice Lines'!A940</f>
        <v>PS-INV201879</v>
      </c>
      <c r="B940" s="2" t="str">
        <f>'Posted Sales Invoice Lines'!B940</f>
        <v>20334</v>
      </c>
      <c r="C940" s="2" t="str">
        <f>'Posted Sales Invoice Lines'!C940</f>
        <v>Sysco Atlanta</v>
      </c>
      <c r="D940" s="2" t="str">
        <f>'Posted Sales Invoice Lines'!E940</f>
        <v>F53116</v>
      </c>
      <c r="E940" s="2" t="str">
        <f>'Posted Sales Invoice Lines'!F940</f>
        <v>Cs. 7" French Hinged 12</v>
      </c>
      <c r="F940" s="3">
        <f>'Posted Sales Invoice Lines'!G940</f>
        <v>46132</v>
      </c>
      <c r="G940" s="9">
        <f>'Posted Sales Invoice Lines'!L940</f>
        <v>168</v>
      </c>
      <c r="H940" s="8">
        <f>'Posted Sales Invoice Lines'!N940</f>
        <v>31.42</v>
      </c>
      <c r="I940" s="8">
        <f>'Posted Sales Invoice Lines'!O940</f>
        <v>5278.56</v>
      </c>
    </row>
    <row r="941" spans="1:9" x14ac:dyDescent="0.25">
      <c r="A941" s="2" t="str">
        <f>'Posted Sales Invoice Lines'!A941</f>
        <v>PS-INV201879</v>
      </c>
      <c r="B941" s="2" t="str">
        <f>'Posted Sales Invoice Lines'!B941</f>
        <v>20334</v>
      </c>
      <c r="C941" s="2" t="str">
        <f>'Posted Sales Invoice Lines'!C941</f>
        <v>Sysco Atlanta</v>
      </c>
      <c r="D941" s="2" t="str">
        <f>'Posted Sales Invoice Lines'!E941</f>
        <v>F51024</v>
      </c>
      <c r="E941" s="2" t="str">
        <f>'Posted Sales Invoice Lines'!F941</f>
        <v>Cs. Marble Rye 5/8" 8lvs</v>
      </c>
      <c r="F941" s="3">
        <f>'Posted Sales Invoice Lines'!G941</f>
        <v>46132</v>
      </c>
      <c r="G941" s="9">
        <f>'Posted Sales Invoice Lines'!L941</f>
        <v>12</v>
      </c>
      <c r="H941" s="8">
        <f>'Posted Sales Invoice Lines'!N941</f>
        <v>43.26</v>
      </c>
      <c r="I941" s="8">
        <f>'Posted Sales Invoice Lines'!O941</f>
        <v>519.12</v>
      </c>
    </row>
    <row r="942" spans="1:9" x14ac:dyDescent="0.25">
      <c r="A942" s="2" t="str">
        <f>'Posted Sales Invoice Lines'!A942</f>
        <v>PS-INV201879</v>
      </c>
      <c r="B942" s="2" t="str">
        <f>'Posted Sales Invoice Lines'!B942</f>
        <v>20334</v>
      </c>
      <c r="C942" s="2" t="str">
        <f>'Posted Sales Invoice Lines'!C942</f>
        <v>Sysco Atlanta</v>
      </c>
      <c r="D942" s="2" t="str">
        <f>'Posted Sales Invoice Lines'!E942</f>
        <v>F53001</v>
      </c>
      <c r="E942" s="2" t="str">
        <f>'Posted Sales Invoice Lines'!F942</f>
        <v>Cs. 4" Brioche Bun 8-12pk</v>
      </c>
      <c r="F942" s="3">
        <f>'Posted Sales Invoice Lines'!G942</f>
        <v>46132</v>
      </c>
      <c r="G942" s="9">
        <f>'Posted Sales Invoice Lines'!L942</f>
        <v>56</v>
      </c>
      <c r="H942" s="8">
        <f>'Posted Sales Invoice Lines'!N942</f>
        <v>43.36</v>
      </c>
      <c r="I942" s="8">
        <f>'Posted Sales Invoice Lines'!O942</f>
        <v>2428.16</v>
      </c>
    </row>
    <row r="943" spans="1:9" x14ac:dyDescent="0.25">
      <c r="A943" s="2" t="str">
        <f>'Posted Sales Invoice Lines'!A943</f>
        <v>PS-INV201879</v>
      </c>
      <c r="B943" s="2" t="str">
        <f>'Posted Sales Invoice Lines'!B943</f>
        <v>20334</v>
      </c>
      <c r="C943" s="2" t="str">
        <f>'Posted Sales Invoice Lines'!C943</f>
        <v>Sysco Atlanta</v>
      </c>
      <c r="D943" s="2" t="str">
        <f>'Posted Sales Invoice Lines'!E943</f>
        <v>F53033</v>
      </c>
      <c r="E943" s="2" t="str">
        <f>'Posted Sales Invoice Lines'!F943</f>
        <v>Cs. 4" Parker House 8-12pk</v>
      </c>
      <c r="F943" s="3">
        <f>'Posted Sales Invoice Lines'!G943</f>
        <v>46132</v>
      </c>
      <c r="G943" s="9">
        <f>'Posted Sales Invoice Lines'!L943</f>
        <v>28</v>
      </c>
      <c r="H943" s="8">
        <f>'Posted Sales Invoice Lines'!N943</f>
        <v>39.53</v>
      </c>
      <c r="I943" s="8">
        <f>'Posted Sales Invoice Lines'!O943</f>
        <v>1106.8399999999999</v>
      </c>
    </row>
    <row r="944" spans="1:9" x14ac:dyDescent="0.25">
      <c r="A944" s="2" t="str">
        <f>'Posted Sales Invoice Lines'!A944</f>
        <v>PS-INV201879</v>
      </c>
      <c r="B944" s="2" t="str">
        <f>'Posted Sales Invoice Lines'!B944</f>
        <v>20334</v>
      </c>
      <c r="C944" s="2" t="str">
        <f>'Posted Sales Invoice Lines'!C944</f>
        <v>Sysco Atlanta</v>
      </c>
      <c r="D944" s="2" t="str">
        <f>'Posted Sales Invoice Lines'!E944</f>
        <v>F54044</v>
      </c>
      <c r="E944" s="2" t="str">
        <f>'Posted Sales Invoice Lines'!F944</f>
        <v>Cs. Buttons Parker House 12-12pk</v>
      </c>
      <c r="F944" s="3">
        <f>'Posted Sales Invoice Lines'!G944</f>
        <v>46132</v>
      </c>
      <c r="G944" s="9">
        <f>'Posted Sales Invoice Lines'!L944</f>
        <v>12</v>
      </c>
      <c r="H944" s="8">
        <f>'Posted Sales Invoice Lines'!N944</f>
        <v>36.979999999999997</v>
      </c>
      <c r="I944" s="8">
        <f>'Posted Sales Invoice Lines'!O944</f>
        <v>443.76</v>
      </c>
    </row>
    <row r="945" spans="1:9" x14ac:dyDescent="0.25">
      <c r="A945" s="2" t="str">
        <f>'Posted Sales Invoice Lines'!A945</f>
        <v>PS-INV201879</v>
      </c>
      <c r="B945" s="2" t="str">
        <f>'Posted Sales Invoice Lines'!B945</f>
        <v>20334</v>
      </c>
      <c r="C945" s="2" t="str">
        <f>'Posted Sales Invoice Lines'!C945</f>
        <v>Sysco Atlanta</v>
      </c>
      <c r="D945" s="2" t="str">
        <f>'Posted Sales Invoice Lines'!E945</f>
        <v>F51034</v>
      </c>
      <c r="E945" s="2" t="str">
        <f>'Posted Sales Invoice Lines'!F945</f>
        <v>Cs. Sour Dough Hearth 5/8" 8lvs</v>
      </c>
      <c r="F945" s="3">
        <f>'Posted Sales Invoice Lines'!G945</f>
        <v>46132</v>
      </c>
      <c r="G945" s="9">
        <f>'Posted Sales Invoice Lines'!L945</f>
        <v>20</v>
      </c>
      <c r="H945" s="8">
        <f>'Posted Sales Invoice Lines'!N945</f>
        <v>41.2</v>
      </c>
      <c r="I945" s="8">
        <f>'Posted Sales Invoice Lines'!O945</f>
        <v>824</v>
      </c>
    </row>
    <row r="946" spans="1:9" x14ac:dyDescent="0.25">
      <c r="A946" s="2" t="str">
        <f>'Posted Sales Invoice Lines'!A946</f>
        <v>PS-INV201879</v>
      </c>
      <c r="B946" s="2" t="str">
        <f>'Posted Sales Invoice Lines'!B946</f>
        <v>20334</v>
      </c>
      <c r="C946" s="2" t="str">
        <f>'Posted Sales Invoice Lines'!C946</f>
        <v>Sysco Atlanta</v>
      </c>
      <c r="D946" s="2" t="str">
        <f>'Posted Sales Invoice Lines'!E946</f>
        <v>F51157</v>
      </c>
      <c r="E946" s="2" t="str">
        <f>'Posted Sales Invoice Lines'!F946</f>
        <v>Cs. Challah Hearth 7/8" 8lvs</v>
      </c>
      <c r="F946" s="3">
        <f>'Posted Sales Invoice Lines'!G946</f>
        <v>46132</v>
      </c>
      <c r="G946" s="9">
        <f>'Posted Sales Invoice Lines'!L946</f>
        <v>12</v>
      </c>
      <c r="H946" s="8">
        <f>'Posted Sales Invoice Lines'!N946</f>
        <v>42.02</v>
      </c>
      <c r="I946" s="8">
        <f>'Posted Sales Invoice Lines'!O946</f>
        <v>504.24</v>
      </c>
    </row>
    <row r="947" spans="1:9" x14ac:dyDescent="0.25">
      <c r="A947" s="2" t="str">
        <f>'Posted Sales Invoice Lines'!A947</f>
        <v>PS-INV201879</v>
      </c>
      <c r="B947" s="2" t="str">
        <f>'Posted Sales Invoice Lines'!B947</f>
        <v>20334</v>
      </c>
      <c r="C947" s="2" t="str">
        <f>'Posted Sales Invoice Lines'!C947</f>
        <v>Sysco Atlanta</v>
      </c>
      <c r="D947" s="2" t="str">
        <f>'Posted Sales Invoice Lines'!E947</f>
        <v>F53140</v>
      </c>
      <c r="E947" s="2" t="str">
        <f>'Posted Sales Invoice Lines'!F947</f>
        <v>Cs. Knuckies 8" White 12-6pk</v>
      </c>
      <c r="F947" s="3">
        <f>'Posted Sales Invoice Lines'!G947</f>
        <v>46132</v>
      </c>
      <c r="G947" s="9">
        <f>'Posted Sales Invoice Lines'!L947</f>
        <v>40</v>
      </c>
      <c r="H947" s="8">
        <f>'Posted Sales Invoice Lines'!N947</f>
        <v>41</v>
      </c>
      <c r="I947" s="8">
        <f>'Posted Sales Invoice Lines'!O947</f>
        <v>1640</v>
      </c>
    </row>
    <row r="948" spans="1:9" x14ac:dyDescent="0.25">
      <c r="A948" s="2" t="str">
        <f>'Posted Sales Invoice Lines'!A948</f>
        <v>PS-INV201885</v>
      </c>
      <c r="B948" s="2" t="str">
        <f>'Posted Sales Invoice Lines'!B948</f>
        <v>10719-2</v>
      </c>
      <c r="C948" s="2" t="str">
        <f>'Posted Sales Invoice Lines'!C948</f>
        <v>US Foods - Fairburn</v>
      </c>
      <c r="D948" s="2" t="str">
        <f>'Posted Sales Invoice Lines'!E948</f>
        <v>F53005</v>
      </c>
      <c r="E948" s="2" t="str">
        <f>'Posted Sales Invoice Lines'!F948</f>
        <v>Cs. 4" Gourmet PDS Bun 8-12pk</v>
      </c>
      <c r="F948" s="3">
        <f>'Posted Sales Invoice Lines'!G948</f>
        <v>46118</v>
      </c>
      <c r="G948" s="9">
        <f>'Posted Sales Invoice Lines'!L948</f>
        <v>52</v>
      </c>
      <c r="H948" s="8">
        <f>'Posted Sales Invoice Lines'!N948</f>
        <v>40.11</v>
      </c>
      <c r="I948" s="8">
        <f>'Posted Sales Invoice Lines'!O948</f>
        <v>2085.7199999999998</v>
      </c>
    </row>
    <row r="949" spans="1:9" x14ac:dyDescent="0.25">
      <c r="A949" s="2" t="str">
        <f>'Posted Sales Invoice Lines'!A949</f>
        <v>PS-INV201885</v>
      </c>
      <c r="B949" s="2" t="str">
        <f>'Posted Sales Invoice Lines'!B949</f>
        <v>10719-2</v>
      </c>
      <c r="C949" s="2" t="str">
        <f>'Posted Sales Invoice Lines'!C949</f>
        <v>US Foods - Fairburn</v>
      </c>
      <c r="D949" s="2" t="str">
        <f>'Posted Sales Invoice Lines'!E949</f>
        <v>F56560</v>
      </c>
      <c r="E949" s="2" t="str">
        <f>'Posted Sales Invoice Lines'!F949</f>
        <v>Gluten Free 3.5" Hamburger 36ct</v>
      </c>
      <c r="F949" s="3">
        <f>'Posted Sales Invoice Lines'!G949</f>
        <v>46118</v>
      </c>
      <c r="G949" s="9">
        <f>'Posted Sales Invoice Lines'!L949</f>
        <v>24</v>
      </c>
      <c r="H949" s="8">
        <f>'Posted Sales Invoice Lines'!N949</f>
        <v>48.57</v>
      </c>
      <c r="I949" s="8">
        <f>'Posted Sales Invoice Lines'!O949</f>
        <v>1165.68</v>
      </c>
    </row>
    <row r="950" spans="1:9" x14ac:dyDescent="0.25">
      <c r="A950" s="2" t="str">
        <f>'Posted Sales Invoice Lines'!A950</f>
        <v>PS-INV201885</v>
      </c>
      <c r="B950" s="2" t="str">
        <f>'Posted Sales Invoice Lines'!B950</f>
        <v>10719-2</v>
      </c>
      <c r="C950" s="2" t="str">
        <f>'Posted Sales Invoice Lines'!C950</f>
        <v>US Foods - Fairburn</v>
      </c>
      <c r="D950" s="2" t="str">
        <f>'Posted Sales Invoice Lines'!E950</f>
        <v>F53010</v>
      </c>
      <c r="E950" s="2" t="str">
        <f>'Posted Sales Invoice Lines'!F950</f>
        <v>Cs. Onion Roll 8-12pk</v>
      </c>
      <c r="F950" s="3">
        <f>'Posted Sales Invoice Lines'!G950</f>
        <v>46118</v>
      </c>
      <c r="G950" s="9">
        <f>'Posted Sales Invoice Lines'!L950</f>
        <v>36</v>
      </c>
      <c r="H950" s="8">
        <f>'Posted Sales Invoice Lines'!N950</f>
        <v>40.85</v>
      </c>
      <c r="I950" s="8">
        <f>'Posted Sales Invoice Lines'!O950</f>
        <v>1470.6</v>
      </c>
    </row>
    <row r="951" spans="1:9" x14ac:dyDescent="0.25">
      <c r="A951" s="2" t="str">
        <f>'Posted Sales Invoice Lines'!A951</f>
        <v>PS-INV201885</v>
      </c>
      <c r="B951" s="2" t="str">
        <f>'Posted Sales Invoice Lines'!B951</f>
        <v>10719-2</v>
      </c>
      <c r="C951" s="2" t="str">
        <f>'Posted Sales Invoice Lines'!C951</f>
        <v>US Foods - Fairburn</v>
      </c>
      <c r="D951" s="2" t="str">
        <f>'Posted Sales Invoice Lines'!E951</f>
        <v>F53122</v>
      </c>
      <c r="E951" s="2" t="str">
        <f>'Posted Sales Invoice Lines'!F951</f>
        <v>Cs. 8" Italian Hinged 12-6pk</v>
      </c>
      <c r="F951" s="3">
        <f>'Posted Sales Invoice Lines'!G951</f>
        <v>46118</v>
      </c>
      <c r="G951" s="9">
        <f>'Posted Sales Invoice Lines'!L951</f>
        <v>136</v>
      </c>
      <c r="H951" s="8">
        <f>'Posted Sales Invoice Lines'!N951</f>
        <v>40.9</v>
      </c>
      <c r="I951" s="8">
        <f>'Posted Sales Invoice Lines'!O951</f>
        <v>5562.4</v>
      </c>
    </row>
    <row r="952" spans="1:9" x14ac:dyDescent="0.25">
      <c r="A952" s="2" t="str">
        <f>'Posted Sales Invoice Lines'!A952</f>
        <v>PS-INV201885</v>
      </c>
      <c r="B952" s="2" t="str">
        <f>'Posted Sales Invoice Lines'!B952</f>
        <v>10719-2</v>
      </c>
      <c r="C952" s="2" t="str">
        <f>'Posted Sales Invoice Lines'!C952</f>
        <v>US Foods - Fairburn</v>
      </c>
      <c r="D952" s="2" t="str">
        <f>'Posted Sales Invoice Lines'!E952</f>
        <v>F53003</v>
      </c>
      <c r="E952" s="2" t="str">
        <f>'Posted Sales Invoice Lines'!F952</f>
        <v>Cs. 4" Unseeded Challah Bun 8-12pk</v>
      </c>
      <c r="F952" s="3">
        <f>'Posted Sales Invoice Lines'!G952</f>
        <v>46118</v>
      </c>
      <c r="G952" s="9">
        <f>'Posted Sales Invoice Lines'!L952</f>
        <v>64</v>
      </c>
      <c r="H952" s="8">
        <f>'Posted Sales Invoice Lines'!N952</f>
        <v>38.08</v>
      </c>
      <c r="I952" s="8">
        <f>'Posted Sales Invoice Lines'!O952</f>
        <v>2437.12</v>
      </c>
    </row>
    <row r="953" spans="1:9" x14ac:dyDescent="0.25">
      <c r="A953" s="2" t="str">
        <f>'Posted Sales Invoice Lines'!A953</f>
        <v>PS-INV201885</v>
      </c>
      <c r="B953" s="2" t="str">
        <f>'Posted Sales Invoice Lines'!B953</f>
        <v>10719-2</v>
      </c>
      <c r="C953" s="2" t="str">
        <f>'Posted Sales Invoice Lines'!C953</f>
        <v>US Foods - Fairburn</v>
      </c>
      <c r="D953" s="2" t="str">
        <f>'Posted Sales Invoice Lines'!E953</f>
        <v>F53024</v>
      </c>
      <c r="E953" s="2" t="str">
        <f>'Posted Sales Invoice Lines'!F953</f>
        <v>Cs. 4" Challah Kaiser 8-12pk</v>
      </c>
      <c r="F953" s="3">
        <f>'Posted Sales Invoice Lines'!G953</f>
        <v>46118</v>
      </c>
      <c r="G953" s="9">
        <f>'Posted Sales Invoice Lines'!L953</f>
        <v>68</v>
      </c>
      <c r="H953" s="8">
        <f>'Posted Sales Invoice Lines'!N953</f>
        <v>40.22</v>
      </c>
      <c r="I953" s="8">
        <f>'Posted Sales Invoice Lines'!O953</f>
        <v>2734.96</v>
      </c>
    </row>
    <row r="954" spans="1:9" x14ac:dyDescent="0.25">
      <c r="A954" s="2" t="str">
        <f>'Posted Sales Invoice Lines'!A954</f>
        <v>PS-INV201900</v>
      </c>
      <c r="B954" s="2" t="str">
        <f>'Posted Sales Invoice Lines'!B954</f>
        <v>13092</v>
      </c>
      <c r="C954" s="2" t="str">
        <f>'Posted Sales Invoice Lines'!C954</f>
        <v>Sysco WEST COAST</v>
      </c>
      <c r="D954" s="2" t="str">
        <f>'Posted Sales Invoice Lines'!E954</f>
        <v>F530491</v>
      </c>
      <c r="E954" s="2" t="str">
        <f>'Posted Sales Invoice Lines'!F954</f>
        <v>Cs. 4.5 Brioche Bun 6-12pk</v>
      </c>
      <c r="F954" s="3">
        <f>'Posted Sales Invoice Lines'!G954</f>
        <v>46120</v>
      </c>
      <c r="G954" s="9">
        <f>'Posted Sales Invoice Lines'!L954</f>
        <v>84</v>
      </c>
      <c r="H954" s="8">
        <f>'Posted Sales Invoice Lines'!N954</f>
        <v>39.65</v>
      </c>
      <c r="I954" s="8">
        <f>'Posted Sales Invoice Lines'!O954</f>
        <v>3330.6</v>
      </c>
    </row>
    <row r="955" spans="1:9" x14ac:dyDescent="0.25">
      <c r="A955" s="2" t="str">
        <f>'Posted Sales Invoice Lines'!A955</f>
        <v>PS-INV201900</v>
      </c>
      <c r="B955" s="2" t="str">
        <f>'Posted Sales Invoice Lines'!B955</f>
        <v>13092</v>
      </c>
      <c r="C955" s="2" t="str">
        <f>'Posted Sales Invoice Lines'!C955</f>
        <v>Sysco WEST COAST</v>
      </c>
      <c r="D955" s="2" t="str">
        <f>'Posted Sales Invoice Lines'!E955</f>
        <v>F51137</v>
      </c>
      <c r="E955" s="2" t="str">
        <f>'Posted Sales Invoice Lines'!F955</f>
        <v>Cs. Texas Toast 3/4" 12lvs</v>
      </c>
      <c r="F955" s="3">
        <f>'Posted Sales Invoice Lines'!G955</f>
        <v>46120</v>
      </c>
      <c r="G955" s="9">
        <f>'Posted Sales Invoice Lines'!L955</f>
        <v>364</v>
      </c>
      <c r="H955" s="8">
        <f>'Posted Sales Invoice Lines'!N955</f>
        <v>35</v>
      </c>
      <c r="I955" s="8">
        <f>'Posted Sales Invoice Lines'!O955</f>
        <v>12740</v>
      </c>
    </row>
    <row r="956" spans="1:9" x14ac:dyDescent="0.25">
      <c r="A956" s="2" t="str">
        <f>'Posted Sales Invoice Lines'!A956</f>
        <v>PS-INV201908</v>
      </c>
      <c r="B956" s="2" t="str">
        <f>'Posted Sales Invoice Lines'!B956</f>
        <v>Z10700</v>
      </c>
      <c r="C956" s="2" t="str">
        <f>'Posted Sales Invoice Lines'!C956</f>
        <v>Sysco-Charlotte</v>
      </c>
      <c r="D956" s="2" t="str">
        <f>'Posted Sales Invoice Lines'!E956</f>
        <v>F52564</v>
      </c>
      <c r="E956" s="2" t="str">
        <f>'Posted Sales Invoice Lines'!F956</f>
        <v>Cs. Rye Batard 5/8" 8lvs</v>
      </c>
      <c r="F956" s="3">
        <f>'Posted Sales Invoice Lines'!G956</f>
        <v>46114</v>
      </c>
      <c r="G956" s="9">
        <f>'Posted Sales Invoice Lines'!L956</f>
        <v>36</v>
      </c>
      <c r="H956" s="8">
        <f>'Posted Sales Invoice Lines'!N956</f>
        <v>46.38</v>
      </c>
      <c r="I956" s="8">
        <f>'Posted Sales Invoice Lines'!O956</f>
        <v>1669.68</v>
      </c>
    </row>
    <row r="957" spans="1:9" x14ac:dyDescent="0.25">
      <c r="A957" s="2" t="str">
        <f>'Posted Sales Invoice Lines'!A957</f>
        <v>PS-INV201908</v>
      </c>
      <c r="B957" s="2" t="str">
        <f>'Posted Sales Invoice Lines'!B957</f>
        <v>Z10700</v>
      </c>
      <c r="C957" s="2" t="str">
        <f>'Posted Sales Invoice Lines'!C957</f>
        <v>Sysco-Charlotte</v>
      </c>
      <c r="D957" s="2" t="str">
        <f>'Posted Sales Invoice Lines'!E957</f>
        <v>F51044</v>
      </c>
      <c r="E957" s="2" t="str">
        <f>'Posted Sales Invoice Lines'!F957</f>
        <v>Cs. Vienna 5/8" 8lvs</v>
      </c>
      <c r="F957" s="3">
        <f>'Posted Sales Invoice Lines'!G957</f>
        <v>46114</v>
      </c>
      <c r="G957" s="9">
        <f>'Posted Sales Invoice Lines'!L957</f>
        <v>48</v>
      </c>
      <c r="H957" s="8">
        <f>'Posted Sales Invoice Lines'!N957</f>
        <v>28.5</v>
      </c>
      <c r="I957" s="8">
        <f>'Posted Sales Invoice Lines'!O957</f>
        <v>1368</v>
      </c>
    </row>
    <row r="958" spans="1:9" x14ac:dyDescent="0.25">
      <c r="A958" s="2" t="str">
        <f>'Posted Sales Invoice Lines'!A958</f>
        <v>PS-INV201908</v>
      </c>
      <c r="B958" s="2" t="str">
        <f>'Posted Sales Invoice Lines'!B958</f>
        <v>Z10700</v>
      </c>
      <c r="C958" s="2" t="str">
        <f>'Posted Sales Invoice Lines'!C958</f>
        <v>Sysco-Charlotte</v>
      </c>
      <c r="D958" s="2" t="str">
        <f>'Posted Sales Invoice Lines'!E958</f>
        <v>F51077</v>
      </c>
      <c r="E958" s="2" t="str">
        <f>'Posted Sales Invoice Lines'!F958</f>
        <v>Cs. Oatie Multigrain 5/8" 8lvs</v>
      </c>
      <c r="F958" s="3">
        <f>'Posted Sales Invoice Lines'!G958</f>
        <v>46114</v>
      </c>
      <c r="G958" s="9">
        <f>'Posted Sales Invoice Lines'!L958</f>
        <v>120</v>
      </c>
      <c r="H958" s="8">
        <f>'Posted Sales Invoice Lines'!N958</f>
        <v>54.38</v>
      </c>
      <c r="I958" s="8">
        <f>'Posted Sales Invoice Lines'!O958</f>
        <v>6525.6</v>
      </c>
    </row>
    <row r="959" spans="1:9" x14ac:dyDescent="0.25">
      <c r="A959" s="2" t="str">
        <f>'Posted Sales Invoice Lines'!A959</f>
        <v>PS-INV201908</v>
      </c>
      <c r="B959" s="2" t="str">
        <f>'Posted Sales Invoice Lines'!B959</f>
        <v>Z10700</v>
      </c>
      <c r="C959" s="2" t="str">
        <f>'Posted Sales Invoice Lines'!C959</f>
        <v>Sysco-Charlotte</v>
      </c>
      <c r="D959" s="2" t="str">
        <f>'Posted Sales Invoice Lines'!E959</f>
        <v>F51384</v>
      </c>
      <c r="E959" s="2" t="str">
        <f>'Posted Sales Invoice Lines'!F959</f>
        <v>Cs. Challah Pullman 7/8"</v>
      </c>
      <c r="F959" s="3">
        <f>'Posted Sales Invoice Lines'!G959</f>
        <v>46114</v>
      </c>
      <c r="G959" s="9">
        <f>'Posted Sales Invoice Lines'!L959</f>
        <v>240</v>
      </c>
      <c r="H959" s="8">
        <f>'Posted Sales Invoice Lines'!N959</f>
        <v>51.38</v>
      </c>
      <c r="I959" s="8">
        <f>'Posted Sales Invoice Lines'!O959</f>
        <v>12331.2</v>
      </c>
    </row>
    <row r="960" spans="1:9" x14ac:dyDescent="0.25">
      <c r="A960" s="2" t="str">
        <f>'Posted Sales Invoice Lines'!A960</f>
        <v>PS-INV201990</v>
      </c>
      <c r="B960" s="2" t="str">
        <f>'Posted Sales Invoice Lines'!B960</f>
        <v>12431</v>
      </c>
      <c r="C960" s="2" t="str">
        <f>'Posted Sales Invoice Lines'!C960</f>
        <v>Ben E Keith - New Brockton</v>
      </c>
      <c r="D960" s="2" t="str">
        <f>'Posted Sales Invoice Lines'!E960</f>
        <v>F54301</v>
      </c>
      <c r="E960" s="2" t="str">
        <f>'Posted Sales Invoice Lines'!F960</f>
        <v>Cs. Potato Roll Sliced 12-16pk</v>
      </c>
      <c r="F960" s="3">
        <f>'Posted Sales Invoice Lines'!G960</f>
        <v>46114</v>
      </c>
      <c r="G960" s="9">
        <f>'Posted Sales Invoice Lines'!L960</f>
        <v>56</v>
      </c>
      <c r="H960" s="8">
        <f>'Posted Sales Invoice Lines'!N960</f>
        <v>50.05</v>
      </c>
      <c r="I960" s="8">
        <f>'Posted Sales Invoice Lines'!O960</f>
        <v>2802.8</v>
      </c>
    </row>
    <row r="961" spans="1:9" x14ac:dyDescent="0.25">
      <c r="A961" s="2" t="str">
        <f>'Posted Sales Invoice Lines'!A961</f>
        <v>PS-INV201990</v>
      </c>
      <c r="B961" s="2" t="str">
        <f>'Posted Sales Invoice Lines'!B961</f>
        <v>12431</v>
      </c>
      <c r="C961" s="2" t="str">
        <f>'Posted Sales Invoice Lines'!C961</f>
        <v>Ben E Keith - New Brockton</v>
      </c>
      <c r="D961" s="2" t="str">
        <f>'Posted Sales Invoice Lines'!E961</f>
        <v>F51137</v>
      </c>
      <c r="E961" s="2" t="str">
        <f>'Posted Sales Invoice Lines'!F961</f>
        <v>Cs. Texas Toast 3/4" 12lvs</v>
      </c>
      <c r="F961" s="3">
        <f>'Posted Sales Invoice Lines'!G961</f>
        <v>46114</v>
      </c>
      <c r="G961" s="9">
        <f>'Posted Sales Invoice Lines'!L961</f>
        <v>252</v>
      </c>
      <c r="H961" s="8">
        <f>'Posted Sales Invoice Lines'!N961</f>
        <v>36</v>
      </c>
      <c r="I961" s="8">
        <f>'Posted Sales Invoice Lines'!O961</f>
        <v>9072</v>
      </c>
    </row>
    <row r="962" spans="1:9" x14ac:dyDescent="0.25">
      <c r="A962" s="2" t="str">
        <f>'Posted Sales Invoice Lines'!A962</f>
        <v>PS-INV201990</v>
      </c>
      <c r="B962" s="2" t="str">
        <f>'Posted Sales Invoice Lines'!B962</f>
        <v>12431</v>
      </c>
      <c r="C962" s="2" t="str">
        <f>'Posted Sales Invoice Lines'!C962</f>
        <v>Ben E Keith - New Brockton</v>
      </c>
      <c r="D962" s="2" t="str">
        <f>'Posted Sales Invoice Lines'!E962</f>
        <v>F53122</v>
      </c>
      <c r="E962" s="2" t="str">
        <f>'Posted Sales Invoice Lines'!F962</f>
        <v>Cs. 8" Italian Hinged 12-6pk</v>
      </c>
      <c r="F962" s="3">
        <f>'Posted Sales Invoice Lines'!G962</f>
        <v>46114</v>
      </c>
      <c r="G962" s="9">
        <f>'Posted Sales Invoice Lines'!L962</f>
        <v>56</v>
      </c>
      <c r="H962" s="8">
        <f>'Posted Sales Invoice Lines'!N962</f>
        <v>30</v>
      </c>
      <c r="I962" s="8">
        <f>'Posted Sales Invoice Lines'!O962</f>
        <v>1680</v>
      </c>
    </row>
    <row r="963" spans="1:9" x14ac:dyDescent="0.25">
      <c r="A963" s="2" t="str">
        <f>'Posted Sales Invoice Lines'!A963</f>
        <v>PS-INV201990</v>
      </c>
      <c r="B963" s="2" t="str">
        <f>'Posted Sales Invoice Lines'!B963</f>
        <v>12431</v>
      </c>
      <c r="C963" s="2" t="str">
        <f>'Posted Sales Invoice Lines'!C963</f>
        <v>Ben E Keith - New Brockton</v>
      </c>
      <c r="D963" s="2" t="str">
        <f>'Posted Sales Invoice Lines'!E963</f>
        <v>F53087</v>
      </c>
      <c r="E963" s="2" t="str">
        <f>'Posted Sales Invoice Lines'!F963</f>
        <v>Cs. 3.5" Challah Bun 8-12 pk</v>
      </c>
      <c r="F963" s="3">
        <f>'Posted Sales Invoice Lines'!G963</f>
        <v>46114</v>
      </c>
      <c r="G963" s="9">
        <f>'Posted Sales Invoice Lines'!L963</f>
        <v>140</v>
      </c>
      <c r="H963" s="8">
        <f>'Posted Sales Invoice Lines'!N963</f>
        <v>40</v>
      </c>
      <c r="I963" s="8">
        <f>'Posted Sales Invoice Lines'!O963</f>
        <v>5600</v>
      </c>
    </row>
    <row r="964" spans="1:9" x14ac:dyDescent="0.25">
      <c r="A964" s="2" t="str">
        <f>'Posted Sales Invoice Lines'!A964</f>
        <v>PS-INV201990</v>
      </c>
      <c r="B964" s="2" t="str">
        <f>'Posted Sales Invoice Lines'!B964</f>
        <v>12431</v>
      </c>
      <c r="C964" s="2" t="str">
        <f>'Posted Sales Invoice Lines'!C964</f>
        <v>Ben E Keith - New Brockton</v>
      </c>
      <c r="D964" s="2" t="str">
        <f>'Posted Sales Invoice Lines'!E964</f>
        <v>F51381</v>
      </c>
      <c r="E964" s="2" t="str">
        <f>'Posted Sales Invoice Lines'!F964</f>
        <v>Cs. Challah Pullman Unsliced 10lvs</v>
      </c>
      <c r="F964" s="3">
        <f>'Posted Sales Invoice Lines'!G964</f>
        <v>46114</v>
      </c>
      <c r="G964" s="9">
        <f>'Posted Sales Invoice Lines'!L964</f>
        <v>28</v>
      </c>
      <c r="H964" s="8">
        <f>'Posted Sales Invoice Lines'!N964</f>
        <v>50.95</v>
      </c>
      <c r="I964" s="8">
        <f>'Posted Sales Invoice Lines'!O964</f>
        <v>1426.6</v>
      </c>
    </row>
    <row r="965" spans="1:9" x14ac:dyDescent="0.25">
      <c r="A965" s="2" t="str">
        <f>'Posted Sales Invoice Lines'!A965</f>
        <v>PS-INV202693</v>
      </c>
      <c r="B965" s="2" t="str">
        <f>'Posted Sales Invoice Lines'!B965</f>
        <v>12989</v>
      </c>
      <c r="C965" s="2" t="str">
        <f>'Posted Sales Invoice Lines'!C965</f>
        <v>Sysco Little Rock Arkansas</v>
      </c>
      <c r="D965" s="2" t="str">
        <f>'Posted Sales Invoice Lines'!E965</f>
        <v>F53116</v>
      </c>
      <c r="E965" s="2" t="str">
        <f>'Posted Sales Invoice Lines'!F965</f>
        <v>Cs. 7" French Hinged 12</v>
      </c>
      <c r="F965" s="3">
        <f>'Posted Sales Invoice Lines'!G965</f>
        <v>46121</v>
      </c>
      <c r="G965" s="9">
        <f>'Posted Sales Invoice Lines'!L965</f>
        <v>56</v>
      </c>
      <c r="H965" s="8">
        <f>'Posted Sales Invoice Lines'!N965</f>
        <v>35.75</v>
      </c>
      <c r="I965" s="8">
        <f>'Posted Sales Invoice Lines'!O965</f>
        <v>2002</v>
      </c>
    </row>
    <row r="966" spans="1:9" x14ac:dyDescent="0.25">
      <c r="A966" s="2" t="str">
        <f>'Posted Sales Invoice Lines'!A966</f>
        <v>PS-INV202693</v>
      </c>
      <c r="B966" s="2" t="str">
        <f>'Posted Sales Invoice Lines'!B966</f>
        <v>12989</v>
      </c>
      <c r="C966" s="2" t="str">
        <f>'Posted Sales Invoice Lines'!C966</f>
        <v>Sysco Little Rock Arkansas</v>
      </c>
      <c r="D966" s="2" t="str">
        <f>'Posted Sales Invoice Lines'!E966</f>
        <v>F53001</v>
      </c>
      <c r="E966" s="2" t="str">
        <f>'Posted Sales Invoice Lines'!F966</f>
        <v>Cs. 4" Brioche Bun 8-12pk</v>
      </c>
      <c r="F966" s="3">
        <f>'Posted Sales Invoice Lines'!G966</f>
        <v>46121</v>
      </c>
      <c r="G966" s="9">
        <f>'Posted Sales Invoice Lines'!L966</f>
        <v>28</v>
      </c>
      <c r="H966" s="8">
        <f>'Posted Sales Invoice Lines'!N966</f>
        <v>50.6</v>
      </c>
      <c r="I966" s="8">
        <f>'Posted Sales Invoice Lines'!O966</f>
        <v>1416.8</v>
      </c>
    </row>
    <row r="967" spans="1:9" x14ac:dyDescent="0.25">
      <c r="A967" s="2" t="str">
        <f>'Posted Sales Invoice Lines'!A967</f>
        <v>PS-INV202693</v>
      </c>
      <c r="B967" s="2" t="str">
        <f>'Posted Sales Invoice Lines'!B967</f>
        <v>12989</v>
      </c>
      <c r="C967" s="2" t="str">
        <f>'Posted Sales Invoice Lines'!C967</f>
        <v>Sysco Little Rock Arkansas</v>
      </c>
      <c r="D967" s="2" t="str">
        <f>'Posted Sales Invoice Lines'!E967</f>
        <v>F53115</v>
      </c>
      <c r="E967" s="2" t="str">
        <f>'Posted Sales Invoice Lines'!F967</f>
        <v>Cs. 7" French Unsliced 12-6pk</v>
      </c>
      <c r="F967" s="3">
        <f>'Posted Sales Invoice Lines'!G967</f>
        <v>46121</v>
      </c>
      <c r="G967" s="9">
        <f>'Posted Sales Invoice Lines'!L967</f>
        <v>196</v>
      </c>
      <c r="H967" s="8">
        <f>'Posted Sales Invoice Lines'!N967</f>
        <v>35</v>
      </c>
      <c r="I967" s="8">
        <f>'Posted Sales Invoice Lines'!O967</f>
        <v>6860</v>
      </c>
    </row>
    <row r="968" spans="1:9" x14ac:dyDescent="0.25">
      <c r="A968" s="2" t="str">
        <f>'Posted Sales Invoice Lines'!A968</f>
        <v>PS-INV202991</v>
      </c>
      <c r="B968" s="2" t="str">
        <f>'Posted Sales Invoice Lines'!B968</f>
        <v>12707</v>
      </c>
      <c r="C968" s="2" t="str">
        <f>'Posted Sales Invoice Lines'!C968</f>
        <v>PFG Florence SC</v>
      </c>
      <c r="D968" s="2" t="str">
        <f>'Posted Sales Invoice Lines'!E968</f>
        <v>F53001</v>
      </c>
      <c r="E968" s="2" t="str">
        <f>'Posted Sales Invoice Lines'!F968</f>
        <v>Cs. 4" Brioche Bun 8-12pk</v>
      </c>
      <c r="F968" s="3">
        <f>'Posted Sales Invoice Lines'!G968</f>
        <v>46125</v>
      </c>
      <c r="G968" s="9">
        <f>'Posted Sales Invoice Lines'!L968</f>
        <v>168</v>
      </c>
      <c r="H968" s="8">
        <f>'Posted Sales Invoice Lines'!N968</f>
        <v>46.6</v>
      </c>
      <c r="I968" s="8">
        <f>'Posted Sales Invoice Lines'!O968</f>
        <v>7828.8</v>
      </c>
    </row>
    <row r="969" spans="1:9" x14ac:dyDescent="0.25">
      <c r="A969" s="2" t="str">
        <f>'Posted Sales Invoice Lines'!A969</f>
        <v>PS-INV202992</v>
      </c>
      <c r="B969" s="2" t="str">
        <f>'Posted Sales Invoice Lines'!B969</f>
        <v>10540-02</v>
      </c>
      <c r="C969" s="2" t="str">
        <f>'Posted Sales Invoice Lines'!C969</f>
        <v>PFG Valdosta GA</v>
      </c>
      <c r="D969" s="2" t="str">
        <f>'Posted Sales Invoice Lines'!E969</f>
        <v>F53001</v>
      </c>
      <c r="E969" s="2" t="str">
        <f>'Posted Sales Invoice Lines'!F969</f>
        <v>Cs. 4" Brioche Bun 8-12pk</v>
      </c>
      <c r="F969" s="3">
        <f>'Posted Sales Invoice Lines'!G969</f>
        <v>46118</v>
      </c>
      <c r="G969" s="9">
        <f>'Posted Sales Invoice Lines'!L969</f>
        <v>92</v>
      </c>
      <c r="H969" s="8">
        <f>'Posted Sales Invoice Lines'!N969</f>
        <v>42.6</v>
      </c>
      <c r="I969" s="8">
        <f>'Posted Sales Invoice Lines'!O969</f>
        <v>3919.2</v>
      </c>
    </row>
    <row r="970" spans="1:9" x14ac:dyDescent="0.25">
      <c r="A970" s="2" t="str">
        <f>'Posted Sales Invoice Lines'!A970</f>
        <v>PS-INV202992</v>
      </c>
      <c r="B970" s="2" t="str">
        <f>'Posted Sales Invoice Lines'!B970</f>
        <v>10540-02</v>
      </c>
      <c r="C970" s="2" t="str">
        <f>'Posted Sales Invoice Lines'!C970</f>
        <v>PFG Valdosta GA</v>
      </c>
      <c r="D970" s="2" t="str">
        <f>'Posted Sales Invoice Lines'!E970</f>
        <v>F54301</v>
      </c>
      <c r="E970" s="2" t="str">
        <f>'Posted Sales Invoice Lines'!F970</f>
        <v>Cs. Potato Roll Sliced 12-16pk</v>
      </c>
      <c r="F970" s="3">
        <f>'Posted Sales Invoice Lines'!G970</f>
        <v>46118</v>
      </c>
      <c r="G970" s="9">
        <f>'Posted Sales Invoice Lines'!L970</f>
        <v>8</v>
      </c>
      <c r="H970" s="8">
        <f>'Posted Sales Invoice Lines'!N970</f>
        <v>41.15</v>
      </c>
      <c r="I970" s="8">
        <f>'Posted Sales Invoice Lines'!O970</f>
        <v>329.2</v>
      </c>
    </row>
    <row r="971" spans="1:9" x14ac:dyDescent="0.25">
      <c r="A971" s="2" t="str">
        <f>'Posted Sales Invoice Lines'!A971</f>
        <v>PS-INV202992</v>
      </c>
      <c r="B971" s="2" t="str">
        <f>'Posted Sales Invoice Lines'!B971</f>
        <v>10540-02</v>
      </c>
      <c r="C971" s="2" t="str">
        <f>'Posted Sales Invoice Lines'!C971</f>
        <v>PFG Valdosta GA</v>
      </c>
      <c r="D971" s="2" t="str">
        <f>'Posted Sales Invoice Lines'!E971</f>
        <v>F53110</v>
      </c>
      <c r="E971" s="2" t="str">
        <f>'Posted Sales Invoice Lines'!F971</f>
        <v>Cs. Foot Long Challah Hot Dog Buns 10-6pk</v>
      </c>
      <c r="F971" s="3">
        <f>'Posted Sales Invoice Lines'!G971</f>
        <v>46118</v>
      </c>
      <c r="G971" s="9">
        <f>'Posted Sales Invoice Lines'!L971</f>
        <v>16</v>
      </c>
      <c r="H971" s="8">
        <f>'Posted Sales Invoice Lines'!N971</f>
        <v>39.25</v>
      </c>
      <c r="I971" s="8">
        <f>'Posted Sales Invoice Lines'!O971</f>
        <v>628</v>
      </c>
    </row>
    <row r="972" spans="1:9" x14ac:dyDescent="0.25">
      <c r="A972" s="2" t="str">
        <f>'Posted Sales Invoice Lines'!A972</f>
        <v>PS-INV202992</v>
      </c>
      <c r="B972" s="2" t="str">
        <f>'Posted Sales Invoice Lines'!B972</f>
        <v>10540-02</v>
      </c>
      <c r="C972" s="2" t="str">
        <f>'Posted Sales Invoice Lines'!C972</f>
        <v>PFG Valdosta GA</v>
      </c>
      <c r="D972" s="2" t="str">
        <f>'Posted Sales Invoice Lines'!E972</f>
        <v>F51000</v>
      </c>
      <c r="E972" s="2" t="str">
        <f>'Posted Sales Invoice Lines'!F972</f>
        <v>Cs. Rye Bread 8lvs</v>
      </c>
      <c r="F972" s="3">
        <f>'Posted Sales Invoice Lines'!G972</f>
        <v>46118</v>
      </c>
      <c r="G972" s="9">
        <f>'Posted Sales Invoice Lines'!L972</f>
        <v>4</v>
      </c>
      <c r="H972" s="8">
        <f>'Posted Sales Invoice Lines'!N972</f>
        <v>41.6</v>
      </c>
      <c r="I972" s="8">
        <f>'Posted Sales Invoice Lines'!O972</f>
        <v>166.4</v>
      </c>
    </row>
    <row r="973" spans="1:9" x14ac:dyDescent="0.25">
      <c r="A973" s="2" t="str">
        <f>'Posted Sales Invoice Lines'!A973</f>
        <v>PS-INV202992</v>
      </c>
      <c r="B973" s="2" t="str">
        <f>'Posted Sales Invoice Lines'!B973</f>
        <v>10540-02</v>
      </c>
      <c r="C973" s="2" t="str">
        <f>'Posted Sales Invoice Lines'!C973</f>
        <v>PFG Valdosta GA</v>
      </c>
      <c r="D973" s="2" t="str">
        <f>'Posted Sales Invoice Lines'!E973</f>
        <v>F53106</v>
      </c>
      <c r="E973" s="2" t="str">
        <f>'Posted Sales Invoice Lines'!F973</f>
        <v>Cs. Large Hot Dog 12-6pk</v>
      </c>
      <c r="F973" s="3">
        <f>'Posted Sales Invoice Lines'!G973</f>
        <v>46118</v>
      </c>
      <c r="G973" s="9">
        <f>'Posted Sales Invoice Lines'!L973</f>
        <v>1</v>
      </c>
      <c r="H973" s="8">
        <f>'Posted Sales Invoice Lines'!N973</f>
        <v>36.5</v>
      </c>
      <c r="I973" s="8">
        <f>'Posted Sales Invoice Lines'!O973</f>
        <v>36.5</v>
      </c>
    </row>
    <row r="974" spans="1:9" x14ac:dyDescent="0.25">
      <c r="A974" s="2" t="str">
        <f>'Posted Sales Invoice Lines'!A974</f>
        <v>PS-INV202992</v>
      </c>
      <c r="B974" s="2" t="str">
        <f>'Posted Sales Invoice Lines'!B974</f>
        <v>10540-02</v>
      </c>
      <c r="C974" s="2" t="str">
        <f>'Posted Sales Invoice Lines'!C974</f>
        <v>PFG Valdosta GA</v>
      </c>
      <c r="D974" s="2" t="str">
        <f>'Posted Sales Invoice Lines'!E974</f>
        <v>F53105</v>
      </c>
      <c r="E974" s="2" t="str">
        <f>'Posted Sales Invoice Lines'!F974</f>
        <v>Cs. 6" White Hot Dog 16-8pk</v>
      </c>
      <c r="F974" s="3">
        <f>'Posted Sales Invoice Lines'!G974</f>
        <v>46118</v>
      </c>
      <c r="G974" s="9">
        <f>'Posted Sales Invoice Lines'!L974</f>
        <v>50</v>
      </c>
      <c r="H974" s="8">
        <f>'Posted Sales Invoice Lines'!N974</f>
        <v>34.5</v>
      </c>
      <c r="I974" s="8">
        <f>'Posted Sales Invoice Lines'!O974</f>
        <v>1725</v>
      </c>
    </row>
    <row r="975" spans="1:9" x14ac:dyDescent="0.25">
      <c r="A975" s="2" t="str">
        <f>'Posted Sales Invoice Lines'!A975</f>
        <v>PS-INV203005</v>
      </c>
      <c r="B975" s="2" t="str">
        <f>'Posted Sales Invoice Lines'!B975</f>
        <v>10540-03</v>
      </c>
      <c r="C975" s="2" t="str">
        <f>'Posted Sales Invoice Lines'!C975</f>
        <v>PFG Louisville TN</v>
      </c>
      <c r="D975" s="2" t="str">
        <f>'Posted Sales Invoice Lines'!E975</f>
        <v>F53001</v>
      </c>
      <c r="E975" s="2" t="str">
        <f>'Posted Sales Invoice Lines'!F975</f>
        <v>Cs. 4" Brioche Bun 8-12pk</v>
      </c>
      <c r="F975" s="3">
        <f>'Posted Sales Invoice Lines'!G975</f>
        <v>46121</v>
      </c>
      <c r="G975" s="9">
        <f>'Posted Sales Invoice Lines'!L975</f>
        <v>336</v>
      </c>
      <c r="H975" s="8">
        <f>'Posted Sales Invoice Lines'!N975</f>
        <v>42.6</v>
      </c>
      <c r="I975" s="8">
        <f>'Posted Sales Invoice Lines'!O975</f>
        <v>14313.6</v>
      </c>
    </row>
    <row r="976" spans="1:9" x14ac:dyDescent="0.25">
      <c r="A976" s="2" t="str">
        <f>'Posted Sales Invoice Lines'!A976</f>
        <v>PS-INV203005</v>
      </c>
      <c r="B976" s="2" t="str">
        <f>'Posted Sales Invoice Lines'!B976</f>
        <v>10540-03</v>
      </c>
      <c r="C976" s="2" t="str">
        <f>'Posted Sales Invoice Lines'!C976</f>
        <v>PFG Louisville TN</v>
      </c>
      <c r="D976" s="2" t="str">
        <f>'Posted Sales Invoice Lines'!E976</f>
        <v>F52552</v>
      </c>
      <c r="E976" s="2" t="str">
        <f>'Posted Sales Invoice Lines'!F976</f>
        <v>Cs. Multigrain Batard Unsliced 8lvs</v>
      </c>
      <c r="F976" s="3">
        <f>'Posted Sales Invoice Lines'!G976</f>
        <v>46121</v>
      </c>
      <c r="G976" s="9">
        <f>'Posted Sales Invoice Lines'!L976</f>
        <v>4</v>
      </c>
      <c r="H976" s="8">
        <f>'Posted Sales Invoice Lines'!N976</f>
        <v>64</v>
      </c>
      <c r="I976" s="8">
        <f>'Posted Sales Invoice Lines'!O976</f>
        <v>256</v>
      </c>
    </row>
    <row r="977" spans="1:9" x14ac:dyDescent="0.25">
      <c r="A977" s="2" t="str">
        <f>'Posted Sales Invoice Lines'!A977</f>
        <v>PS-INV203005</v>
      </c>
      <c r="B977" s="2" t="str">
        <f>'Posted Sales Invoice Lines'!B977</f>
        <v>10540-03</v>
      </c>
      <c r="C977" s="2" t="str">
        <f>'Posted Sales Invoice Lines'!C977</f>
        <v>PFG Louisville TN</v>
      </c>
      <c r="D977" s="2" t="str">
        <f>'Posted Sales Invoice Lines'!E977</f>
        <v>F53180</v>
      </c>
      <c r="E977" s="2" t="str">
        <f>'Posted Sales Invoice Lines'!F977</f>
        <v>Cs. Large Pumpernickel Sub 6-6pk</v>
      </c>
      <c r="F977" s="3">
        <f>'Posted Sales Invoice Lines'!G977</f>
        <v>46121</v>
      </c>
      <c r="G977" s="9">
        <f>'Posted Sales Invoice Lines'!L977</f>
        <v>0</v>
      </c>
      <c r="H977" s="8">
        <f>'Posted Sales Invoice Lines'!N977</f>
        <v>35.65</v>
      </c>
      <c r="I977" s="8">
        <f>'Posted Sales Invoice Lines'!O977</f>
        <v>0</v>
      </c>
    </row>
    <row r="978" spans="1:9" x14ac:dyDescent="0.25">
      <c r="A978" s="2" t="str">
        <f>'Posted Sales Invoice Lines'!A978</f>
        <v>PS-INV203005</v>
      </c>
      <c r="B978" s="2" t="str">
        <f>'Posted Sales Invoice Lines'!B978</f>
        <v>10540-03</v>
      </c>
      <c r="C978" s="2" t="str">
        <f>'Posted Sales Invoice Lines'!C978</f>
        <v>PFG Louisville TN</v>
      </c>
      <c r="D978" s="2" t="str">
        <f>'Posted Sales Invoice Lines'!E978</f>
        <v>F51026</v>
      </c>
      <c r="E978" s="2" t="str">
        <f>'Posted Sales Invoice Lines'!F978</f>
        <v>Cs. Marble Rye 3/4" 8lvs</v>
      </c>
      <c r="F978" s="3">
        <f>'Posted Sales Invoice Lines'!G978</f>
        <v>46121</v>
      </c>
      <c r="G978" s="9">
        <f>'Posted Sales Invoice Lines'!L978</f>
        <v>12</v>
      </c>
      <c r="H978" s="8">
        <f>'Posted Sales Invoice Lines'!N978</f>
        <v>54</v>
      </c>
      <c r="I978" s="8">
        <f>'Posted Sales Invoice Lines'!O978</f>
        <v>648</v>
      </c>
    </row>
    <row r="979" spans="1:9" x14ac:dyDescent="0.25">
      <c r="A979" s="2" t="str">
        <f>'Posted Sales Invoice Lines'!A979</f>
        <v>PS-INV203005</v>
      </c>
      <c r="B979" s="2" t="str">
        <f>'Posted Sales Invoice Lines'!B979</f>
        <v>10540-03</v>
      </c>
      <c r="C979" s="2" t="str">
        <f>'Posted Sales Invoice Lines'!C979</f>
        <v>PFG Louisville TN</v>
      </c>
      <c r="D979" s="2" t="str">
        <f>'Posted Sales Invoice Lines'!E979</f>
        <v>F530501</v>
      </c>
      <c r="E979" s="2" t="str">
        <f>'Posted Sales Invoice Lines'!F979</f>
        <v>Cs. 4.5" Challah Kaiser 6-12pk</v>
      </c>
      <c r="F979" s="3">
        <f>'Posted Sales Invoice Lines'!G979</f>
        <v>46121</v>
      </c>
      <c r="G979" s="9">
        <f>'Posted Sales Invoice Lines'!L979</f>
        <v>32</v>
      </c>
      <c r="H979" s="8">
        <f>'Posted Sales Invoice Lines'!N979</f>
        <v>38.299999999999997</v>
      </c>
      <c r="I979" s="8">
        <f>'Posted Sales Invoice Lines'!O979</f>
        <v>1225.5999999999999</v>
      </c>
    </row>
    <row r="980" spans="1:9" x14ac:dyDescent="0.25">
      <c r="A980" s="2" t="str">
        <f>'Posted Sales Invoice Lines'!A980</f>
        <v>PS-INV203005</v>
      </c>
      <c r="B980" s="2" t="str">
        <f>'Posted Sales Invoice Lines'!B980</f>
        <v>10540-03</v>
      </c>
      <c r="C980" s="2" t="str">
        <f>'Posted Sales Invoice Lines'!C980</f>
        <v>PFG Louisville TN</v>
      </c>
      <c r="D980" s="2" t="str">
        <f>'Posted Sales Invoice Lines'!E980</f>
        <v>F51137</v>
      </c>
      <c r="E980" s="2" t="str">
        <f>'Posted Sales Invoice Lines'!F980</f>
        <v>Cs. Texas Toast 3/4" 12lvs</v>
      </c>
      <c r="F980" s="3">
        <f>'Posted Sales Invoice Lines'!G980</f>
        <v>46121</v>
      </c>
      <c r="G980" s="9">
        <f>'Posted Sales Invoice Lines'!L980</f>
        <v>0</v>
      </c>
      <c r="H980" s="8">
        <f>'Posted Sales Invoice Lines'!N980</f>
        <v>40.619999999999997</v>
      </c>
      <c r="I980" s="8">
        <f>'Posted Sales Invoice Lines'!O980</f>
        <v>0</v>
      </c>
    </row>
    <row r="981" spans="1:9" x14ac:dyDescent="0.25">
      <c r="A981" s="2" t="str">
        <f>'Posted Sales Invoice Lines'!A981</f>
        <v>PS-INV203005</v>
      </c>
      <c r="B981" s="2" t="str">
        <f>'Posted Sales Invoice Lines'!B981</f>
        <v>10540-03</v>
      </c>
      <c r="C981" s="2" t="str">
        <f>'Posted Sales Invoice Lines'!C981</f>
        <v>PFG Louisville TN</v>
      </c>
      <c r="D981" s="2" t="str">
        <f>'Posted Sales Invoice Lines'!E981</f>
        <v>F530421</v>
      </c>
      <c r="E981" s="2" t="str">
        <f>'Posted Sales Invoice Lines'!F981</f>
        <v>Cs. 4.5" Challah Buns 6-12pk.</v>
      </c>
      <c r="F981" s="3">
        <f>'Posted Sales Invoice Lines'!G981</f>
        <v>46121</v>
      </c>
      <c r="G981" s="9">
        <f>'Posted Sales Invoice Lines'!L981</f>
        <v>84</v>
      </c>
      <c r="H981" s="8">
        <f>'Posted Sales Invoice Lines'!N981</f>
        <v>38.299999999999997</v>
      </c>
      <c r="I981" s="8">
        <f>'Posted Sales Invoice Lines'!O981</f>
        <v>3217.2</v>
      </c>
    </row>
    <row r="982" spans="1:9" x14ac:dyDescent="0.25">
      <c r="A982" s="2" t="str">
        <f>'Posted Sales Invoice Lines'!A982</f>
        <v>PS-INV203005</v>
      </c>
      <c r="B982" s="2" t="str">
        <f>'Posted Sales Invoice Lines'!B982</f>
        <v>10540-03</v>
      </c>
      <c r="C982" s="2" t="str">
        <f>'Posted Sales Invoice Lines'!C982</f>
        <v>PFG Louisville TN</v>
      </c>
      <c r="D982" s="2" t="str">
        <f>'Posted Sales Invoice Lines'!E982</f>
        <v>F53105</v>
      </c>
      <c r="E982" s="2" t="str">
        <f>'Posted Sales Invoice Lines'!F982</f>
        <v>Cs. 6" White Hot Dog 16-8pk</v>
      </c>
      <c r="F982" s="3">
        <f>'Posted Sales Invoice Lines'!G982</f>
        <v>46121</v>
      </c>
      <c r="G982" s="9">
        <f>'Posted Sales Invoice Lines'!L982</f>
        <v>168</v>
      </c>
      <c r="H982" s="8">
        <f>'Posted Sales Invoice Lines'!N982</f>
        <v>34.5</v>
      </c>
      <c r="I982" s="8">
        <f>'Posted Sales Invoice Lines'!O982</f>
        <v>5796</v>
      </c>
    </row>
    <row r="983" spans="1:9" x14ac:dyDescent="0.25">
      <c r="A983" s="2" t="str">
        <f>'Posted Sales Invoice Lines'!A983</f>
        <v>PS-INV203005</v>
      </c>
      <c r="B983" s="2" t="str">
        <f>'Posted Sales Invoice Lines'!B983</f>
        <v>10540-03</v>
      </c>
      <c r="C983" s="2" t="str">
        <f>'Posted Sales Invoice Lines'!C983</f>
        <v>PFG Louisville TN</v>
      </c>
      <c r="D983" s="2" t="str">
        <f>'Posted Sales Invoice Lines'!E983</f>
        <v>F53072</v>
      </c>
      <c r="E983" s="2" t="str">
        <f>'Posted Sales Invoice Lines'!F983</f>
        <v>Cs. 5" Challah Bun 8-8pk</v>
      </c>
      <c r="F983" s="3">
        <f>'Posted Sales Invoice Lines'!G983</f>
        <v>46121</v>
      </c>
      <c r="G983" s="9">
        <f>'Posted Sales Invoice Lines'!L983</f>
        <v>8</v>
      </c>
      <c r="H983" s="8">
        <f>'Posted Sales Invoice Lines'!N983</f>
        <v>38.07</v>
      </c>
      <c r="I983" s="8">
        <f>'Posted Sales Invoice Lines'!O983</f>
        <v>304.56</v>
      </c>
    </row>
    <row r="984" spans="1:9" x14ac:dyDescent="0.25">
      <c r="A984" s="2" t="str">
        <f>'Posted Sales Invoice Lines'!A984</f>
        <v>PS-INV203005</v>
      </c>
      <c r="B984" s="2" t="str">
        <f>'Posted Sales Invoice Lines'!B984</f>
        <v>10540-03</v>
      </c>
      <c r="C984" s="2" t="str">
        <f>'Posted Sales Invoice Lines'!C984</f>
        <v>PFG Louisville TN</v>
      </c>
      <c r="D984" s="2" t="str">
        <f>'Posted Sales Invoice Lines'!E984</f>
        <v>F53106</v>
      </c>
      <c r="E984" s="2" t="str">
        <f>'Posted Sales Invoice Lines'!F984</f>
        <v>Cs. Large Hot Dog 12-6pk</v>
      </c>
      <c r="F984" s="3">
        <f>'Posted Sales Invoice Lines'!G984</f>
        <v>46121</v>
      </c>
      <c r="G984" s="9">
        <f>'Posted Sales Invoice Lines'!L984</f>
        <v>28</v>
      </c>
      <c r="H984" s="8">
        <f>'Posted Sales Invoice Lines'!N984</f>
        <v>36.07</v>
      </c>
      <c r="I984" s="8">
        <f>'Posted Sales Invoice Lines'!O984</f>
        <v>1009.96</v>
      </c>
    </row>
    <row r="985" spans="1:9" x14ac:dyDescent="0.25">
      <c r="A985" s="2" t="str">
        <f>'Posted Sales Invoice Lines'!A985</f>
        <v>PS-INV203005</v>
      </c>
      <c r="B985" s="2" t="str">
        <f>'Posted Sales Invoice Lines'!B985</f>
        <v>10540-03</v>
      </c>
      <c r="C985" s="2" t="str">
        <f>'Posted Sales Invoice Lines'!C985</f>
        <v>PFG Louisville TN</v>
      </c>
      <c r="D985" s="2" t="str">
        <f>'Posted Sales Invoice Lines'!E985</f>
        <v>F52007</v>
      </c>
      <c r="E985" s="2" t="str">
        <f>'Posted Sales Invoice Lines'!F985</f>
        <v>Cs. 22" 17oz French 10-2pk</v>
      </c>
      <c r="F985" s="3">
        <f>'Posted Sales Invoice Lines'!G985</f>
        <v>46121</v>
      </c>
      <c r="G985" s="9">
        <f>'Posted Sales Invoice Lines'!L985</f>
        <v>0</v>
      </c>
      <c r="H985" s="8">
        <f>'Posted Sales Invoice Lines'!N985</f>
        <v>42</v>
      </c>
      <c r="I985" s="8">
        <f>'Posted Sales Invoice Lines'!O985</f>
        <v>0</v>
      </c>
    </row>
    <row r="986" spans="1:9" x14ac:dyDescent="0.25">
      <c r="A986" s="2" t="str">
        <f>'Posted Sales Invoice Lines'!A986</f>
        <v>PS-INV203005</v>
      </c>
      <c r="B986" s="2" t="str">
        <f>'Posted Sales Invoice Lines'!B986</f>
        <v>10540-03</v>
      </c>
      <c r="C986" s="2" t="str">
        <f>'Posted Sales Invoice Lines'!C986</f>
        <v>PFG Louisville TN</v>
      </c>
      <c r="D986" s="2" t="str">
        <f>'Posted Sales Invoice Lines'!E986</f>
        <v>F51034</v>
      </c>
      <c r="E986" s="2" t="str">
        <f>'Posted Sales Invoice Lines'!F986</f>
        <v>Cs. Sour Dough Hearth 5/8" 8lvs</v>
      </c>
      <c r="F986" s="3">
        <f>'Posted Sales Invoice Lines'!G986</f>
        <v>46121</v>
      </c>
      <c r="G986" s="9">
        <f>'Posted Sales Invoice Lines'!L986</f>
        <v>48</v>
      </c>
      <c r="H986" s="8">
        <f>'Posted Sales Invoice Lines'!N986</f>
        <v>43.82</v>
      </c>
      <c r="I986" s="8">
        <f>'Posted Sales Invoice Lines'!O986</f>
        <v>2103.36</v>
      </c>
    </row>
    <row r="987" spans="1:9" x14ac:dyDescent="0.25">
      <c r="A987" s="2" t="str">
        <f>'Posted Sales Invoice Lines'!A987</f>
        <v>PS-INV203005</v>
      </c>
      <c r="B987" s="2" t="str">
        <f>'Posted Sales Invoice Lines'!B987</f>
        <v>10540-03</v>
      </c>
      <c r="C987" s="2" t="str">
        <f>'Posted Sales Invoice Lines'!C987</f>
        <v>PFG Louisville TN</v>
      </c>
      <c r="D987" s="2" t="str">
        <f>'Posted Sales Invoice Lines'!E987</f>
        <v>F53160</v>
      </c>
      <c r="E987" s="2" t="str">
        <f>'Posted Sales Invoice Lines'!F987</f>
        <v>Cs. Large White Sub 6-6pk</v>
      </c>
      <c r="F987" s="3">
        <f>'Posted Sales Invoice Lines'!G987</f>
        <v>46121</v>
      </c>
      <c r="G987" s="9">
        <f>'Posted Sales Invoice Lines'!L987</f>
        <v>0</v>
      </c>
      <c r="H987" s="8">
        <f>'Posted Sales Invoice Lines'!N987</f>
        <v>34.200000000000003</v>
      </c>
      <c r="I987" s="8">
        <f>'Posted Sales Invoice Lines'!O987</f>
        <v>0</v>
      </c>
    </row>
    <row r="988" spans="1:9" x14ac:dyDescent="0.25">
      <c r="A988" s="2" t="str">
        <f>'Posted Sales Invoice Lines'!A988</f>
        <v>PS-INV203005</v>
      </c>
      <c r="B988" s="2" t="str">
        <f>'Posted Sales Invoice Lines'!B988</f>
        <v>10540-03</v>
      </c>
      <c r="C988" s="2" t="str">
        <f>'Posted Sales Invoice Lines'!C988</f>
        <v>PFG Louisville TN</v>
      </c>
      <c r="D988" s="2" t="str">
        <f>'Posted Sales Invoice Lines'!E988</f>
        <v>F53091</v>
      </c>
      <c r="E988" s="2" t="str">
        <f>'Posted Sales Invoice Lines'!F988</f>
        <v>Cs. 6" Hoagie Slab Cut</v>
      </c>
      <c r="F988" s="3">
        <f>'Posted Sales Invoice Lines'!G988</f>
        <v>46121</v>
      </c>
      <c r="G988" s="9">
        <f>'Posted Sales Invoice Lines'!L988</f>
        <v>16</v>
      </c>
      <c r="H988" s="8">
        <f>'Posted Sales Invoice Lines'!N988</f>
        <v>35</v>
      </c>
      <c r="I988" s="8">
        <f>'Posted Sales Invoice Lines'!O988</f>
        <v>560</v>
      </c>
    </row>
    <row r="989" spans="1:9" x14ac:dyDescent="0.25">
      <c r="A989" s="2" t="str">
        <f>'Posted Sales Invoice Lines'!A989</f>
        <v>PS-INV203039</v>
      </c>
      <c r="B989" s="2" t="str">
        <f>'Posted Sales Invoice Lines'!B989</f>
        <v>13077</v>
      </c>
      <c r="C989" s="2" t="str">
        <f>'Posted Sales Invoice Lines'!C989</f>
        <v>Ben E Keith - Little Rock, AR</v>
      </c>
      <c r="D989" s="2" t="str">
        <f>'Posted Sales Invoice Lines'!E989</f>
        <v>F53122</v>
      </c>
      <c r="E989" s="2" t="str">
        <f>'Posted Sales Invoice Lines'!F989</f>
        <v>Cs. 8" Italian Hinged 12-6pk</v>
      </c>
      <c r="F989" s="3">
        <f>'Posted Sales Invoice Lines'!G989</f>
        <v>46119</v>
      </c>
      <c r="G989" s="9">
        <f>'Posted Sales Invoice Lines'!L989</f>
        <v>224</v>
      </c>
      <c r="H989" s="8">
        <f>'Posted Sales Invoice Lines'!N989</f>
        <v>30</v>
      </c>
      <c r="I989" s="8">
        <f>'Posted Sales Invoice Lines'!O989</f>
        <v>6720</v>
      </c>
    </row>
    <row r="990" spans="1:9" x14ac:dyDescent="0.25">
      <c r="A990" s="2" t="str">
        <f>'Posted Sales Invoice Lines'!A990</f>
        <v>PS-INV203042</v>
      </c>
      <c r="B990" s="2" t="str">
        <f>'Posted Sales Invoice Lines'!B990</f>
        <v>10719-9</v>
      </c>
      <c r="C990" s="2" t="str">
        <f>'Posted Sales Invoice Lines'!C990</f>
        <v>US Foods -Carolinas/Ft.Mill</v>
      </c>
      <c r="D990" s="2" t="str">
        <f>'Posted Sales Invoice Lines'!E990</f>
        <v>F53002</v>
      </c>
      <c r="E990" s="2" t="str">
        <f>'Posted Sales Invoice Lines'!F990</f>
        <v>Cs. 4" Challah Sesame Bun 8-12pk</v>
      </c>
      <c r="F990" s="3">
        <f>'Posted Sales Invoice Lines'!G990</f>
        <v>46125</v>
      </c>
      <c r="G990" s="9">
        <f>'Posted Sales Invoice Lines'!L990</f>
        <v>112</v>
      </c>
      <c r="H990" s="8">
        <f>'Posted Sales Invoice Lines'!N990</f>
        <v>37.659999999999997</v>
      </c>
      <c r="I990" s="8">
        <f>'Posted Sales Invoice Lines'!O990</f>
        <v>4217.92</v>
      </c>
    </row>
    <row r="991" spans="1:9" x14ac:dyDescent="0.25">
      <c r="A991" s="2" t="str">
        <f>'Posted Sales Invoice Lines'!A991</f>
        <v>PS-INV203042</v>
      </c>
      <c r="B991" s="2" t="str">
        <f>'Posted Sales Invoice Lines'!B991</f>
        <v>10719-9</v>
      </c>
      <c r="C991" s="2" t="str">
        <f>'Posted Sales Invoice Lines'!C991</f>
        <v>US Foods -Carolinas/Ft.Mill</v>
      </c>
      <c r="D991" s="2" t="str">
        <f>'Posted Sales Invoice Lines'!E991</f>
        <v>F51137</v>
      </c>
      <c r="E991" s="2" t="str">
        <f>'Posted Sales Invoice Lines'!F991</f>
        <v>Cs. Texas Toast 3/4" 12lvs</v>
      </c>
      <c r="F991" s="3">
        <f>'Posted Sales Invoice Lines'!G991</f>
        <v>46125</v>
      </c>
      <c r="G991" s="9">
        <f>'Posted Sales Invoice Lines'!L991</f>
        <v>84</v>
      </c>
      <c r="H991" s="8">
        <f>'Posted Sales Invoice Lines'!N991</f>
        <v>40</v>
      </c>
      <c r="I991" s="8">
        <f>'Posted Sales Invoice Lines'!O991</f>
        <v>3360</v>
      </c>
    </row>
    <row r="992" spans="1:9" x14ac:dyDescent="0.25">
      <c r="A992" s="2" t="str">
        <f>'Posted Sales Invoice Lines'!A992</f>
        <v>PS-INV203042</v>
      </c>
      <c r="B992" s="2" t="str">
        <f>'Posted Sales Invoice Lines'!B992</f>
        <v>10719-9</v>
      </c>
      <c r="C992" s="2" t="str">
        <f>'Posted Sales Invoice Lines'!C992</f>
        <v>US Foods -Carolinas/Ft.Mill</v>
      </c>
      <c r="D992" s="2" t="str">
        <f>'Posted Sales Invoice Lines'!E992</f>
        <v>F53122</v>
      </c>
      <c r="E992" s="2" t="str">
        <f>'Posted Sales Invoice Lines'!F992</f>
        <v>Cs. 8" Italian Hinged 12-6pk</v>
      </c>
      <c r="F992" s="3">
        <f>'Posted Sales Invoice Lines'!G992</f>
        <v>46125</v>
      </c>
      <c r="G992" s="9">
        <f>'Posted Sales Invoice Lines'!L992</f>
        <v>8</v>
      </c>
      <c r="H992" s="8">
        <f>'Posted Sales Invoice Lines'!N992</f>
        <v>39</v>
      </c>
      <c r="I992" s="8">
        <f>'Posted Sales Invoice Lines'!O992</f>
        <v>312</v>
      </c>
    </row>
    <row r="993" spans="1:9" x14ac:dyDescent="0.25">
      <c r="A993" s="2" t="str">
        <f>'Posted Sales Invoice Lines'!A993</f>
        <v>PS-INV203042</v>
      </c>
      <c r="B993" s="2" t="str">
        <f>'Posted Sales Invoice Lines'!B993</f>
        <v>10719-9</v>
      </c>
      <c r="C993" s="2" t="str">
        <f>'Posted Sales Invoice Lines'!C993</f>
        <v>US Foods -Carolinas/Ft.Mill</v>
      </c>
      <c r="D993" s="2" t="str">
        <f>'Posted Sales Invoice Lines'!E993</f>
        <v>F53001</v>
      </c>
      <c r="E993" s="2" t="str">
        <f>'Posted Sales Invoice Lines'!F993</f>
        <v>Cs. 4" Brioche Bun 8-12pk</v>
      </c>
      <c r="F993" s="3">
        <f>'Posted Sales Invoice Lines'!G993</f>
        <v>46125</v>
      </c>
      <c r="G993" s="9">
        <f>'Posted Sales Invoice Lines'!L993</f>
        <v>112</v>
      </c>
      <c r="H993" s="8">
        <f>'Posted Sales Invoice Lines'!N993</f>
        <v>44</v>
      </c>
      <c r="I993" s="8">
        <f>'Posted Sales Invoice Lines'!O993</f>
        <v>4928</v>
      </c>
    </row>
    <row r="994" spans="1:9" x14ac:dyDescent="0.25">
      <c r="A994" s="2" t="str">
        <f>'Posted Sales Invoice Lines'!A994</f>
        <v>PS-INV203042</v>
      </c>
      <c r="B994" s="2" t="str">
        <f>'Posted Sales Invoice Lines'!B994</f>
        <v>10719-9</v>
      </c>
      <c r="C994" s="2" t="str">
        <f>'Posted Sales Invoice Lines'!C994</f>
        <v>US Foods -Carolinas/Ft.Mill</v>
      </c>
      <c r="D994" s="2" t="str">
        <f>'Posted Sales Invoice Lines'!E994</f>
        <v>F53100</v>
      </c>
      <c r="E994" s="2" t="str">
        <f>'Posted Sales Invoice Lines'!F994</f>
        <v>Cs. Hot Dog pl/sl 12-8pk</v>
      </c>
      <c r="F994" s="3">
        <f>'Posted Sales Invoice Lines'!G994</f>
        <v>46125</v>
      </c>
      <c r="G994" s="9">
        <f>'Posted Sales Invoice Lines'!L994</f>
        <v>4</v>
      </c>
      <c r="H994" s="8">
        <f>'Posted Sales Invoice Lines'!N994</f>
        <v>37</v>
      </c>
      <c r="I994" s="8">
        <f>'Posted Sales Invoice Lines'!O994</f>
        <v>148</v>
      </c>
    </row>
    <row r="995" spans="1:9" x14ac:dyDescent="0.25">
      <c r="A995" s="2" t="str">
        <f>'Posted Sales Invoice Lines'!A995</f>
        <v>PS-INV203042</v>
      </c>
      <c r="B995" s="2" t="str">
        <f>'Posted Sales Invoice Lines'!B995</f>
        <v>10719-9</v>
      </c>
      <c r="C995" s="2" t="str">
        <f>'Posted Sales Invoice Lines'!C995</f>
        <v>US Foods -Carolinas/Ft.Mill</v>
      </c>
      <c r="D995" s="2" t="str">
        <f>'Posted Sales Invoice Lines'!E995</f>
        <v>F53003</v>
      </c>
      <c r="E995" s="2" t="str">
        <f>'Posted Sales Invoice Lines'!F995</f>
        <v>Cs. 4" Unseeded Challah Bun 8-12pk</v>
      </c>
      <c r="F995" s="3">
        <f>'Posted Sales Invoice Lines'!G995</f>
        <v>46125</v>
      </c>
      <c r="G995" s="9">
        <f>'Posted Sales Invoice Lines'!L995</f>
        <v>196</v>
      </c>
      <c r="H995" s="8">
        <f>'Posted Sales Invoice Lines'!N995</f>
        <v>39</v>
      </c>
      <c r="I995" s="8">
        <f>'Posted Sales Invoice Lines'!O995</f>
        <v>7644</v>
      </c>
    </row>
    <row r="996" spans="1:9" x14ac:dyDescent="0.25">
      <c r="A996" s="2" t="str">
        <f>'Posted Sales Invoice Lines'!A996</f>
        <v>PS-INV203099</v>
      </c>
      <c r="B996" s="2" t="str">
        <f>'Posted Sales Invoice Lines'!B996</f>
        <v>11394</v>
      </c>
      <c r="C996" s="2" t="str">
        <f>'Posted Sales Invoice Lines'!C996</f>
        <v>La Cosecha Food Service</v>
      </c>
      <c r="D996" s="2" t="str">
        <f>'Posted Sales Invoice Lines'!E996</f>
        <v>F53003</v>
      </c>
      <c r="E996" s="2" t="str">
        <f>'Posted Sales Invoice Lines'!F996</f>
        <v>Cs. 4" Unseeded Challah Bun 8-12pk</v>
      </c>
      <c r="F996" s="3">
        <f>'Posted Sales Invoice Lines'!G996</f>
        <v>46120</v>
      </c>
      <c r="G996" s="9">
        <f>'Posted Sales Invoice Lines'!L996</f>
        <v>25</v>
      </c>
      <c r="H996" s="8">
        <f>'Posted Sales Invoice Lines'!N996</f>
        <v>30.32</v>
      </c>
      <c r="I996" s="8">
        <f>'Posted Sales Invoice Lines'!O996</f>
        <v>758</v>
      </c>
    </row>
    <row r="997" spans="1:9" x14ac:dyDescent="0.25">
      <c r="A997" s="2" t="str">
        <f>'Posted Sales Invoice Lines'!A997</f>
        <v>PS-INV203099</v>
      </c>
      <c r="B997" s="2" t="str">
        <f>'Posted Sales Invoice Lines'!B997</f>
        <v>11394</v>
      </c>
      <c r="C997" s="2" t="str">
        <f>'Posted Sales Invoice Lines'!C997</f>
        <v>La Cosecha Food Service</v>
      </c>
      <c r="D997" s="2" t="str">
        <f>'Posted Sales Invoice Lines'!E997</f>
        <v>F530401</v>
      </c>
      <c r="E997" s="2" t="str">
        <f>'Posted Sales Invoice Lines'!F997</f>
        <v>Cs. 4.5" Sesame 6-12pk</v>
      </c>
      <c r="F997" s="3">
        <f>'Posted Sales Invoice Lines'!G997</f>
        <v>46120</v>
      </c>
      <c r="G997" s="9">
        <f>'Posted Sales Invoice Lines'!L997</f>
        <v>45</v>
      </c>
      <c r="H997" s="8">
        <f>'Posted Sales Invoice Lines'!N997</f>
        <v>34.18</v>
      </c>
      <c r="I997" s="8">
        <f>'Posted Sales Invoice Lines'!O997</f>
        <v>1538.1</v>
      </c>
    </row>
    <row r="998" spans="1:9" x14ac:dyDescent="0.25">
      <c r="A998" s="2" t="str">
        <f>'Posted Sales Invoice Lines'!A998</f>
        <v>PS-INV203099</v>
      </c>
      <c r="B998" s="2" t="str">
        <f>'Posted Sales Invoice Lines'!B998</f>
        <v>11394</v>
      </c>
      <c r="C998" s="2" t="str">
        <f>'Posted Sales Invoice Lines'!C998</f>
        <v>La Cosecha Food Service</v>
      </c>
      <c r="D998" s="2" t="str">
        <f>'Posted Sales Invoice Lines'!E998</f>
        <v>F53127</v>
      </c>
      <c r="E998" s="2" t="str">
        <f>'Posted Sales Invoice Lines'!F998</f>
        <v>Cs. 8" Philly 10-6pks</v>
      </c>
      <c r="F998" s="3">
        <f>'Posted Sales Invoice Lines'!G998</f>
        <v>46120</v>
      </c>
      <c r="G998" s="9">
        <f>'Posted Sales Invoice Lines'!L998</f>
        <v>20</v>
      </c>
      <c r="H998" s="8">
        <f>'Posted Sales Invoice Lines'!N998</f>
        <v>53.2</v>
      </c>
      <c r="I998" s="8">
        <f>'Posted Sales Invoice Lines'!O998</f>
        <v>1064</v>
      </c>
    </row>
    <row r="999" spans="1:9" x14ac:dyDescent="0.25">
      <c r="A999" s="2" t="str">
        <f>'Posted Sales Invoice Lines'!A999</f>
        <v>PS-INV203187</v>
      </c>
      <c r="B999" s="2" t="str">
        <f>'Posted Sales Invoice Lines'!B999</f>
        <v>10500-2</v>
      </c>
      <c r="C999" s="2" t="str">
        <f>'Posted Sales Invoice Lines'!C999</f>
        <v>Mercedes Benz Stadium</v>
      </c>
      <c r="D999" s="2" t="str">
        <f>'Posted Sales Invoice Lines'!E999</f>
        <v>F56251</v>
      </c>
      <c r="E999" s="2" t="str">
        <f>'Posted Sales Invoice Lines'!F999</f>
        <v>Cs. Challah Sliders Sliced 18-12pks</v>
      </c>
      <c r="F999" s="3">
        <f>'Posted Sales Invoice Lines'!G999</f>
        <v>46106</v>
      </c>
      <c r="G999" s="9">
        <f>'Posted Sales Invoice Lines'!L999</f>
        <v>0</v>
      </c>
      <c r="H999" s="8">
        <f>'Posted Sales Invoice Lines'!N999</f>
        <v>0</v>
      </c>
      <c r="I999" s="8">
        <f>'Posted Sales Invoice Lines'!O999</f>
        <v>0</v>
      </c>
    </row>
    <row r="1000" spans="1:9" x14ac:dyDescent="0.25">
      <c r="A1000" s="2" t="str">
        <f>'Posted Sales Invoice Lines'!A1000</f>
        <v>PS-INV203204</v>
      </c>
      <c r="B1000" s="2" t="str">
        <f>'Posted Sales Invoice Lines'!B1000</f>
        <v>13128</v>
      </c>
      <c r="C1000" s="2" t="str">
        <f>'Posted Sales Invoice Lines'!C1000</f>
        <v>Gordon Food Service - Shepherdsville</v>
      </c>
      <c r="D1000" s="2" t="str">
        <f>'Posted Sales Invoice Lines'!E1000</f>
        <v>F53001</v>
      </c>
      <c r="E1000" s="2" t="str">
        <f>'Posted Sales Invoice Lines'!F1000</f>
        <v>Cs. 4" Brioche Bun 8-12pk</v>
      </c>
      <c r="F1000" s="3">
        <f>'Posted Sales Invoice Lines'!G1000</f>
        <v>46119</v>
      </c>
      <c r="G1000" s="9">
        <f>'Posted Sales Invoice Lines'!L1000</f>
        <v>224</v>
      </c>
      <c r="H1000" s="8">
        <f>'Posted Sales Invoice Lines'!N1000</f>
        <v>36.82</v>
      </c>
      <c r="I1000" s="8">
        <f>'Posted Sales Invoice Lines'!O1000</f>
        <v>8247.68</v>
      </c>
    </row>
    <row r="1001" spans="1:9" x14ac:dyDescent="0.25">
      <c r="A1001" s="2" t="str">
        <f>'Posted Sales Invoice Lines'!A1001</f>
        <v>PS-INV203204</v>
      </c>
      <c r="B1001" s="2" t="str">
        <f>'Posted Sales Invoice Lines'!B1001</f>
        <v>13128</v>
      </c>
      <c r="C1001" s="2" t="str">
        <f>'Posted Sales Invoice Lines'!C1001</f>
        <v>Gordon Food Service - Shepherdsville</v>
      </c>
      <c r="D1001" s="2" t="str">
        <f>'Posted Sales Invoice Lines'!E1001</f>
        <v>F51114</v>
      </c>
      <c r="E1001" s="2" t="str">
        <f>'Posted Sales Invoice Lines'!F1001</f>
        <v>Cs. Old Fashioned Hearth 5/8" 8lvs</v>
      </c>
      <c r="F1001" s="3">
        <f>'Posted Sales Invoice Lines'!G1001</f>
        <v>46119</v>
      </c>
      <c r="G1001" s="9">
        <f>'Posted Sales Invoice Lines'!L1001</f>
        <v>80</v>
      </c>
      <c r="H1001" s="8">
        <f>'Posted Sales Invoice Lines'!N1001</f>
        <v>39.700000000000003</v>
      </c>
      <c r="I1001" s="8">
        <f>'Posted Sales Invoice Lines'!O1001</f>
        <v>3176</v>
      </c>
    </row>
    <row r="1002" spans="1:9" x14ac:dyDescent="0.25">
      <c r="A1002" s="2" t="str">
        <f>'Posted Sales Invoice Lines'!A1002</f>
        <v>PS-INV203204</v>
      </c>
      <c r="B1002" s="2" t="str">
        <f>'Posted Sales Invoice Lines'!B1002</f>
        <v>13128</v>
      </c>
      <c r="C1002" s="2" t="str">
        <f>'Posted Sales Invoice Lines'!C1002</f>
        <v>Gordon Food Service - Shepherdsville</v>
      </c>
      <c r="D1002" s="2" t="str">
        <f>'Posted Sales Invoice Lines'!E1002</f>
        <v>F56251</v>
      </c>
      <c r="E1002" s="2" t="str">
        <f>'Posted Sales Invoice Lines'!F1002</f>
        <v>Cs. Challah Sliders Sliced 18-12pks</v>
      </c>
      <c r="F1002" s="3">
        <f>'Posted Sales Invoice Lines'!G1002</f>
        <v>46119</v>
      </c>
      <c r="G1002" s="9">
        <f>'Posted Sales Invoice Lines'!L1002</f>
        <v>544</v>
      </c>
      <c r="H1002" s="8">
        <f>'Posted Sales Invoice Lines'!N1002</f>
        <v>39.700000000000003</v>
      </c>
      <c r="I1002" s="8">
        <f>'Posted Sales Invoice Lines'!O1002</f>
        <v>21596.799999999999</v>
      </c>
    </row>
    <row r="1003" spans="1:9" x14ac:dyDescent="0.25">
      <c r="A1003" s="2" t="str">
        <f>'Posted Sales Invoice Lines'!A1003</f>
        <v>PS-INV203216</v>
      </c>
      <c r="B1003" s="2" t="str">
        <f>'Posted Sales Invoice Lines'!B1003</f>
        <v>10511</v>
      </c>
      <c r="C1003" s="2" t="str">
        <f>'Posted Sales Invoice Lines'!C1003</f>
        <v>Sysco Nashville, LLC</v>
      </c>
      <c r="D1003" s="2" t="str">
        <f>'Posted Sales Invoice Lines'!E1003</f>
        <v>F53072</v>
      </c>
      <c r="E1003" s="2" t="str">
        <f>'Posted Sales Invoice Lines'!F1003</f>
        <v>Cs. 5" Challah Bun 8-8pk</v>
      </c>
      <c r="F1003" s="3">
        <f>'Posted Sales Invoice Lines'!G1003</f>
        <v>46119</v>
      </c>
      <c r="G1003" s="9">
        <f>'Posted Sales Invoice Lines'!L1003</f>
        <v>64</v>
      </c>
      <c r="H1003" s="8">
        <f>'Posted Sales Invoice Lines'!N1003</f>
        <v>37.049999999999997</v>
      </c>
      <c r="I1003" s="8">
        <f>'Posted Sales Invoice Lines'!O1003</f>
        <v>2371.1999999999998</v>
      </c>
    </row>
    <row r="1004" spans="1:9" x14ac:dyDescent="0.25">
      <c r="A1004" s="2" t="str">
        <f>'Posted Sales Invoice Lines'!A1004</f>
        <v>PS-INV203216</v>
      </c>
      <c r="B1004" s="2" t="str">
        <f>'Posted Sales Invoice Lines'!B1004</f>
        <v>10511</v>
      </c>
      <c r="C1004" s="2" t="str">
        <f>'Posted Sales Invoice Lines'!C1004</f>
        <v>Sysco Nashville, LLC</v>
      </c>
      <c r="D1004" s="2" t="str">
        <f>'Posted Sales Invoice Lines'!E1004</f>
        <v>F51200</v>
      </c>
      <c r="E1004" s="2" t="str">
        <f>'Posted Sales Invoice Lines'!F1004</f>
        <v>Cs. Jalapeno Corn Hearth 5/8" 8lvs</v>
      </c>
      <c r="F1004" s="3">
        <f>'Posted Sales Invoice Lines'!G1004</f>
        <v>46119</v>
      </c>
      <c r="G1004" s="9">
        <f>'Posted Sales Invoice Lines'!L1004</f>
        <v>48</v>
      </c>
      <c r="H1004" s="8">
        <f>'Posted Sales Invoice Lines'!N1004</f>
        <v>60.07</v>
      </c>
      <c r="I1004" s="8">
        <f>'Posted Sales Invoice Lines'!O1004</f>
        <v>2883.36</v>
      </c>
    </row>
    <row r="1005" spans="1:9" x14ac:dyDescent="0.25">
      <c r="A1005" s="2" t="str">
        <f>'Posted Sales Invoice Lines'!A1005</f>
        <v>PS-INV203216</v>
      </c>
      <c r="B1005" s="2" t="str">
        <f>'Posted Sales Invoice Lines'!B1005</f>
        <v>10511</v>
      </c>
      <c r="C1005" s="2" t="str">
        <f>'Posted Sales Invoice Lines'!C1005</f>
        <v>Sysco Nashville, LLC</v>
      </c>
      <c r="D1005" s="2" t="str">
        <f>'Posted Sales Invoice Lines'!E1005</f>
        <v>F51414</v>
      </c>
      <c r="E1005" s="2" t="str">
        <f>'Posted Sales Invoice Lines'!F1005</f>
        <v>Cs. Cranberry 9 Grain Hearth 5/8" 8lvs</v>
      </c>
      <c r="F1005" s="3">
        <f>'Posted Sales Invoice Lines'!G1005</f>
        <v>46119</v>
      </c>
      <c r="G1005" s="9">
        <f>'Posted Sales Invoice Lines'!L1005</f>
        <v>56</v>
      </c>
      <c r="H1005" s="8">
        <f>'Posted Sales Invoice Lines'!N1005</f>
        <v>64</v>
      </c>
      <c r="I1005" s="8">
        <f>'Posted Sales Invoice Lines'!O1005</f>
        <v>3584</v>
      </c>
    </row>
    <row r="1006" spans="1:9" x14ac:dyDescent="0.25">
      <c r="A1006" s="2" t="str">
        <f>'Posted Sales Invoice Lines'!A1006</f>
        <v>PS-INV203216</v>
      </c>
      <c r="B1006" s="2" t="str">
        <f>'Posted Sales Invoice Lines'!B1006</f>
        <v>10511</v>
      </c>
      <c r="C1006" s="2" t="str">
        <f>'Posted Sales Invoice Lines'!C1006</f>
        <v>Sysco Nashville, LLC</v>
      </c>
      <c r="D1006" s="2" t="str">
        <f>'Posted Sales Invoice Lines'!E1006</f>
        <v>F53001</v>
      </c>
      <c r="E1006" s="2" t="str">
        <f>'Posted Sales Invoice Lines'!F1006</f>
        <v>Cs. 4" Brioche Bun 8-12pk</v>
      </c>
      <c r="F1006" s="3">
        <f>'Posted Sales Invoice Lines'!G1006</f>
        <v>46119</v>
      </c>
      <c r="G1006" s="9">
        <f>'Posted Sales Invoice Lines'!L1006</f>
        <v>216</v>
      </c>
      <c r="H1006" s="8">
        <f>'Posted Sales Invoice Lines'!N1006</f>
        <v>46.1</v>
      </c>
      <c r="I1006" s="8">
        <f>'Posted Sales Invoice Lines'!O1006</f>
        <v>9957.6</v>
      </c>
    </row>
    <row r="1007" spans="1:9" x14ac:dyDescent="0.25">
      <c r="A1007" s="2" t="str">
        <f>'Posted Sales Invoice Lines'!A1007</f>
        <v>PS-INV203216</v>
      </c>
      <c r="B1007" s="2" t="str">
        <f>'Posted Sales Invoice Lines'!B1007</f>
        <v>10511</v>
      </c>
      <c r="C1007" s="2" t="str">
        <f>'Posted Sales Invoice Lines'!C1007</f>
        <v>Sysco Nashville, LLC</v>
      </c>
      <c r="D1007" s="2" t="str">
        <f>'Posted Sales Invoice Lines'!E1007</f>
        <v>F530491</v>
      </c>
      <c r="E1007" s="2" t="str">
        <f>'Posted Sales Invoice Lines'!F1007</f>
        <v>Cs. 4.5 Brioche Bun 6-12pk</v>
      </c>
      <c r="F1007" s="3">
        <f>'Posted Sales Invoice Lines'!G1007</f>
        <v>46119</v>
      </c>
      <c r="G1007" s="9">
        <f>'Posted Sales Invoice Lines'!L1007</f>
        <v>28</v>
      </c>
      <c r="H1007" s="8">
        <f>'Posted Sales Invoice Lines'!N1007</f>
        <v>36.35</v>
      </c>
      <c r="I1007" s="8">
        <f>'Posted Sales Invoice Lines'!O1007</f>
        <v>1017.8</v>
      </c>
    </row>
    <row r="1008" spans="1:9" x14ac:dyDescent="0.25">
      <c r="A1008" s="2" t="str">
        <f>'Posted Sales Invoice Lines'!A1008</f>
        <v>PS-INV203216</v>
      </c>
      <c r="B1008" s="2" t="str">
        <f>'Posted Sales Invoice Lines'!B1008</f>
        <v>10511</v>
      </c>
      <c r="C1008" s="2" t="str">
        <f>'Posted Sales Invoice Lines'!C1008</f>
        <v>Sysco Nashville, LLC</v>
      </c>
      <c r="D1008" s="2" t="str">
        <f>'Posted Sales Invoice Lines'!E1008</f>
        <v>F53116</v>
      </c>
      <c r="E1008" s="2" t="str">
        <f>'Posted Sales Invoice Lines'!F1008</f>
        <v>Cs. 7" French Hinged 12</v>
      </c>
      <c r="F1008" s="3">
        <f>'Posted Sales Invoice Lines'!G1008</f>
        <v>46119</v>
      </c>
      <c r="G1008" s="9">
        <f>'Posted Sales Invoice Lines'!L1008</f>
        <v>64</v>
      </c>
      <c r="H1008" s="8">
        <f>'Posted Sales Invoice Lines'!N1008</f>
        <v>38</v>
      </c>
      <c r="I1008" s="8">
        <f>'Posted Sales Invoice Lines'!O1008</f>
        <v>2432</v>
      </c>
    </row>
    <row r="1009" spans="1:9" x14ac:dyDescent="0.25">
      <c r="A1009" s="2" t="str">
        <f>'Posted Sales Invoice Lines'!A1009</f>
        <v>PS-INV203216</v>
      </c>
      <c r="B1009" s="2" t="str">
        <f>'Posted Sales Invoice Lines'!B1009</f>
        <v>10511</v>
      </c>
      <c r="C1009" s="2" t="str">
        <f>'Posted Sales Invoice Lines'!C1009</f>
        <v>Sysco Nashville, LLC</v>
      </c>
      <c r="D1009" s="2" t="str">
        <f>'Posted Sales Invoice Lines'!E1009</f>
        <v>F53128</v>
      </c>
      <c r="E1009" s="2" t="str">
        <f>'Posted Sales Invoice Lines'!F1009</f>
        <v>Cs. 8" Philly Unsliced 10-6pk</v>
      </c>
      <c r="F1009" s="3">
        <f>'Posted Sales Invoice Lines'!G1009</f>
        <v>46119</v>
      </c>
      <c r="G1009" s="9">
        <f>'Posted Sales Invoice Lines'!L1009</f>
        <v>140</v>
      </c>
      <c r="H1009" s="8">
        <f>'Posted Sales Invoice Lines'!N1009</f>
        <v>45</v>
      </c>
      <c r="I1009" s="8">
        <f>'Posted Sales Invoice Lines'!O1009</f>
        <v>6300</v>
      </c>
    </row>
    <row r="1010" spans="1:9" x14ac:dyDescent="0.25">
      <c r="A1010" s="2" t="str">
        <f>'Posted Sales Invoice Lines'!A1010</f>
        <v>PS-INV203221</v>
      </c>
      <c r="B1010" s="2" t="str">
        <f>'Posted Sales Invoice Lines'!B1010</f>
        <v>12358</v>
      </c>
      <c r="C1010" s="2" t="str">
        <f>'Posted Sales Invoice Lines'!C1010</f>
        <v>PFG Powell GA</v>
      </c>
      <c r="D1010" s="2" t="str">
        <f>'Posted Sales Invoice Lines'!E1010</f>
        <v>F51024</v>
      </c>
      <c r="E1010" s="2" t="str">
        <f>'Posted Sales Invoice Lines'!F1010</f>
        <v>Cs. Marble Rye 5/8" 8lvs</v>
      </c>
      <c r="F1010" s="3">
        <f>'Posted Sales Invoice Lines'!G1010</f>
        <v>46118</v>
      </c>
      <c r="G1010" s="9">
        <f>'Posted Sales Invoice Lines'!L1010</f>
        <v>12</v>
      </c>
      <c r="H1010" s="8">
        <f>'Posted Sales Invoice Lines'!N1010</f>
        <v>45</v>
      </c>
      <c r="I1010" s="8">
        <f>'Posted Sales Invoice Lines'!O1010</f>
        <v>540</v>
      </c>
    </row>
    <row r="1011" spans="1:9" x14ac:dyDescent="0.25">
      <c r="A1011" s="2" t="str">
        <f>'Posted Sales Invoice Lines'!A1011</f>
        <v>PS-INV203221</v>
      </c>
      <c r="B1011" s="2" t="str">
        <f>'Posted Sales Invoice Lines'!B1011</f>
        <v>12358</v>
      </c>
      <c r="C1011" s="2" t="str">
        <f>'Posted Sales Invoice Lines'!C1011</f>
        <v>PFG Powell GA</v>
      </c>
      <c r="D1011" s="2" t="str">
        <f>'Posted Sales Invoice Lines'!E1011</f>
        <v>F53001</v>
      </c>
      <c r="E1011" s="2" t="str">
        <f>'Posted Sales Invoice Lines'!F1011</f>
        <v>Cs. 4" Brioche Bun 8-12pk</v>
      </c>
      <c r="F1011" s="3">
        <f>'Posted Sales Invoice Lines'!G1011</f>
        <v>46118</v>
      </c>
      <c r="G1011" s="9">
        <f>'Posted Sales Invoice Lines'!L1011</f>
        <v>48</v>
      </c>
      <c r="H1011" s="8">
        <f>'Posted Sales Invoice Lines'!N1011</f>
        <v>42.6</v>
      </c>
      <c r="I1011" s="8">
        <f>'Posted Sales Invoice Lines'!O1011</f>
        <v>2044.8</v>
      </c>
    </row>
    <row r="1012" spans="1:9" x14ac:dyDescent="0.25">
      <c r="A1012" s="2" t="str">
        <f>'Posted Sales Invoice Lines'!A1012</f>
        <v>PS-INV203221</v>
      </c>
      <c r="B1012" s="2" t="str">
        <f>'Posted Sales Invoice Lines'!B1012</f>
        <v>12358</v>
      </c>
      <c r="C1012" s="2" t="str">
        <f>'Posted Sales Invoice Lines'!C1012</f>
        <v>PFG Powell GA</v>
      </c>
      <c r="D1012" s="2" t="str">
        <f>'Posted Sales Invoice Lines'!E1012</f>
        <v>F53003</v>
      </c>
      <c r="E1012" s="2" t="str">
        <f>'Posted Sales Invoice Lines'!F1012</f>
        <v>Cs. 4" Unseeded Challah Bun 8-12pk</v>
      </c>
      <c r="F1012" s="3">
        <f>'Posted Sales Invoice Lines'!G1012</f>
        <v>46118</v>
      </c>
      <c r="G1012" s="9">
        <f>'Posted Sales Invoice Lines'!L1012</f>
        <v>160</v>
      </c>
      <c r="H1012" s="8">
        <f>'Posted Sales Invoice Lines'!N1012</f>
        <v>40</v>
      </c>
      <c r="I1012" s="8">
        <f>'Posted Sales Invoice Lines'!O1012</f>
        <v>6400</v>
      </c>
    </row>
    <row r="1013" spans="1:9" x14ac:dyDescent="0.25">
      <c r="A1013" s="2" t="str">
        <f>'Posted Sales Invoice Lines'!A1013</f>
        <v>PS-INV203452</v>
      </c>
      <c r="B1013" s="2" t="str">
        <f>'Posted Sales Invoice Lines'!B1013</f>
        <v>10719-6</v>
      </c>
      <c r="C1013" s="2" t="str">
        <f>'Posted Sales Invoice Lines'!C1013</f>
        <v>US Foods - Alcoa TN.</v>
      </c>
      <c r="D1013" s="2" t="str">
        <f>'Posted Sales Invoice Lines'!E1013</f>
        <v>F530491</v>
      </c>
      <c r="E1013" s="2" t="str">
        <f>'Posted Sales Invoice Lines'!F1013</f>
        <v>Cs. 4.5 Brioche Bun 6-12pk</v>
      </c>
      <c r="F1013" s="3">
        <f>'Posted Sales Invoice Lines'!G1013</f>
        <v>46126</v>
      </c>
      <c r="G1013" s="9">
        <f>'Posted Sales Invoice Lines'!L1013</f>
        <v>16</v>
      </c>
      <c r="H1013" s="8">
        <f>'Posted Sales Invoice Lines'!N1013</f>
        <v>40</v>
      </c>
      <c r="I1013" s="8">
        <f>'Posted Sales Invoice Lines'!O1013</f>
        <v>640</v>
      </c>
    </row>
    <row r="1014" spans="1:9" x14ac:dyDescent="0.25">
      <c r="A1014" s="2" t="str">
        <f>'Posted Sales Invoice Lines'!A1014</f>
        <v>PS-INV203452</v>
      </c>
      <c r="B1014" s="2" t="str">
        <f>'Posted Sales Invoice Lines'!B1014</f>
        <v>10719-6</v>
      </c>
      <c r="C1014" s="2" t="str">
        <f>'Posted Sales Invoice Lines'!C1014</f>
        <v>US Foods - Alcoa TN.</v>
      </c>
      <c r="D1014" s="2" t="str">
        <f>'Posted Sales Invoice Lines'!E1014</f>
        <v>F52540</v>
      </c>
      <c r="E1014" s="2" t="str">
        <f>'Posted Sales Invoice Lines'!F1014</f>
        <v>Cs. Sour Dough Batard 1/2" 8lvs</v>
      </c>
      <c r="F1014" s="3">
        <f>'Posted Sales Invoice Lines'!G1014</f>
        <v>46126</v>
      </c>
      <c r="G1014" s="9">
        <f>'Posted Sales Invoice Lines'!L1014</f>
        <v>8</v>
      </c>
      <c r="H1014" s="8">
        <f>'Posted Sales Invoice Lines'!N1014</f>
        <v>56</v>
      </c>
      <c r="I1014" s="8">
        <f>'Posted Sales Invoice Lines'!O1014</f>
        <v>448</v>
      </c>
    </row>
    <row r="1015" spans="1:9" x14ac:dyDescent="0.25">
      <c r="A1015" s="2" t="str">
        <f>'Posted Sales Invoice Lines'!A1015</f>
        <v>PS-INV203452</v>
      </c>
      <c r="B1015" s="2" t="str">
        <f>'Posted Sales Invoice Lines'!B1015</f>
        <v>10719-6</v>
      </c>
      <c r="C1015" s="2" t="str">
        <f>'Posted Sales Invoice Lines'!C1015</f>
        <v>US Foods - Alcoa TN.</v>
      </c>
      <c r="D1015" s="2" t="str">
        <f>'Posted Sales Invoice Lines'!E1015</f>
        <v>F51136</v>
      </c>
      <c r="E1015" s="2" t="str">
        <f>'Posted Sales Invoice Lines'!F1015</f>
        <v>Cs. Texas Toast 1" 12lvs</v>
      </c>
      <c r="F1015" s="3">
        <f>'Posted Sales Invoice Lines'!G1015</f>
        <v>46126</v>
      </c>
      <c r="G1015" s="9">
        <f>'Posted Sales Invoice Lines'!L1015</f>
        <v>32</v>
      </c>
      <c r="H1015" s="8">
        <f>'Posted Sales Invoice Lines'!N1015</f>
        <v>40.119999999999997</v>
      </c>
      <c r="I1015" s="8">
        <f>'Posted Sales Invoice Lines'!O1015</f>
        <v>1283.8399999999999</v>
      </c>
    </row>
    <row r="1016" spans="1:9" x14ac:dyDescent="0.25">
      <c r="A1016" s="2" t="str">
        <f>'Posted Sales Invoice Lines'!A1016</f>
        <v>PS-INV203452</v>
      </c>
      <c r="B1016" s="2" t="str">
        <f>'Posted Sales Invoice Lines'!B1016</f>
        <v>10719-6</v>
      </c>
      <c r="C1016" s="2" t="str">
        <f>'Posted Sales Invoice Lines'!C1016</f>
        <v>US Foods - Alcoa TN.</v>
      </c>
      <c r="D1016" s="2" t="str">
        <f>'Posted Sales Invoice Lines'!E1016</f>
        <v>F51004</v>
      </c>
      <c r="E1016" s="2" t="str">
        <f>'Posted Sales Invoice Lines'!F1016</f>
        <v>Cs. Rye 5/8" 8lvs</v>
      </c>
      <c r="F1016" s="3">
        <f>'Posted Sales Invoice Lines'!G1016</f>
        <v>46126</v>
      </c>
      <c r="G1016" s="9">
        <f>'Posted Sales Invoice Lines'!L1016</f>
        <v>12</v>
      </c>
      <c r="H1016" s="8">
        <f>'Posted Sales Invoice Lines'!N1016</f>
        <v>42.03</v>
      </c>
      <c r="I1016" s="8">
        <f>'Posted Sales Invoice Lines'!O1016</f>
        <v>504.36</v>
      </c>
    </row>
    <row r="1017" spans="1:9" x14ac:dyDescent="0.25">
      <c r="A1017" s="2" t="str">
        <f>'Posted Sales Invoice Lines'!A1017</f>
        <v>PS-INV203452</v>
      </c>
      <c r="B1017" s="2" t="str">
        <f>'Posted Sales Invoice Lines'!B1017</f>
        <v>10719-6</v>
      </c>
      <c r="C1017" s="2" t="str">
        <f>'Posted Sales Invoice Lines'!C1017</f>
        <v>US Foods - Alcoa TN.</v>
      </c>
      <c r="D1017" s="2" t="str">
        <f>'Posted Sales Invoice Lines'!E1017</f>
        <v>F53025</v>
      </c>
      <c r="E1017" s="2" t="str">
        <f>'Posted Sales Invoice Lines'!F1017</f>
        <v>Cs. Sesame Challah Kaiser 8-12pk</v>
      </c>
      <c r="F1017" s="3">
        <f>'Posted Sales Invoice Lines'!G1017</f>
        <v>46126</v>
      </c>
      <c r="G1017" s="9">
        <f>'Posted Sales Invoice Lines'!L1017</f>
        <v>212</v>
      </c>
      <c r="H1017" s="8">
        <f>'Posted Sales Invoice Lines'!N1017</f>
        <v>39</v>
      </c>
      <c r="I1017" s="8">
        <f>'Posted Sales Invoice Lines'!O1017</f>
        <v>8268</v>
      </c>
    </row>
    <row r="1018" spans="1:9" x14ac:dyDescent="0.25">
      <c r="A1018" s="2" t="str">
        <f>'Posted Sales Invoice Lines'!A1018</f>
        <v>PS-INV203452</v>
      </c>
      <c r="B1018" s="2" t="str">
        <f>'Posted Sales Invoice Lines'!B1018</f>
        <v>10719-6</v>
      </c>
      <c r="C1018" s="2" t="str">
        <f>'Posted Sales Invoice Lines'!C1018</f>
        <v>US Foods - Alcoa TN.</v>
      </c>
      <c r="D1018" s="2" t="str">
        <f>'Posted Sales Invoice Lines'!E1018</f>
        <v>F53087</v>
      </c>
      <c r="E1018" s="2" t="str">
        <f>'Posted Sales Invoice Lines'!F1018</f>
        <v>Cs. 3.5" Challah Bun 8-12 pk</v>
      </c>
      <c r="F1018" s="3">
        <f>'Posted Sales Invoice Lines'!G1018</f>
        <v>46126</v>
      </c>
      <c r="G1018" s="9">
        <f>'Posted Sales Invoice Lines'!L1018</f>
        <v>28</v>
      </c>
      <c r="H1018" s="8">
        <f>'Posted Sales Invoice Lines'!N1018</f>
        <v>36.24</v>
      </c>
      <c r="I1018" s="8">
        <f>'Posted Sales Invoice Lines'!O1018</f>
        <v>1014.72</v>
      </c>
    </row>
    <row r="1019" spans="1:9" x14ac:dyDescent="0.25">
      <c r="A1019" s="2" t="str">
        <f>'Posted Sales Invoice Lines'!A1019</f>
        <v>PS-INV203452</v>
      </c>
      <c r="B1019" s="2" t="str">
        <f>'Posted Sales Invoice Lines'!B1019</f>
        <v>10719-6</v>
      </c>
      <c r="C1019" s="2" t="str">
        <f>'Posted Sales Invoice Lines'!C1019</f>
        <v>US Foods - Alcoa TN.</v>
      </c>
      <c r="D1019" s="2" t="str">
        <f>'Posted Sales Invoice Lines'!E1019</f>
        <v>F56251</v>
      </c>
      <c r="E1019" s="2" t="str">
        <f>'Posted Sales Invoice Lines'!F1019</f>
        <v>Cs. Challah Sliders Sliced 18-12pks</v>
      </c>
      <c r="F1019" s="3">
        <f>'Posted Sales Invoice Lines'!G1019</f>
        <v>46126</v>
      </c>
      <c r="G1019" s="9">
        <f>'Posted Sales Invoice Lines'!L1019</f>
        <v>28</v>
      </c>
      <c r="H1019" s="8">
        <f>'Posted Sales Invoice Lines'!N1019</f>
        <v>41.5</v>
      </c>
      <c r="I1019" s="8">
        <f>'Posted Sales Invoice Lines'!O1019</f>
        <v>1162</v>
      </c>
    </row>
    <row r="1020" spans="1:9" x14ac:dyDescent="0.25">
      <c r="A1020" s="2" t="str">
        <f>'Posted Sales Invoice Lines'!A1020</f>
        <v>PS-INV203452</v>
      </c>
      <c r="B1020" s="2" t="str">
        <f>'Posted Sales Invoice Lines'!B1020</f>
        <v>10719-6</v>
      </c>
      <c r="C1020" s="2" t="str">
        <f>'Posted Sales Invoice Lines'!C1020</f>
        <v>US Foods - Alcoa TN.</v>
      </c>
      <c r="D1020" s="2" t="str">
        <f>'Posted Sales Invoice Lines'!E1020</f>
        <v>F51066</v>
      </c>
      <c r="E1020" s="2" t="str">
        <f>'Posted Sales Invoice Lines'!F1020</f>
        <v>Cs. Honey Wheat 3/4" 8lvs</v>
      </c>
      <c r="F1020" s="3">
        <f>'Posted Sales Invoice Lines'!G1020</f>
        <v>46126</v>
      </c>
      <c r="G1020" s="9">
        <f>'Posted Sales Invoice Lines'!L1020</f>
        <v>20</v>
      </c>
      <c r="H1020" s="8">
        <f>'Posted Sales Invoice Lines'!N1020</f>
        <v>35.21</v>
      </c>
      <c r="I1020" s="8">
        <f>'Posted Sales Invoice Lines'!O1020</f>
        <v>704.2</v>
      </c>
    </row>
    <row r="1021" spans="1:9" x14ac:dyDescent="0.25">
      <c r="A1021" s="2" t="str">
        <f>'Posted Sales Invoice Lines'!A1021</f>
        <v>PS-INV203452</v>
      </c>
      <c r="B1021" s="2" t="str">
        <f>'Posted Sales Invoice Lines'!B1021</f>
        <v>10719-6</v>
      </c>
      <c r="C1021" s="2" t="str">
        <f>'Posted Sales Invoice Lines'!C1021</f>
        <v>US Foods - Alcoa TN.</v>
      </c>
      <c r="D1021" s="2" t="str">
        <f>'Posted Sales Invoice Lines'!E1021</f>
        <v>F53001</v>
      </c>
      <c r="E1021" s="2" t="str">
        <f>'Posted Sales Invoice Lines'!F1021</f>
        <v>Cs. 4" Brioche Bun 8-12pk</v>
      </c>
      <c r="F1021" s="3">
        <f>'Posted Sales Invoice Lines'!G1021</f>
        <v>46126</v>
      </c>
      <c r="G1021" s="9">
        <f>'Posted Sales Invoice Lines'!L1021</f>
        <v>196</v>
      </c>
      <c r="H1021" s="8">
        <f>'Posted Sales Invoice Lines'!N1021</f>
        <v>45.49</v>
      </c>
      <c r="I1021" s="8">
        <f>'Posted Sales Invoice Lines'!O1021</f>
        <v>8916.0400000000009</v>
      </c>
    </row>
    <row r="1022" spans="1:9" x14ac:dyDescent="0.25">
      <c r="A1022" s="2" t="str">
        <f>'Posted Sales Invoice Lines'!A1022</f>
        <v>PS-INV203452</v>
      </c>
      <c r="B1022" s="2" t="str">
        <f>'Posted Sales Invoice Lines'!B1022</f>
        <v>10719-6</v>
      </c>
      <c r="C1022" s="2" t="str">
        <f>'Posted Sales Invoice Lines'!C1022</f>
        <v>US Foods - Alcoa TN.</v>
      </c>
      <c r="D1022" s="2" t="str">
        <f>'Posted Sales Invoice Lines'!E1022</f>
        <v>F530501</v>
      </c>
      <c r="E1022" s="2" t="str">
        <f>'Posted Sales Invoice Lines'!F1022</f>
        <v>Cs. 4.5" Challah Kaiser 6-12pk</v>
      </c>
      <c r="F1022" s="3">
        <f>'Posted Sales Invoice Lines'!G1022</f>
        <v>46126</v>
      </c>
      <c r="G1022" s="9">
        <f>'Posted Sales Invoice Lines'!L1022</f>
        <v>12</v>
      </c>
      <c r="H1022" s="8">
        <f>'Posted Sales Invoice Lines'!N1022</f>
        <v>37.020000000000003</v>
      </c>
      <c r="I1022" s="8">
        <f>'Posted Sales Invoice Lines'!O1022</f>
        <v>444.24</v>
      </c>
    </row>
    <row r="1023" spans="1:9" x14ac:dyDescent="0.25">
      <c r="A1023" s="2" t="str">
        <f>'Posted Sales Invoice Lines'!A1023</f>
        <v>PS-INV203452</v>
      </c>
      <c r="B1023" s="2" t="str">
        <f>'Posted Sales Invoice Lines'!B1023</f>
        <v>10719-6</v>
      </c>
      <c r="C1023" s="2" t="str">
        <f>'Posted Sales Invoice Lines'!C1023</f>
        <v>US Foods - Alcoa TN.</v>
      </c>
      <c r="D1023" s="2" t="str">
        <f>'Posted Sales Invoice Lines'!E1023</f>
        <v>F51084</v>
      </c>
      <c r="E1023" s="2" t="str">
        <f>'Posted Sales Invoice Lines'!F1023</f>
        <v>Cs. Wheatberry Hearth</v>
      </c>
      <c r="F1023" s="3">
        <f>'Posted Sales Invoice Lines'!G1023</f>
        <v>46126</v>
      </c>
      <c r="G1023" s="9">
        <f>'Posted Sales Invoice Lines'!L1023</f>
        <v>4</v>
      </c>
      <c r="H1023" s="8">
        <f>'Posted Sales Invoice Lines'!N1023</f>
        <v>52.47</v>
      </c>
      <c r="I1023" s="8">
        <f>'Posted Sales Invoice Lines'!O1023</f>
        <v>209.88</v>
      </c>
    </row>
    <row r="1024" spans="1:9" x14ac:dyDescent="0.25">
      <c r="A1024" s="2" t="str">
        <f>'Posted Sales Invoice Lines'!A1024</f>
        <v>PS-INV203452</v>
      </c>
      <c r="B1024" s="2" t="str">
        <f>'Posted Sales Invoice Lines'!B1024</f>
        <v>10719-6</v>
      </c>
      <c r="C1024" s="2" t="str">
        <f>'Posted Sales Invoice Lines'!C1024</f>
        <v>US Foods - Alcoa TN.</v>
      </c>
      <c r="D1024" s="2" t="str">
        <f>'Posted Sales Invoice Lines'!E1024</f>
        <v>F51024</v>
      </c>
      <c r="E1024" s="2" t="str">
        <f>'Posted Sales Invoice Lines'!F1024</f>
        <v>Cs. Marble Rye 5/8" 8lvs</v>
      </c>
      <c r="F1024" s="3">
        <f>'Posted Sales Invoice Lines'!G1024</f>
        <v>46126</v>
      </c>
      <c r="G1024" s="9">
        <f>'Posted Sales Invoice Lines'!L1024</f>
        <v>12</v>
      </c>
      <c r="H1024" s="8">
        <f>'Posted Sales Invoice Lines'!N1024</f>
        <v>54</v>
      </c>
      <c r="I1024" s="8">
        <f>'Posted Sales Invoice Lines'!O1024</f>
        <v>648</v>
      </c>
    </row>
    <row r="1025" spans="1:9" x14ac:dyDescent="0.25">
      <c r="A1025" s="2" t="str">
        <f>'Posted Sales Invoice Lines'!A1025</f>
        <v>PS-INV203452</v>
      </c>
      <c r="B1025" s="2" t="str">
        <f>'Posted Sales Invoice Lines'!B1025</f>
        <v>10719-6</v>
      </c>
      <c r="C1025" s="2" t="str">
        <f>'Posted Sales Invoice Lines'!C1025</f>
        <v>US Foods - Alcoa TN.</v>
      </c>
      <c r="D1025" s="2" t="str">
        <f>'Posted Sales Invoice Lines'!E1025</f>
        <v>F51034</v>
      </c>
      <c r="E1025" s="2" t="str">
        <f>'Posted Sales Invoice Lines'!F1025</f>
        <v>Cs. Sour Dough Hearth 5/8" 8lvs</v>
      </c>
      <c r="F1025" s="3">
        <f>'Posted Sales Invoice Lines'!G1025</f>
        <v>46126</v>
      </c>
      <c r="G1025" s="9">
        <f>'Posted Sales Invoice Lines'!L1025</f>
        <v>16</v>
      </c>
      <c r="H1025" s="8">
        <f>'Posted Sales Invoice Lines'!N1025</f>
        <v>43.2</v>
      </c>
      <c r="I1025" s="8">
        <f>'Posted Sales Invoice Lines'!O1025</f>
        <v>691.2</v>
      </c>
    </row>
    <row r="1026" spans="1:9" x14ac:dyDescent="0.25">
      <c r="A1026" s="2" t="str">
        <f>'Posted Sales Invoice Lines'!A1026</f>
        <v>PS-INV203452</v>
      </c>
      <c r="B1026" s="2" t="str">
        <f>'Posted Sales Invoice Lines'!B1026</f>
        <v>10719-6</v>
      </c>
      <c r="C1026" s="2" t="str">
        <f>'Posted Sales Invoice Lines'!C1026</f>
        <v>US Foods - Alcoa TN.</v>
      </c>
      <c r="D1026" s="2" t="str">
        <f>'Posted Sales Invoice Lines'!E1026</f>
        <v>F51157</v>
      </c>
      <c r="E1026" s="2" t="str">
        <f>'Posted Sales Invoice Lines'!F1026</f>
        <v>Cs. Challah Hearth 7/8" 8lvs</v>
      </c>
      <c r="F1026" s="3">
        <f>'Posted Sales Invoice Lines'!G1026</f>
        <v>46126</v>
      </c>
      <c r="G1026" s="9">
        <f>'Posted Sales Invoice Lines'!L1026</f>
        <v>28</v>
      </c>
      <c r="H1026" s="8">
        <f>'Posted Sales Invoice Lines'!N1026</f>
        <v>44.15</v>
      </c>
      <c r="I1026" s="8">
        <f>'Posted Sales Invoice Lines'!O1026</f>
        <v>1236.2</v>
      </c>
    </row>
    <row r="1027" spans="1:9" x14ac:dyDescent="0.25">
      <c r="A1027" s="2" t="str">
        <f>'Posted Sales Invoice Lines'!A1027</f>
        <v>PS-INV203452</v>
      </c>
      <c r="B1027" s="2" t="str">
        <f>'Posted Sales Invoice Lines'!B1027</f>
        <v>10719-6</v>
      </c>
      <c r="C1027" s="2" t="str">
        <f>'Posted Sales Invoice Lines'!C1027</f>
        <v>US Foods - Alcoa TN.</v>
      </c>
      <c r="D1027" s="2" t="str">
        <f>'Posted Sales Invoice Lines'!E1027</f>
        <v>F53028</v>
      </c>
      <c r="E1027" s="2" t="str">
        <f>'Posted Sales Invoice Lines'!F1027</f>
        <v>Cs. 4" Sour Dough Bun 8-12pk</v>
      </c>
      <c r="F1027" s="3">
        <f>'Posted Sales Invoice Lines'!G1027</f>
        <v>46126</v>
      </c>
      <c r="G1027" s="9">
        <f>'Posted Sales Invoice Lines'!L1027</f>
        <v>4</v>
      </c>
      <c r="H1027" s="8">
        <f>'Posted Sales Invoice Lines'!N1027</f>
        <v>47.4</v>
      </c>
      <c r="I1027" s="8">
        <f>'Posted Sales Invoice Lines'!O1027</f>
        <v>189.6</v>
      </c>
    </row>
    <row r="1028" spans="1:9" x14ac:dyDescent="0.25">
      <c r="A1028" s="2" t="str">
        <f>'Posted Sales Invoice Lines'!A1028</f>
        <v>PS-INV203452</v>
      </c>
      <c r="B1028" s="2" t="str">
        <f>'Posted Sales Invoice Lines'!B1028</f>
        <v>10719-6</v>
      </c>
      <c r="C1028" s="2" t="str">
        <f>'Posted Sales Invoice Lines'!C1028</f>
        <v>US Foods - Alcoa TN.</v>
      </c>
      <c r="D1028" s="2" t="str">
        <f>'Posted Sales Invoice Lines'!E1028</f>
        <v>F53006</v>
      </c>
      <c r="E1028" s="2" t="str">
        <f>'Posted Sales Invoice Lines'!F1028</f>
        <v>Cs. 4" Wheat Bun 8-12pk</v>
      </c>
      <c r="F1028" s="3">
        <f>'Posted Sales Invoice Lines'!G1028</f>
        <v>46126</v>
      </c>
      <c r="G1028" s="9">
        <f>'Posted Sales Invoice Lines'!L1028</f>
        <v>12</v>
      </c>
      <c r="H1028" s="8">
        <f>'Posted Sales Invoice Lines'!N1028</f>
        <v>40.22</v>
      </c>
      <c r="I1028" s="8">
        <f>'Posted Sales Invoice Lines'!O1028</f>
        <v>482.64</v>
      </c>
    </row>
    <row r="1029" spans="1:9" x14ac:dyDescent="0.25">
      <c r="A1029" s="2" t="str">
        <f>'Posted Sales Invoice Lines'!A1029</f>
        <v>PS-INV203452</v>
      </c>
      <c r="B1029" s="2" t="str">
        <f>'Posted Sales Invoice Lines'!B1029</f>
        <v>10719-6</v>
      </c>
      <c r="C1029" s="2" t="str">
        <f>'Posted Sales Invoice Lines'!C1029</f>
        <v>US Foods - Alcoa TN.</v>
      </c>
      <c r="D1029" s="2" t="str">
        <f>'Posted Sales Invoice Lines'!E1029</f>
        <v>F53127</v>
      </c>
      <c r="E1029" s="2" t="str">
        <f>'Posted Sales Invoice Lines'!F1029</f>
        <v>Cs. 8" Philly 10-6pks</v>
      </c>
      <c r="F1029" s="3">
        <f>'Posted Sales Invoice Lines'!G1029</f>
        <v>46126</v>
      </c>
      <c r="G1029" s="9">
        <f>'Posted Sales Invoice Lines'!L1029</f>
        <v>84</v>
      </c>
      <c r="H1029" s="8">
        <f>'Posted Sales Invoice Lines'!N1029</f>
        <v>42.37</v>
      </c>
      <c r="I1029" s="8">
        <f>'Posted Sales Invoice Lines'!O1029</f>
        <v>3559.08</v>
      </c>
    </row>
    <row r="1030" spans="1:9" x14ac:dyDescent="0.25">
      <c r="A1030" s="2" t="str">
        <f>'Posted Sales Invoice Lines'!A1030</f>
        <v>PS-INV203452</v>
      </c>
      <c r="B1030" s="2" t="str">
        <f>'Posted Sales Invoice Lines'!B1030</f>
        <v>10719-6</v>
      </c>
      <c r="C1030" s="2" t="str">
        <f>'Posted Sales Invoice Lines'!C1030</f>
        <v>US Foods - Alcoa TN.</v>
      </c>
      <c r="D1030" s="2" t="str">
        <f>'Posted Sales Invoice Lines'!E1030</f>
        <v>F51343</v>
      </c>
      <c r="E1030" s="2" t="str">
        <f>'Posted Sales Invoice Lines'!F1030</f>
        <v>Cs. White Bread Pullman 3/4" 10lvs</v>
      </c>
      <c r="F1030" s="3">
        <f>'Posted Sales Invoice Lines'!G1030</f>
        <v>46126</v>
      </c>
      <c r="G1030" s="9">
        <f>'Posted Sales Invoice Lines'!L1030</f>
        <v>20</v>
      </c>
      <c r="H1030" s="8">
        <f>'Posted Sales Invoice Lines'!N1030</f>
        <v>42.22</v>
      </c>
      <c r="I1030" s="8">
        <f>'Posted Sales Invoice Lines'!O1030</f>
        <v>844.4</v>
      </c>
    </row>
    <row r="1031" spans="1:9" x14ac:dyDescent="0.25">
      <c r="A1031" s="2" t="str">
        <f>'Posted Sales Invoice Lines'!A1031</f>
        <v>PS-INV203452</v>
      </c>
      <c r="B1031" s="2" t="str">
        <f>'Posted Sales Invoice Lines'!B1031</f>
        <v>10719-6</v>
      </c>
      <c r="C1031" s="2" t="str">
        <f>'Posted Sales Invoice Lines'!C1031</f>
        <v>US Foods - Alcoa TN.</v>
      </c>
      <c r="D1031" s="2" t="str">
        <f>'Posted Sales Invoice Lines'!E1031</f>
        <v>F53086</v>
      </c>
      <c r="E1031" s="2" t="str">
        <f>'Posted Sales Invoice Lines'!F1031</f>
        <v>Cs. 3.5" Plain Hamburger Bun 8-12pk</v>
      </c>
      <c r="F1031" s="3">
        <f>'Posted Sales Invoice Lines'!G1031</f>
        <v>46126</v>
      </c>
      <c r="G1031" s="9">
        <f>'Posted Sales Invoice Lines'!L1031</f>
        <v>4</v>
      </c>
      <c r="H1031" s="8">
        <f>'Posted Sales Invoice Lines'!N1031</f>
        <v>36.24</v>
      </c>
      <c r="I1031" s="8">
        <f>'Posted Sales Invoice Lines'!O1031</f>
        <v>144.96</v>
      </c>
    </row>
    <row r="1032" spans="1:9" x14ac:dyDescent="0.25">
      <c r="A1032" s="2" t="str">
        <f>'Posted Sales Invoice Lines'!A1032</f>
        <v>PS-INV203452</v>
      </c>
      <c r="B1032" s="2" t="str">
        <f>'Posted Sales Invoice Lines'!B1032</f>
        <v>10719-6</v>
      </c>
      <c r="C1032" s="2" t="str">
        <f>'Posted Sales Invoice Lines'!C1032</f>
        <v>US Foods - Alcoa TN.</v>
      </c>
      <c r="D1032" s="2" t="str">
        <f>'Posted Sales Invoice Lines'!E1032</f>
        <v>F52035</v>
      </c>
      <c r="E1032" s="2" t="str">
        <f>'Posted Sales Invoice Lines'!F1032</f>
        <v>Cs. French Boule 12-2pk</v>
      </c>
      <c r="F1032" s="3">
        <f>'Posted Sales Invoice Lines'!G1032</f>
        <v>46126</v>
      </c>
      <c r="G1032" s="9">
        <f>'Posted Sales Invoice Lines'!L1032</f>
        <v>28</v>
      </c>
      <c r="H1032" s="8">
        <f>'Posted Sales Invoice Lines'!N1032</f>
        <v>32.549999999999997</v>
      </c>
      <c r="I1032" s="8">
        <f>'Posted Sales Invoice Lines'!O1032</f>
        <v>911.4</v>
      </c>
    </row>
    <row r="1033" spans="1:9" x14ac:dyDescent="0.25">
      <c r="A1033" s="2" t="str">
        <f>'Posted Sales Invoice Lines'!A1033</f>
        <v>PS-INV203452</v>
      </c>
      <c r="B1033" s="2" t="str">
        <f>'Posted Sales Invoice Lines'!B1033</f>
        <v>10719-6</v>
      </c>
      <c r="C1033" s="2" t="str">
        <f>'Posted Sales Invoice Lines'!C1033</f>
        <v>US Foods - Alcoa TN.</v>
      </c>
      <c r="D1033" s="2" t="str">
        <f>'Posted Sales Invoice Lines'!E1033</f>
        <v>F53106</v>
      </c>
      <c r="E1033" s="2" t="str">
        <f>'Posted Sales Invoice Lines'!F1033</f>
        <v>Cs. Large Hot Dog 12-6pk</v>
      </c>
      <c r="F1033" s="3">
        <f>'Posted Sales Invoice Lines'!G1033</f>
        <v>46126</v>
      </c>
      <c r="G1033" s="9">
        <f>'Posted Sales Invoice Lines'!L1033</f>
        <v>8</v>
      </c>
      <c r="H1033" s="8">
        <f>'Posted Sales Invoice Lines'!N1033</f>
        <v>35.57</v>
      </c>
      <c r="I1033" s="8">
        <f>'Posted Sales Invoice Lines'!O1033</f>
        <v>284.56</v>
      </c>
    </row>
    <row r="1034" spans="1:9" x14ac:dyDescent="0.25">
      <c r="A1034" s="2" t="str">
        <f>'Posted Sales Invoice Lines'!A1034</f>
        <v>PS-INV203452</v>
      </c>
      <c r="B1034" s="2" t="str">
        <f>'Posted Sales Invoice Lines'!B1034</f>
        <v>10719-6</v>
      </c>
      <c r="C1034" s="2" t="str">
        <f>'Posted Sales Invoice Lines'!C1034</f>
        <v>US Foods - Alcoa TN.</v>
      </c>
      <c r="D1034" s="2" t="str">
        <f>'Posted Sales Invoice Lines'!E1034</f>
        <v>F52032</v>
      </c>
      <c r="E1034" s="2" t="str">
        <f>'Posted Sales Invoice Lines'!F1034</f>
        <v>Cs. 8oz Sour Dough Boule 12-2pk</v>
      </c>
      <c r="F1034" s="3">
        <f>'Posted Sales Invoice Lines'!G1034</f>
        <v>46126</v>
      </c>
      <c r="G1034" s="9">
        <f>'Posted Sales Invoice Lines'!L1034</f>
        <v>28</v>
      </c>
      <c r="H1034" s="8">
        <f>'Posted Sales Invoice Lines'!N1034</f>
        <v>41.25</v>
      </c>
      <c r="I1034" s="8">
        <f>'Posted Sales Invoice Lines'!O1034</f>
        <v>1155</v>
      </c>
    </row>
    <row r="1035" spans="1:9" x14ac:dyDescent="0.25">
      <c r="A1035" s="2" t="str">
        <f>'Posted Sales Invoice Lines'!A1035</f>
        <v>PS-INV203452</v>
      </c>
      <c r="B1035" s="2" t="str">
        <f>'Posted Sales Invoice Lines'!B1035</f>
        <v>10719-6</v>
      </c>
      <c r="C1035" s="2" t="str">
        <f>'Posted Sales Invoice Lines'!C1035</f>
        <v>US Foods - Alcoa TN.</v>
      </c>
      <c r="D1035" s="2" t="str">
        <f>'Posted Sales Invoice Lines'!E1035</f>
        <v>F53024</v>
      </c>
      <c r="E1035" s="2" t="str">
        <f>'Posted Sales Invoice Lines'!F1035</f>
        <v>Cs. 4" Challah Kaiser 8-12pk</v>
      </c>
      <c r="F1035" s="3">
        <f>'Posted Sales Invoice Lines'!G1035</f>
        <v>46126</v>
      </c>
      <c r="G1035" s="9">
        <f>'Posted Sales Invoice Lines'!L1035</f>
        <v>28</v>
      </c>
      <c r="H1035" s="8">
        <f>'Posted Sales Invoice Lines'!N1035</f>
        <v>40.22</v>
      </c>
      <c r="I1035" s="8">
        <f>'Posted Sales Invoice Lines'!O1035</f>
        <v>1126.1600000000001</v>
      </c>
    </row>
    <row r="1036" spans="1:9" x14ac:dyDescent="0.25">
      <c r="A1036" s="2" t="str">
        <f>'Posted Sales Invoice Lines'!A1036</f>
        <v>PS-INV203580</v>
      </c>
      <c r="B1036" s="2" t="str">
        <f>'Posted Sales Invoice Lines'!B1036</f>
        <v>10719-12</v>
      </c>
      <c r="C1036" s="2" t="str">
        <f>'Posted Sales Invoice Lines'!C1036</f>
        <v>US Foods - Port Orange</v>
      </c>
      <c r="D1036" s="2" t="str">
        <f>'Posted Sales Invoice Lines'!E1036</f>
        <v>F53002</v>
      </c>
      <c r="E1036" s="2" t="str">
        <f>'Posted Sales Invoice Lines'!F1036</f>
        <v>Cs. 4" Challah Sesame Bun 8-12pk</v>
      </c>
      <c r="F1036" s="3">
        <f>'Posted Sales Invoice Lines'!G1036</f>
        <v>46125</v>
      </c>
      <c r="G1036" s="9">
        <f>'Posted Sales Invoice Lines'!L1036</f>
        <v>520</v>
      </c>
      <c r="H1036" s="8">
        <f>'Posted Sales Invoice Lines'!N1036</f>
        <v>41.66</v>
      </c>
      <c r="I1036" s="8">
        <f>'Posted Sales Invoice Lines'!O1036</f>
        <v>21663.200000000001</v>
      </c>
    </row>
    <row r="1037" spans="1:9" x14ac:dyDescent="0.25">
      <c r="A1037" s="2" t="str">
        <f>'Posted Sales Invoice Lines'!A1037</f>
        <v>PS-INV203580</v>
      </c>
      <c r="B1037" s="2" t="str">
        <f>'Posted Sales Invoice Lines'!B1037</f>
        <v>10719-12</v>
      </c>
      <c r="C1037" s="2" t="str">
        <f>'Posted Sales Invoice Lines'!C1037</f>
        <v>US Foods - Port Orange</v>
      </c>
      <c r="D1037" s="2" t="str">
        <f>'Posted Sales Invoice Lines'!E1037</f>
        <v>F52007</v>
      </c>
      <c r="E1037" s="2" t="str">
        <f>'Posted Sales Invoice Lines'!F1037</f>
        <v>Cs. 22" 17oz French 10-2pk</v>
      </c>
      <c r="F1037" s="3">
        <f>'Posted Sales Invoice Lines'!G1037</f>
        <v>46125</v>
      </c>
      <c r="G1037" s="9">
        <f>'Posted Sales Invoice Lines'!L1037</f>
        <v>96</v>
      </c>
      <c r="H1037" s="8">
        <f>'Posted Sales Invoice Lines'!N1037</f>
        <v>39.96</v>
      </c>
      <c r="I1037" s="8">
        <f>'Posted Sales Invoice Lines'!O1037</f>
        <v>3836.16</v>
      </c>
    </row>
    <row r="1038" spans="1:9" x14ac:dyDescent="0.25">
      <c r="A1038" s="2" t="str">
        <f>'Posted Sales Invoice Lines'!A1038</f>
        <v>PS-INV203580</v>
      </c>
      <c r="B1038" s="2" t="str">
        <f>'Posted Sales Invoice Lines'!B1038</f>
        <v>10719-12</v>
      </c>
      <c r="C1038" s="2" t="str">
        <f>'Posted Sales Invoice Lines'!C1038</f>
        <v>US Foods - Port Orange</v>
      </c>
      <c r="D1038" s="2" t="str">
        <f>'Posted Sales Invoice Lines'!E1038</f>
        <v>F53000</v>
      </c>
      <c r="E1038" s="2" t="str">
        <f>'Posted Sales Invoice Lines'!F1038</f>
        <v>Cs. 4" Hamburger Bun 8-12pk</v>
      </c>
      <c r="F1038" s="3">
        <f>'Posted Sales Invoice Lines'!G1038</f>
        <v>46125</v>
      </c>
      <c r="G1038" s="9">
        <f>'Posted Sales Invoice Lines'!L1038</f>
        <v>64</v>
      </c>
      <c r="H1038" s="8">
        <f>'Posted Sales Invoice Lines'!N1038</f>
        <v>33.5</v>
      </c>
      <c r="I1038" s="8">
        <f>'Posted Sales Invoice Lines'!O1038</f>
        <v>2144</v>
      </c>
    </row>
    <row r="1039" spans="1:9" x14ac:dyDescent="0.25">
      <c r="A1039" s="2" t="str">
        <f>'Posted Sales Invoice Lines'!A1039</f>
        <v>PS-INV203842</v>
      </c>
      <c r="B1039" s="2" t="str">
        <f>'Posted Sales Invoice Lines'!B1039</f>
        <v>20334</v>
      </c>
      <c r="C1039" s="2" t="str">
        <f>'Posted Sales Invoice Lines'!C1039</f>
        <v>Sysco Atlanta</v>
      </c>
      <c r="D1039" s="2" t="str">
        <f>'Posted Sales Invoice Lines'!E1039</f>
        <v>F53106</v>
      </c>
      <c r="E1039" s="2" t="str">
        <f>'Posted Sales Invoice Lines'!F1039</f>
        <v>Cs. Large Hot Dog 12-6pk</v>
      </c>
      <c r="F1039" s="3">
        <f>'Posted Sales Invoice Lines'!G1039</f>
        <v>46136</v>
      </c>
      <c r="G1039" s="9">
        <f>'Posted Sales Invoice Lines'!L1039</f>
        <v>12</v>
      </c>
      <c r="H1039" s="8">
        <f>'Posted Sales Invoice Lines'!N1039</f>
        <v>36.5</v>
      </c>
      <c r="I1039" s="8">
        <f>'Posted Sales Invoice Lines'!O1039</f>
        <v>438</v>
      </c>
    </row>
    <row r="1040" spans="1:9" x14ac:dyDescent="0.25">
      <c r="A1040" s="2" t="str">
        <f>'Posted Sales Invoice Lines'!A1040</f>
        <v>PS-INV203842</v>
      </c>
      <c r="B1040" s="2" t="str">
        <f>'Posted Sales Invoice Lines'!B1040</f>
        <v>20334</v>
      </c>
      <c r="C1040" s="2" t="str">
        <f>'Posted Sales Invoice Lines'!C1040</f>
        <v>Sysco Atlanta</v>
      </c>
      <c r="D1040" s="2" t="str">
        <f>'Posted Sales Invoice Lines'!E1040</f>
        <v>F53116</v>
      </c>
      <c r="E1040" s="2" t="str">
        <f>'Posted Sales Invoice Lines'!F1040</f>
        <v>Cs. 7" French Hinged 12</v>
      </c>
      <c r="F1040" s="3">
        <f>'Posted Sales Invoice Lines'!G1040</f>
        <v>46136</v>
      </c>
      <c r="G1040" s="9">
        <f>'Posted Sales Invoice Lines'!L1040</f>
        <v>56</v>
      </c>
      <c r="H1040" s="8">
        <f>'Posted Sales Invoice Lines'!N1040</f>
        <v>31.42</v>
      </c>
      <c r="I1040" s="8">
        <f>'Posted Sales Invoice Lines'!O1040</f>
        <v>1759.52</v>
      </c>
    </row>
    <row r="1041" spans="1:9" x14ac:dyDescent="0.25">
      <c r="A1041" s="2" t="str">
        <f>'Posted Sales Invoice Lines'!A1041</f>
        <v>PS-INV203842</v>
      </c>
      <c r="B1041" s="2" t="str">
        <f>'Posted Sales Invoice Lines'!B1041</f>
        <v>20334</v>
      </c>
      <c r="C1041" s="2" t="str">
        <f>'Posted Sales Invoice Lines'!C1041</f>
        <v>Sysco Atlanta</v>
      </c>
      <c r="D1041" s="2" t="str">
        <f>'Posted Sales Invoice Lines'!E1041</f>
        <v>F51024</v>
      </c>
      <c r="E1041" s="2" t="str">
        <f>'Posted Sales Invoice Lines'!F1041</f>
        <v>Cs. Marble Rye 5/8" 8lvs</v>
      </c>
      <c r="F1041" s="3">
        <f>'Posted Sales Invoice Lines'!G1041</f>
        <v>46136</v>
      </c>
      <c r="G1041" s="9">
        <f>'Posted Sales Invoice Lines'!L1041</f>
        <v>12</v>
      </c>
      <c r="H1041" s="8">
        <f>'Posted Sales Invoice Lines'!N1041</f>
        <v>43.26</v>
      </c>
      <c r="I1041" s="8">
        <f>'Posted Sales Invoice Lines'!O1041</f>
        <v>519.12</v>
      </c>
    </row>
    <row r="1042" spans="1:9" x14ac:dyDescent="0.25">
      <c r="A1042" s="2" t="str">
        <f>'Posted Sales Invoice Lines'!A1042</f>
        <v>PS-INV203842</v>
      </c>
      <c r="B1042" s="2" t="str">
        <f>'Posted Sales Invoice Lines'!B1042</f>
        <v>20334</v>
      </c>
      <c r="C1042" s="2" t="str">
        <f>'Posted Sales Invoice Lines'!C1042</f>
        <v>Sysco Atlanta</v>
      </c>
      <c r="D1042" s="2" t="str">
        <f>'Posted Sales Invoice Lines'!E1042</f>
        <v>F51127</v>
      </c>
      <c r="E1042" s="2" t="str">
        <f>'Posted Sales Invoice Lines'!F1042</f>
        <v>Cs. Challah 3-Braid 8</v>
      </c>
      <c r="F1042" s="3">
        <f>'Posted Sales Invoice Lines'!G1042</f>
        <v>46136</v>
      </c>
      <c r="G1042" s="9">
        <f>'Posted Sales Invoice Lines'!L1042</f>
        <v>20</v>
      </c>
      <c r="H1042" s="8">
        <f>'Posted Sales Invoice Lines'!N1042</f>
        <v>43.26</v>
      </c>
      <c r="I1042" s="8">
        <f>'Posted Sales Invoice Lines'!O1042</f>
        <v>865.2</v>
      </c>
    </row>
    <row r="1043" spans="1:9" x14ac:dyDescent="0.25">
      <c r="A1043" s="2" t="str">
        <f>'Posted Sales Invoice Lines'!A1043</f>
        <v>PS-INV203842</v>
      </c>
      <c r="B1043" s="2" t="str">
        <f>'Posted Sales Invoice Lines'!B1043</f>
        <v>20334</v>
      </c>
      <c r="C1043" s="2" t="str">
        <f>'Posted Sales Invoice Lines'!C1043</f>
        <v>Sysco Atlanta</v>
      </c>
      <c r="D1043" s="2" t="str">
        <f>'Posted Sales Invoice Lines'!E1043</f>
        <v>F53001</v>
      </c>
      <c r="E1043" s="2" t="str">
        <f>'Posted Sales Invoice Lines'!F1043</f>
        <v>Cs. 4" Brioche Bun 8-12pk</v>
      </c>
      <c r="F1043" s="3">
        <f>'Posted Sales Invoice Lines'!G1043</f>
        <v>46136</v>
      </c>
      <c r="G1043" s="9">
        <f>'Posted Sales Invoice Lines'!L1043</f>
        <v>140</v>
      </c>
      <c r="H1043" s="8">
        <f>'Posted Sales Invoice Lines'!N1043</f>
        <v>43.36</v>
      </c>
      <c r="I1043" s="8">
        <f>'Posted Sales Invoice Lines'!O1043</f>
        <v>6070.4</v>
      </c>
    </row>
    <row r="1044" spans="1:9" x14ac:dyDescent="0.25">
      <c r="A1044" s="2" t="str">
        <f>'Posted Sales Invoice Lines'!A1044</f>
        <v>PS-INV203842</v>
      </c>
      <c r="B1044" s="2" t="str">
        <f>'Posted Sales Invoice Lines'!B1044</f>
        <v>20334</v>
      </c>
      <c r="C1044" s="2" t="str">
        <f>'Posted Sales Invoice Lines'!C1044</f>
        <v>Sysco Atlanta</v>
      </c>
      <c r="D1044" s="2" t="str">
        <f>'Posted Sales Invoice Lines'!E1044</f>
        <v>F53033</v>
      </c>
      <c r="E1044" s="2" t="str">
        <f>'Posted Sales Invoice Lines'!F1044</f>
        <v>Cs. 4" Parker House 8-12pk</v>
      </c>
      <c r="F1044" s="3">
        <f>'Posted Sales Invoice Lines'!G1044</f>
        <v>46136</v>
      </c>
      <c r="G1044" s="9">
        <f>'Posted Sales Invoice Lines'!L1044</f>
        <v>56</v>
      </c>
      <c r="H1044" s="8">
        <f>'Posted Sales Invoice Lines'!N1044</f>
        <v>39.53</v>
      </c>
      <c r="I1044" s="8">
        <f>'Posted Sales Invoice Lines'!O1044</f>
        <v>2213.6799999999998</v>
      </c>
    </row>
    <row r="1045" spans="1:9" x14ac:dyDescent="0.25">
      <c r="A1045" s="2" t="str">
        <f>'Posted Sales Invoice Lines'!A1045</f>
        <v>PS-INV203842</v>
      </c>
      <c r="B1045" s="2" t="str">
        <f>'Posted Sales Invoice Lines'!B1045</f>
        <v>20334</v>
      </c>
      <c r="C1045" s="2" t="str">
        <f>'Posted Sales Invoice Lines'!C1045</f>
        <v>Sysco Atlanta</v>
      </c>
      <c r="D1045" s="2" t="str">
        <f>'Posted Sales Invoice Lines'!E1045</f>
        <v>F51034</v>
      </c>
      <c r="E1045" s="2" t="str">
        <f>'Posted Sales Invoice Lines'!F1045</f>
        <v>Cs. Sour Dough Hearth 5/8" 8lvs</v>
      </c>
      <c r="F1045" s="3">
        <f>'Posted Sales Invoice Lines'!G1045</f>
        <v>46136</v>
      </c>
      <c r="G1045" s="9">
        <f>'Posted Sales Invoice Lines'!L1045</f>
        <v>40</v>
      </c>
      <c r="H1045" s="8">
        <f>'Posted Sales Invoice Lines'!N1045</f>
        <v>41.2</v>
      </c>
      <c r="I1045" s="8">
        <f>'Posted Sales Invoice Lines'!O1045</f>
        <v>1648</v>
      </c>
    </row>
    <row r="1046" spans="1:9" x14ac:dyDescent="0.25">
      <c r="A1046" s="2" t="str">
        <f>'Posted Sales Invoice Lines'!A1046</f>
        <v>PS-INV203842</v>
      </c>
      <c r="B1046" s="2" t="str">
        <f>'Posted Sales Invoice Lines'!B1046</f>
        <v>20334</v>
      </c>
      <c r="C1046" s="2" t="str">
        <f>'Posted Sales Invoice Lines'!C1046</f>
        <v>Sysco Atlanta</v>
      </c>
      <c r="D1046" s="2" t="str">
        <f>'Posted Sales Invoice Lines'!E1046</f>
        <v>F53003</v>
      </c>
      <c r="E1046" s="2" t="str">
        <f>'Posted Sales Invoice Lines'!F1046</f>
        <v>Cs. 4" Unseeded Challah Bun 8-12pk</v>
      </c>
      <c r="F1046" s="3">
        <f>'Posted Sales Invoice Lines'!G1046</f>
        <v>46136</v>
      </c>
      <c r="G1046" s="9">
        <f>'Posted Sales Invoice Lines'!L1046</f>
        <v>28</v>
      </c>
      <c r="H1046" s="8">
        <f>'Posted Sales Invoice Lines'!N1046</f>
        <v>38.19</v>
      </c>
      <c r="I1046" s="8">
        <f>'Posted Sales Invoice Lines'!O1046</f>
        <v>1069.32</v>
      </c>
    </row>
    <row r="1047" spans="1:9" x14ac:dyDescent="0.25">
      <c r="A1047" s="2" t="str">
        <f>'Posted Sales Invoice Lines'!A1047</f>
        <v>PS-INV203842</v>
      </c>
      <c r="B1047" s="2" t="str">
        <f>'Posted Sales Invoice Lines'!B1047</f>
        <v>20334</v>
      </c>
      <c r="C1047" s="2" t="str">
        <f>'Posted Sales Invoice Lines'!C1047</f>
        <v>Sysco Atlanta</v>
      </c>
      <c r="D1047" s="2" t="str">
        <f>'Posted Sales Invoice Lines'!E1047</f>
        <v>F53140</v>
      </c>
      <c r="E1047" s="2" t="str">
        <f>'Posted Sales Invoice Lines'!F1047</f>
        <v>Cs. Knuckies 8" White 12-6pk</v>
      </c>
      <c r="F1047" s="3">
        <f>'Posted Sales Invoice Lines'!G1047</f>
        <v>46136</v>
      </c>
      <c r="G1047" s="9">
        <f>'Posted Sales Invoice Lines'!L1047</f>
        <v>20</v>
      </c>
      <c r="H1047" s="8">
        <f>'Posted Sales Invoice Lines'!N1047</f>
        <v>41</v>
      </c>
      <c r="I1047" s="8">
        <f>'Posted Sales Invoice Lines'!O1047</f>
        <v>820</v>
      </c>
    </row>
    <row r="1048" spans="1:9" x14ac:dyDescent="0.25">
      <c r="A1048" s="2" t="str">
        <f>'Posted Sales Invoice Lines'!A1048</f>
        <v>PS-INV204211</v>
      </c>
      <c r="B1048" s="2" t="str">
        <f>'Posted Sales Invoice Lines'!B1048</f>
        <v>10719-13</v>
      </c>
      <c r="C1048" s="2" t="str">
        <f>'Posted Sales Invoice Lines'!C1048</f>
        <v>US Foods - Montgomery</v>
      </c>
      <c r="D1048" s="2" t="str">
        <f>'Posted Sales Invoice Lines'!E1048</f>
        <v>F53005</v>
      </c>
      <c r="E1048" s="2" t="str">
        <f>'Posted Sales Invoice Lines'!F1048</f>
        <v>Cs. 4" Gourmet PDS Bun 8-12pk</v>
      </c>
      <c r="F1048" s="3">
        <f>'Posted Sales Invoice Lines'!G1048</f>
        <v>46128</v>
      </c>
      <c r="G1048" s="9">
        <f>'Posted Sales Invoice Lines'!L1048</f>
        <v>84</v>
      </c>
      <c r="H1048" s="8">
        <f>'Posted Sales Invoice Lines'!N1048</f>
        <v>37</v>
      </c>
      <c r="I1048" s="8">
        <f>'Posted Sales Invoice Lines'!O1048</f>
        <v>3108</v>
      </c>
    </row>
    <row r="1049" spans="1:9" x14ac:dyDescent="0.25">
      <c r="A1049" s="2" t="str">
        <f>'Posted Sales Invoice Lines'!A1049</f>
        <v>PS-INV204211</v>
      </c>
      <c r="B1049" s="2" t="str">
        <f>'Posted Sales Invoice Lines'!B1049</f>
        <v>10719-13</v>
      </c>
      <c r="C1049" s="2" t="str">
        <f>'Posted Sales Invoice Lines'!C1049</f>
        <v>US Foods - Montgomery</v>
      </c>
      <c r="D1049" s="2" t="str">
        <f>'Posted Sales Invoice Lines'!E1049</f>
        <v>F53010</v>
      </c>
      <c r="E1049" s="2" t="str">
        <f>'Posted Sales Invoice Lines'!F1049</f>
        <v>Cs. Onion Roll 8-12pk</v>
      </c>
      <c r="F1049" s="3">
        <f>'Posted Sales Invoice Lines'!G1049</f>
        <v>46128</v>
      </c>
      <c r="G1049" s="9">
        <f>'Posted Sales Invoice Lines'!L1049</f>
        <v>56</v>
      </c>
      <c r="H1049" s="8">
        <f>'Posted Sales Invoice Lines'!N1049</f>
        <v>42</v>
      </c>
      <c r="I1049" s="8">
        <f>'Posted Sales Invoice Lines'!O1049</f>
        <v>2352</v>
      </c>
    </row>
    <row r="1050" spans="1:9" x14ac:dyDescent="0.25">
      <c r="A1050" s="2" t="str">
        <f>'Posted Sales Invoice Lines'!A1050</f>
        <v>PS-INV204211</v>
      </c>
      <c r="B1050" s="2" t="str">
        <f>'Posted Sales Invoice Lines'!B1050</f>
        <v>10719-13</v>
      </c>
      <c r="C1050" s="2" t="str">
        <f>'Posted Sales Invoice Lines'!C1050</f>
        <v>US Foods - Montgomery</v>
      </c>
      <c r="D1050" s="2" t="str">
        <f>'Posted Sales Invoice Lines'!E1050</f>
        <v>F53001</v>
      </c>
      <c r="E1050" s="2" t="str">
        <f>'Posted Sales Invoice Lines'!F1050</f>
        <v>Cs. 4" Brioche Bun 8-12pk</v>
      </c>
      <c r="F1050" s="3">
        <f>'Posted Sales Invoice Lines'!G1050</f>
        <v>46128</v>
      </c>
      <c r="G1050" s="9">
        <f>'Posted Sales Invoice Lines'!L1050</f>
        <v>168</v>
      </c>
      <c r="H1050" s="8">
        <f>'Posted Sales Invoice Lines'!N1050</f>
        <v>42</v>
      </c>
      <c r="I1050" s="8">
        <f>'Posted Sales Invoice Lines'!O1050</f>
        <v>7056</v>
      </c>
    </row>
    <row r="1051" spans="1:9" x14ac:dyDescent="0.25">
      <c r="A1051" s="2" t="str">
        <f>'Posted Sales Invoice Lines'!A1051</f>
        <v>PS-INV204211</v>
      </c>
      <c r="B1051" s="2" t="str">
        <f>'Posted Sales Invoice Lines'!B1051</f>
        <v>10719-13</v>
      </c>
      <c r="C1051" s="2" t="str">
        <f>'Posted Sales Invoice Lines'!C1051</f>
        <v>US Foods - Montgomery</v>
      </c>
      <c r="D1051" s="2" t="str">
        <f>'Posted Sales Invoice Lines'!E1051</f>
        <v>F53003</v>
      </c>
      <c r="E1051" s="2" t="str">
        <f>'Posted Sales Invoice Lines'!F1051</f>
        <v>Cs. 4" Unseeded Challah Bun 8-12pk</v>
      </c>
      <c r="F1051" s="3">
        <f>'Posted Sales Invoice Lines'!G1051</f>
        <v>46128</v>
      </c>
      <c r="G1051" s="9">
        <f>'Posted Sales Invoice Lines'!L1051</f>
        <v>252</v>
      </c>
      <c r="H1051" s="8">
        <f>'Posted Sales Invoice Lines'!N1051</f>
        <v>38.08</v>
      </c>
      <c r="I1051" s="8">
        <f>'Posted Sales Invoice Lines'!O1051</f>
        <v>9596.16</v>
      </c>
    </row>
    <row r="1052" spans="1:9" x14ac:dyDescent="0.25">
      <c r="A1052" s="2" t="str">
        <f>'Posted Sales Invoice Lines'!A1052</f>
        <v>PS-INV204212</v>
      </c>
      <c r="B1052" s="2" t="str">
        <f>'Posted Sales Invoice Lines'!B1052</f>
        <v>10540-03</v>
      </c>
      <c r="C1052" s="2" t="str">
        <f>'Posted Sales Invoice Lines'!C1052</f>
        <v>PFG Louisville TN</v>
      </c>
      <c r="D1052" s="2" t="str">
        <f>'Posted Sales Invoice Lines'!E1052</f>
        <v>F53001</v>
      </c>
      <c r="E1052" s="2" t="str">
        <f>'Posted Sales Invoice Lines'!F1052</f>
        <v>Cs. 4" Brioche Bun 8-12pk</v>
      </c>
      <c r="F1052" s="3">
        <f>'Posted Sales Invoice Lines'!G1052</f>
        <v>46115</v>
      </c>
      <c r="G1052" s="9">
        <f>'Posted Sales Invoice Lines'!L1052</f>
        <v>336</v>
      </c>
      <c r="H1052" s="8">
        <f>'Posted Sales Invoice Lines'!N1052</f>
        <v>42.6</v>
      </c>
      <c r="I1052" s="8">
        <f>'Posted Sales Invoice Lines'!O1052</f>
        <v>14313.6</v>
      </c>
    </row>
    <row r="1053" spans="1:9" x14ac:dyDescent="0.25">
      <c r="A1053" s="2" t="str">
        <f>'Posted Sales Invoice Lines'!A1053</f>
        <v>PS-INV204212</v>
      </c>
      <c r="B1053" s="2" t="str">
        <f>'Posted Sales Invoice Lines'!B1053</f>
        <v>10540-03</v>
      </c>
      <c r="C1053" s="2" t="str">
        <f>'Posted Sales Invoice Lines'!C1053</f>
        <v>PFG Louisville TN</v>
      </c>
      <c r="D1053" s="2" t="str">
        <f>'Posted Sales Invoice Lines'!E1053</f>
        <v>F52552</v>
      </c>
      <c r="E1053" s="2" t="str">
        <f>'Posted Sales Invoice Lines'!F1053</f>
        <v>Cs. Multigrain Batard Unsliced 8lvs</v>
      </c>
      <c r="F1053" s="3">
        <f>'Posted Sales Invoice Lines'!G1053</f>
        <v>46115</v>
      </c>
      <c r="G1053" s="9">
        <f>'Posted Sales Invoice Lines'!L1053</f>
        <v>4</v>
      </c>
      <c r="H1053" s="8">
        <f>'Posted Sales Invoice Lines'!N1053</f>
        <v>64</v>
      </c>
      <c r="I1053" s="8">
        <f>'Posted Sales Invoice Lines'!O1053</f>
        <v>256</v>
      </c>
    </row>
    <row r="1054" spans="1:9" x14ac:dyDescent="0.25">
      <c r="A1054" s="2" t="str">
        <f>'Posted Sales Invoice Lines'!A1054</f>
        <v>PS-INV204212</v>
      </c>
      <c r="B1054" s="2" t="str">
        <f>'Posted Sales Invoice Lines'!B1054</f>
        <v>10540-03</v>
      </c>
      <c r="C1054" s="2" t="str">
        <f>'Posted Sales Invoice Lines'!C1054</f>
        <v>PFG Louisville TN</v>
      </c>
      <c r="D1054" s="2" t="str">
        <f>'Posted Sales Invoice Lines'!E1054</f>
        <v>F53013</v>
      </c>
      <c r="E1054" s="2" t="str">
        <f>'Posted Sales Invoice Lines'!F1054</f>
        <v>Cs. 4" Vidalia 8-12pk</v>
      </c>
      <c r="F1054" s="3">
        <f>'Posted Sales Invoice Lines'!G1054</f>
        <v>46115</v>
      </c>
      <c r="G1054" s="9">
        <f>'Posted Sales Invoice Lines'!L1054</f>
        <v>15</v>
      </c>
      <c r="H1054" s="8">
        <f>'Posted Sales Invoice Lines'!N1054</f>
        <v>46</v>
      </c>
      <c r="I1054" s="8">
        <f>'Posted Sales Invoice Lines'!O1054</f>
        <v>690</v>
      </c>
    </row>
    <row r="1055" spans="1:9" x14ac:dyDescent="0.25">
      <c r="A1055" s="2" t="str">
        <f>'Posted Sales Invoice Lines'!A1055</f>
        <v>PS-INV204212</v>
      </c>
      <c r="B1055" s="2" t="str">
        <f>'Posted Sales Invoice Lines'!B1055</f>
        <v>10540-03</v>
      </c>
      <c r="C1055" s="2" t="str">
        <f>'Posted Sales Invoice Lines'!C1055</f>
        <v>PFG Louisville TN</v>
      </c>
      <c r="D1055" s="2" t="str">
        <f>'Posted Sales Invoice Lines'!E1055</f>
        <v>F53105</v>
      </c>
      <c r="E1055" s="2" t="str">
        <f>'Posted Sales Invoice Lines'!F1055</f>
        <v>Cs. 6" White Hot Dog 16-8pk</v>
      </c>
      <c r="F1055" s="3">
        <f>'Posted Sales Invoice Lines'!G1055</f>
        <v>46115</v>
      </c>
      <c r="G1055" s="9">
        <f>'Posted Sales Invoice Lines'!L1055</f>
        <v>54</v>
      </c>
      <c r="H1055" s="8">
        <f>'Posted Sales Invoice Lines'!N1055</f>
        <v>34.5</v>
      </c>
      <c r="I1055" s="8">
        <f>'Posted Sales Invoice Lines'!O1055</f>
        <v>1863</v>
      </c>
    </row>
    <row r="1056" spans="1:9" x14ac:dyDescent="0.25">
      <c r="A1056" s="2" t="str">
        <f>'Posted Sales Invoice Lines'!A1056</f>
        <v>PS-INV204213</v>
      </c>
      <c r="B1056" s="2" t="str">
        <f>'Posted Sales Invoice Lines'!B1056</f>
        <v>10719-4</v>
      </c>
      <c r="C1056" s="2" t="str">
        <f>'Posted Sales Invoice Lines'!C1056</f>
        <v>US Foods - Columbia/Lexington</v>
      </c>
      <c r="D1056" s="2" t="str">
        <f>'Posted Sales Invoice Lines'!E1056</f>
        <v>F53094</v>
      </c>
      <c r="E1056" s="2" t="str">
        <f>'Posted Sales Invoice Lines'!F1056</f>
        <v>Cs. 6" Italian 12-6pks</v>
      </c>
      <c r="F1056" s="3">
        <f>'Posted Sales Invoice Lines'!G1056</f>
        <v>46120</v>
      </c>
      <c r="G1056" s="9">
        <f>'Posted Sales Invoice Lines'!L1056</f>
        <v>32</v>
      </c>
      <c r="H1056" s="8">
        <f>'Posted Sales Invoice Lines'!N1056</f>
        <v>39</v>
      </c>
      <c r="I1056" s="8">
        <f>'Posted Sales Invoice Lines'!O1056</f>
        <v>1248</v>
      </c>
    </row>
    <row r="1057" spans="1:9" x14ac:dyDescent="0.25">
      <c r="A1057" s="2" t="str">
        <f>'Posted Sales Invoice Lines'!A1057</f>
        <v>PS-INV204213</v>
      </c>
      <c r="B1057" s="2" t="str">
        <f>'Posted Sales Invoice Lines'!B1057</f>
        <v>10719-4</v>
      </c>
      <c r="C1057" s="2" t="str">
        <f>'Posted Sales Invoice Lines'!C1057</f>
        <v>US Foods - Columbia/Lexington</v>
      </c>
      <c r="D1057" s="2" t="str">
        <f>'Posted Sales Invoice Lines'!E1057</f>
        <v>F530041</v>
      </c>
      <c r="E1057" s="2" t="str">
        <f>'Posted Sales Invoice Lines'!F1057</f>
        <v>Cs. 4" S&amp;P Brioche Bun 8-12pk</v>
      </c>
      <c r="F1057" s="3">
        <f>'Posted Sales Invoice Lines'!G1057</f>
        <v>46120</v>
      </c>
      <c r="G1057" s="9">
        <f>'Posted Sales Invoice Lines'!L1057</f>
        <v>16</v>
      </c>
      <c r="H1057" s="8">
        <f>'Posted Sales Invoice Lines'!N1057</f>
        <v>46</v>
      </c>
      <c r="I1057" s="8">
        <f>'Posted Sales Invoice Lines'!O1057</f>
        <v>736</v>
      </c>
    </row>
    <row r="1058" spans="1:9" x14ac:dyDescent="0.25">
      <c r="A1058" s="2" t="str">
        <f>'Posted Sales Invoice Lines'!A1058</f>
        <v>PS-INV204213</v>
      </c>
      <c r="B1058" s="2" t="str">
        <f>'Posted Sales Invoice Lines'!B1058</f>
        <v>10719-4</v>
      </c>
      <c r="C1058" s="2" t="str">
        <f>'Posted Sales Invoice Lines'!C1058</f>
        <v>US Foods - Columbia/Lexington</v>
      </c>
      <c r="D1058" s="2" t="str">
        <f>'Posted Sales Invoice Lines'!E1058</f>
        <v>F51044</v>
      </c>
      <c r="E1058" s="2" t="str">
        <f>'Posted Sales Invoice Lines'!F1058</f>
        <v>Cs. Vienna 5/8" 8lvs</v>
      </c>
      <c r="F1058" s="3">
        <f>'Posted Sales Invoice Lines'!G1058</f>
        <v>46120</v>
      </c>
      <c r="G1058" s="9">
        <f>'Posted Sales Invoice Lines'!L1058</f>
        <v>16</v>
      </c>
      <c r="H1058" s="8">
        <f>'Posted Sales Invoice Lines'!N1058</f>
        <v>40</v>
      </c>
      <c r="I1058" s="8">
        <f>'Posted Sales Invoice Lines'!O1058</f>
        <v>640</v>
      </c>
    </row>
    <row r="1059" spans="1:9" x14ac:dyDescent="0.25">
      <c r="A1059" s="2" t="str">
        <f>'Posted Sales Invoice Lines'!A1059</f>
        <v>PS-INV204213</v>
      </c>
      <c r="B1059" s="2" t="str">
        <f>'Posted Sales Invoice Lines'!B1059</f>
        <v>10719-4</v>
      </c>
      <c r="C1059" s="2" t="str">
        <f>'Posted Sales Invoice Lines'!C1059</f>
        <v>US Foods - Columbia/Lexington</v>
      </c>
      <c r="D1059" s="2" t="str">
        <f>'Posted Sales Invoice Lines'!E1059</f>
        <v>F53093</v>
      </c>
      <c r="E1059" s="2" t="str">
        <f>'Posted Sales Invoice Lines'!F1059</f>
        <v>Cs. 6" Philly Unsliced 12-6pk</v>
      </c>
      <c r="F1059" s="3">
        <f>'Posted Sales Invoice Lines'!G1059</f>
        <v>46120</v>
      </c>
      <c r="G1059" s="9">
        <f>'Posted Sales Invoice Lines'!L1059</f>
        <v>8</v>
      </c>
      <c r="H1059" s="8">
        <f>'Posted Sales Invoice Lines'!N1059</f>
        <v>47.2</v>
      </c>
      <c r="I1059" s="8">
        <f>'Posted Sales Invoice Lines'!O1059</f>
        <v>377.6</v>
      </c>
    </row>
    <row r="1060" spans="1:9" x14ac:dyDescent="0.25">
      <c r="A1060" s="2" t="str">
        <f>'Posted Sales Invoice Lines'!A1060</f>
        <v>PS-INV204213</v>
      </c>
      <c r="B1060" s="2" t="str">
        <f>'Posted Sales Invoice Lines'!B1060</f>
        <v>10719-4</v>
      </c>
      <c r="C1060" s="2" t="str">
        <f>'Posted Sales Invoice Lines'!C1060</f>
        <v>US Foods - Columbia/Lexington</v>
      </c>
      <c r="D1060" s="2" t="str">
        <f>'Posted Sales Invoice Lines'!E1060</f>
        <v>F51026</v>
      </c>
      <c r="E1060" s="2" t="str">
        <f>'Posted Sales Invoice Lines'!F1060</f>
        <v>Cs. Marble Rye 3/4" 8lvs</v>
      </c>
      <c r="F1060" s="3">
        <f>'Posted Sales Invoice Lines'!G1060</f>
        <v>46120</v>
      </c>
      <c r="G1060" s="9">
        <f>'Posted Sales Invoice Lines'!L1060</f>
        <v>24</v>
      </c>
      <c r="H1060" s="8">
        <f>'Posted Sales Invoice Lines'!N1060</f>
        <v>52</v>
      </c>
      <c r="I1060" s="8">
        <f>'Posted Sales Invoice Lines'!O1060</f>
        <v>1248</v>
      </c>
    </row>
    <row r="1061" spans="1:9" x14ac:dyDescent="0.25">
      <c r="A1061" s="2" t="str">
        <f>'Posted Sales Invoice Lines'!A1061</f>
        <v>PS-INV204213</v>
      </c>
      <c r="B1061" s="2" t="str">
        <f>'Posted Sales Invoice Lines'!B1061</f>
        <v>10719-4</v>
      </c>
      <c r="C1061" s="2" t="str">
        <f>'Posted Sales Invoice Lines'!C1061</f>
        <v>US Foods - Columbia/Lexington</v>
      </c>
      <c r="D1061" s="2" t="str">
        <f>'Posted Sales Invoice Lines'!E1061</f>
        <v>F53001</v>
      </c>
      <c r="E1061" s="2" t="str">
        <f>'Posted Sales Invoice Lines'!F1061</f>
        <v>Cs. 4" Brioche Bun 8-12pk</v>
      </c>
      <c r="F1061" s="3">
        <f>'Posted Sales Invoice Lines'!G1061</f>
        <v>46120</v>
      </c>
      <c r="G1061" s="9">
        <f>'Posted Sales Invoice Lines'!L1061</f>
        <v>24</v>
      </c>
      <c r="H1061" s="8">
        <f>'Posted Sales Invoice Lines'!N1061</f>
        <v>43.5</v>
      </c>
      <c r="I1061" s="8">
        <f>'Posted Sales Invoice Lines'!O1061</f>
        <v>1044</v>
      </c>
    </row>
    <row r="1062" spans="1:9" x14ac:dyDescent="0.25">
      <c r="A1062" s="2" t="str">
        <f>'Posted Sales Invoice Lines'!A1062</f>
        <v>PS-INV204213</v>
      </c>
      <c r="B1062" s="2" t="str">
        <f>'Posted Sales Invoice Lines'!B1062</f>
        <v>10719-4</v>
      </c>
      <c r="C1062" s="2" t="str">
        <f>'Posted Sales Invoice Lines'!C1062</f>
        <v>US Foods - Columbia/Lexington</v>
      </c>
      <c r="D1062" s="2" t="str">
        <f>'Posted Sales Invoice Lines'!E1062</f>
        <v>F51020</v>
      </c>
      <c r="E1062" s="2" t="str">
        <f>'Posted Sales Invoice Lines'!F1062</f>
        <v>Cs. Marble Rye 1/2" 8lvs</v>
      </c>
      <c r="F1062" s="3">
        <f>'Posted Sales Invoice Lines'!G1062</f>
        <v>46120</v>
      </c>
      <c r="G1062" s="9">
        <f>'Posted Sales Invoice Lines'!L1062</f>
        <v>16</v>
      </c>
      <c r="H1062" s="8">
        <f>'Posted Sales Invoice Lines'!N1062</f>
        <v>52</v>
      </c>
      <c r="I1062" s="8">
        <f>'Posted Sales Invoice Lines'!O1062</f>
        <v>832</v>
      </c>
    </row>
    <row r="1063" spans="1:9" x14ac:dyDescent="0.25">
      <c r="A1063" s="2" t="str">
        <f>'Posted Sales Invoice Lines'!A1063</f>
        <v>PS-INV204213</v>
      </c>
      <c r="B1063" s="2" t="str">
        <f>'Posted Sales Invoice Lines'!B1063</f>
        <v>10719-4</v>
      </c>
      <c r="C1063" s="2" t="str">
        <f>'Posted Sales Invoice Lines'!C1063</f>
        <v>US Foods - Columbia/Lexington</v>
      </c>
      <c r="D1063" s="2" t="str">
        <f>'Posted Sales Invoice Lines'!E1063</f>
        <v>F53024</v>
      </c>
      <c r="E1063" s="2" t="str">
        <f>'Posted Sales Invoice Lines'!F1063</f>
        <v>Cs. 4" Challah Kaiser 8-12pk</v>
      </c>
      <c r="F1063" s="3">
        <f>'Posted Sales Invoice Lines'!G1063</f>
        <v>46120</v>
      </c>
      <c r="G1063" s="9">
        <f>'Posted Sales Invoice Lines'!L1063</f>
        <v>16</v>
      </c>
      <c r="H1063" s="8">
        <f>'Posted Sales Invoice Lines'!N1063</f>
        <v>38.25</v>
      </c>
      <c r="I1063" s="8">
        <f>'Posted Sales Invoice Lines'!O1063</f>
        <v>612</v>
      </c>
    </row>
    <row r="1064" spans="1:9" x14ac:dyDescent="0.25">
      <c r="A1064" s="2" t="str">
        <f>'Posted Sales Invoice Lines'!A1064</f>
        <v>PS-INV204214</v>
      </c>
      <c r="B1064" s="2" t="str">
        <f>'Posted Sales Invoice Lines'!B1064</f>
        <v>13244</v>
      </c>
      <c r="C1064" s="2" t="str">
        <f>'Posted Sales Invoice Lines'!C1064</f>
        <v>PFG Cedar Rapids IA</v>
      </c>
      <c r="D1064" s="2" t="str">
        <f>'Posted Sales Invoice Lines'!E1064</f>
        <v>F53001</v>
      </c>
      <c r="E1064" s="2" t="str">
        <f>'Posted Sales Invoice Lines'!F1064</f>
        <v>Cs. 4" Brioche Bun 8-12pk</v>
      </c>
      <c r="F1064" s="3">
        <f>'Posted Sales Invoice Lines'!G1064</f>
        <v>46133</v>
      </c>
      <c r="G1064" s="9">
        <f>'Posted Sales Invoice Lines'!L1064</f>
        <v>560</v>
      </c>
      <c r="H1064" s="8">
        <f>'Posted Sales Invoice Lines'!N1064</f>
        <v>42.6</v>
      </c>
      <c r="I1064" s="8">
        <f>'Posted Sales Invoice Lines'!O1064</f>
        <v>23856</v>
      </c>
    </row>
    <row r="1065" spans="1:9" x14ac:dyDescent="0.25">
      <c r="A1065" s="2" t="str">
        <f>'Posted Sales Invoice Lines'!A1065</f>
        <v>PS-INV204214</v>
      </c>
      <c r="B1065" s="2" t="str">
        <f>'Posted Sales Invoice Lines'!B1065</f>
        <v>13244</v>
      </c>
      <c r="C1065" s="2" t="str">
        <f>'Posted Sales Invoice Lines'!C1065</f>
        <v>PFG Cedar Rapids IA</v>
      </c>
      <c r="D1065" s="2" t="str">
        <f>'Posted Sales Invoice Lines'!E1065</f>
        <v>F53105</v>
      </c>
      <c r="E1065" s="2" t="str">
        <f>'Posted Sales Invoice Lines'!F1065</f>
        <v>Cs. 6" White Hot Dog 16-8pk</v>
      </c>
      <c r="F1065" s="3">
        <f>'Posted Sales Invoice Lines'!G1065</f>
        <v>46133</v>
      </c>
      <c r="G1065" s="9">
        <f>'Posted Sales Invoice Lines'!L1065</f>
        <v>224</v>
      </c>
      <c r="H1065" s="8">
        <f>'Posted Sales Invoice Lines'!N1065</f>
        <v>34.5</v>
      </c>
      <c r="I1065" s="8">
        <f>'Posted Sales Invoice Lines'!O1065</f>
        <v>7728</v>
      </c>
    </row>
    <row r="1066" spans="1:9" x14ac:dyDescent="0.25">
      <c r="A1066" s="2" t="str">
        <f>'Posted Sales Invoice Lines'!A1066</f>
        <v>PS-INV204215</v>
      </c>
      <c r="B1066" s="2" t="str">
        <f>'Posted Sales Invoice Lines'!B1066</f>
        <v>13244</v>
      </c>
      <c r="C1066" s="2" t="str">
        <f>'Posted Sales Invoice Lines'!C1066</f>
        <v>PFG Cedar Rapids IA</v>
      </c>
      <c r="D1066" s="2" t="str">
        <f>'Posted Sales Invoice Lines'!E1066</f>
        <v>F53001</v>
      </c>
      <c r="E1066" s="2" t="str">
        <f>'Posted Sales Invoice Lines'!F1066</f>
        <v>Cs. 4" Brioche Bun 8-12pk</v>
      </c>
      <c r="F1066" s="3">
        <f>'Posted Sales Invoice Lines'!G1066</f>
        <v>46140</v>
      </c>
      <c r="G1066" s="9">
        <f>'Posted Sales Invoice Lines'!L1066</f>
        <v>756</v>
      </c>
      <c r="H1066" s="8">
        <f>'Posted Sales Invoice Lines'!N1066</f>
        <v>42.6</v>
      </c>
      <c r="I1066" s="8">
        <f>'Posted Sales Invoice Lines'!O1066</f>
        <v>32205.599999999999</v>
      </c>
    </row>
    <row r="1067" spans="1:9" x14ac:dyDescent="0.25">
      <c r="A1067" s="2" t="str">
        <f>'Posted Sales Invoice Lines'!A1067</f>
        <v>PS-INV204215</v>
      </c>
      <c r="B1067" s="2" t="str">
        <f>'Posted Sales Invoice Lines'!B1067</f>
        <v>13244</v>
      </c>
      <c r="C1067" s="2" t="str">
        <f>'Posted Sales Invoice Lines'!C1067</f>
        <v>PFG Cedar Rapids IA</v>
      </c>
      <c r="D1067" s="2" t="str">
        <f>'Posted Sales Invoice Lines'!E1067</f>
        <v>F53105</v>
      </c>
      <c r="E1067" s="2" t="str">
        <f>'Posted Sales Invoice Lines'!F1067</f>
        <v>Cs. 6" White Hot Dog 16-8pk</v>
      </c>
      <c r="F1067" s="3">
        <f>'Posted Sales Invoice Lines'!G1067</f>
        <v>46140</v>
      </c>
      <c r="G1067" s="9">
        <f>'Posted Sales Invoice Lines'!L1067</f>
        <v>84</v>
      </c>
      <c r="H1067" s="8">
        <f>'Posted Sales Invoice Lines'!N1067</f>
        <v>34.5</v>
      </c>
      <c r="I1067" s="8">
        <f>'Posted Sales Invoice Lines'!O1067</f>
        <v>2898</v>
      </c>
    </row>
    <row r="1068" spans="1:9" x14ac:dyDescent="0.25">
      <c r="A1068" s="2" t="str">
        <f>'Posted Sales Invoice Lines'!A1068</f>
        <v>PS-INV204216</v>
      </c>
      <c r="B1068" s="2" t="str">
        <f>'Posted Sales Invoice Lines'!B1068</f>
        <v>13244</v>
      </c>
      <c r="C1068" s="2" t="str">
        <f>'Posted Sales Invoice Lines'!C1068</f>
        <v>PFG Cedar Rapids IA</v>
      </c>
      <c r="D1068" s="2" t="str">
        <f>'Posted Sales Invoice Lines'!E1068</f>
        <v>F53001</v>
      </c>
      <c r="E1068" s="2" t="str">
        <f>'Posted Sales Invoice Lines'!F1068</f>
        <v>Cs. 4" Brioche Bun 8-12pk</v>
      </c>
      <c r="F1068" s="3">
        <f>'Posted Sales Invoice Lines'!G1068</f>
        <v>46126</v>
      </c>
      <c r="G1068" s="9">
        <f>'Posted Sales Invoice Lines'!L1068</f>
        <v>476</v>
      </c>
      <c r="H1068" s="8">
        <f>'Posted Sales Invoice Lines'!N1068</f>
        <v>42.6</v>
      </c>
      <c r="I1068" s="8">
        <f>'Posted Sales Invoice Lines'!O1068</f>
        <v>20277.599999999999</v>
      </c>
    </row>
    <row r="1069" spans="1:9" x14ac:dyDescent="0.25">
      <c r="A1069" s="2" t="str">
        <f>'Posted Sales Invoice Lines'!A1069</f>
        <v>PS-INV204216</v>
      </c>
      <c r="B1069" s="2" t="str">
        <f>'Posted Sales Invoice Lines'!B1069</f>
        <v>13244</v>
      </c>
      <c r="C1069" s="2" t="str">
        <f>'Posted Sales Invoice Lines'!C1069</f>
        <v>PFG Cedar Rapids IA</v>
      </c>
      <c r="D1069" s="2" t="str">
        <f>'Posted Sales Invoice Lines'!E1069</f>
        <v>F53110</v>
      </c>
      <c r="E1069" s="2" t="str">
        <f>'Posted Sales Invoice Lines'!F1069</f>
        <v>Cs. Foot Long Challah Hot Dog Buns 10-6pk</v>
      </c>
      <c r="F1069" s="3">
        <f>'Posted Sales Invoice Lines'!G1069</f>
        <v>46126</v>
      </c>
      <c r="G1069" s="9">
        <f>'Posted Sales Invoice Lines'!L1069</f>
        <v>84</v>
      </c>
      <c r="H1069" s="8">
        <f>'Posted Sales Invoice Lines'!N1069</f>
        <v>39.25</v>
      </c>
      <c r="I1069" s="8">
        <f>'Posted Sales Invoice Lines'!O1069</f>
        <v>3297</v>
      </c>
    </row>
    <row r="1070" spans="1:9" x14ac:dyDescent="0.25">
      <c r="A1070" s="2" t="str">
        <f>'Posted Sales Invoice Lines'!A1070</f>
        <v>PS-INV204216</v>
      </c>
      <c r="B1070" s="2" t="str">
        <f>'Posted Sales Invoice Lines'!B1070</f>
        <v>13244</v>
      </c>
      <c r="C1070" s="2" t="str">
        <f>'Posted Sales Invoice Lines'!C1070</f>
        <v>PFG Cedar Rapids IA</v>
      </c>
      <c r="D1070" s="2" t="str">
        <f>'Posted Sales Invoice Lines'!E1070</f>
        <v>F53105</v>
      </c>
      <c r="E1070" s="2" t="str">
        <f>'Posted Sales Invoice Lines'!F1070</f>
        <v>Cs. 6" White Hot Dog 16-8pk</v>
      </c>
      <c r="F1070" s="3">
        <f>'Posted Sales Invoice Lines'!G1070</f>
        <v>46126</v>
      </c>
      <c r="G1070" s="9">
        <f>'Posted Sales Invoice Lines'!L1070</f>
        <v>260</v>
      </c>
      <c r="H1070" s="8">
        <f>'Posted Sales Invoice Lines'!N1070</f>
        <v>34.5</v>
      </c>
      <c r="I1070" s="8">
        <f>'Posted Sales Invoice Lines'!O1070</f>
        <v>8970</v>
      </c>
    </row>
    <row r="1071" spans="1:9" x14ac:dyDescent="0.25">
      <c r="A1071" s="2" t="str">
        <f>'Posted Sales Invoice Lines'!A1071</f>
        <v>PS-INV204216</v>
      </c>
      <c r="B1071" s="2" t="str">
        <f>'Posted Sales Invoice Lines'!B1071</f>
        <v>13244</v>
      </c>
      <c r="C1071" s="2" t="str">
        <f>'Posted Sales Invoice Lines'!C1071</f>
        <v>PFG Cedar Rapids IA</v>
      </c>
      <c r="D1071" s="2" t="str">
        <f>'Posted Sales Invoice Lines'!E1071</f>
        <v>F53094</v>
      </c>
      <c r="E1071" s="2" t="str">
        <f>'Posted Sales Invoice Lines'!F1071</f>
        <v>Cs. 6" Italian 12-6pks</v>
      </c>
      <c r="F1071" s="3">
        <f>'Posted Sales Invoice Lines'!G1071</f>
        <v>46126</v>
      </c>
      <c r="G1071" s="9">
        <f>'Posted Sales Invoice Lines'!L1071</f>
        <v>17</v>
      </c>
      <c r="H1071" s="8">
        <f>'Posted Sales Invoice Lines'!N1071</f>
        <v>35</v>
      </c>
      <c r="I1071" s="8">
        <f>'Posted Sales Invoice Lines'!O1071</f>
        <v>595</v>
      </c>
    </row>
    <row r="1072" spans="1:9" x14ac:dyDescent="0.25">
      <c r="A1072" s="2" t="str">
        <f>'Posted Sales Invoice Lines'!A1072</f>
        <v>PS-INV204535</v>
      </c>
      <c r="B1072" s="2" t="str">
        <f>'Posted Sales Invoice Lines'!B1072</f>
        <v>12988</v>
      </c>
      <c r="C1072" s="2" t="str">
        <f>'Posted Sales Invoice Lines'!C1072</f>
        <v>Sysco Norman OK</v>
      </c>
      <c r="D1072" s="2" t="str">
        <f>'Posted Sales Invoice Lines'!E1072</f>
        <v>F53001</v>
      </c>
      <c r="E1072" s="2" t="str">
        <f>'Posted Sales Invoice Lines'!F1072</f>
        <v>Cs. 4" Brioche Bun 8-12pk</v>
      </c>
      <c r="F1072" s="3">
        <f>'Posted Sales Invoice Lines'!G1072</f>
        <v>46126</v>
      </c>
      <c r="G1072" s="9">
        <f>'Posted Sales Invoice Lines'!L1072</f>
        <v>840</v>
      </c>
      <c r="H1072" s="8">
        <f>'Posted Sales Invoice Lines'!N1072</f>
        <v>46</v>
      </c>
      <c r="I1072" s="8">
        <f>'Posted Sales Invoice Lines'!O1072</f>
        <v>38640</v>
      </c>
    </row>
    <row r="1073" spans="1:9" x14ac:dyDescent="0.25">
      <c r="A1073" s="2" t="str">
        <f>'Posted Sales Invoice Lines'!A1073</f>
        <v>PS-INV205928</v>
      </c>
      <c r="B1073" s="2" t="str">
        <f>'Posted Sales Invoice Lines'!B1073</f>
        <v>10547</v>
      </c>
      <c r="C1073" s="2" t="str">
        <f>'Posted Sales Invoice Lines'!C1073</f>
        <v>PFG Hale TN</v>
      </c>
      <c r="D1073" s="2" t="str">
        <f>'Posted Sales Invoice Lines'!E1073</f>
        <v>F51024</v>
      </c>
      <c r="E1073" s="2" t="str">
        <f>'Posted Sales Invoice Lines'!F1073</f>
        <v>Cs. Marble Rye 5/8" 8lvs</v>
      </c>
      <c r="F1073" s="3">
        <f>'Posted Sales Invoice Lines'!G1073</f>
        <v>46134</v>
      </c>
      <c r="G1073" s="9">
        <f>'Posted Sales Invoice Lines'!L1073</f>
        <v>28</v>
      </c>
      <c r="H1073" s="8">
        <f>'Posted Sales Invoice Lines'!N1073</f>
        <v>46.25</v>
      </c>
      <c r="I1073" s="8">
        <f>'Posted Sales Invoice Lines'!O1073</f>
        <v>1295</v>
      </c>
    </row>
    <row r="1074" spans="1:9" x14ac:dyDescent="0.25">
      <c r="A1074" s="2" t="str">
        <f>'Posted Sales Invoice Lines'!A1074</f>
        <v>PS-INV205928</v>
      </c>
      <c r="B1074" s="2" t="str">
        <f>'Posted Sales Invoice Lines'!B1074</f>
        <v>10547</v>
      </c>
      <c r="C1074" s="2" t="str">
        <f>'Posted Sales Invoice Lines'!C1074</f>
        <v>PFG Hale TN</v>
      </c>
      <c r="D1074" s="2" t="str">
        <f>'Posted Sales Invoice Lines'!E1074</f>
        <v>F53001</v>
      </c>
      <c r="E1074" s="2" t="str">
        <f>'Posted Sales Invoice Lines'!F1074</f>
        <v>Cs. 4" Brioche Bun 8-12pk</v>
      </c>
      <c r="F1074" s="3">
        <f>'Posted Sales Invoice Lines'!G1074</f>
        <v>46134</v>
      </c>
      <c r="G1074" s="9">
        <f>'Posted Sales Invoice Lines'!L1074</f>
        <v>168</v>
      </c>
      <c r="H1074" s="8">
        <f>'Posted Sales Invoice Lines'!N1074</f>
        <v>42</v>
      </c>
      <c r="I1074" s="8">
        <f>'Posted Sales Invoice Lines'!O1074</f>
        <v>7056</v>
      </c>
    </row>
    <row r="1075" spans="1:9" x14ac:dyDescent="0.25">
      <c r="A1075" s="2" t="str">
        <f>'Posted Sales Invoice Lines'!A1075</f>
        <v>PS-INV205928</v>
      </c>
      <c r="B1075" s="2" t="str">
        <f>'Posted Sales Invoice Lines'!B1075</f>
        <v>10547</v>
      </c>
      <c r="C1075" s="2" t="str">
        <f>'Posted Sales Invoice Lines'!C1075</f>
        <v>PFG Hale TN</v>
      </c>
      <c r="D1075" s="2" t="str">
        <f>'Posted Sales Invoice Lines'!E1075</f>
        <v>F530421</v>
      </c>
      <c r="E1075" s="2" t="str">
        <f>'Posted Sales Invoice Lines'!F1075</f>
        <v>Cs. 4.5" Challah Buns 6-12pk.</v>
      </c>
      <c r="F1075" s="3">
        <f>'Posted Sales Invoice Lines'!G1075</f>
        <v>46134</v>
      </c>
      <c r="G1075" s="9">
        <f>'Posted Sales Invoice Lines'!L1075</f>
        <v>252</v>
      </c>
      <c r="H1075" s="8">
        <f>'Posted Sales Invoice Lines'!N1075</f>
        <v>38.299999999999997</v>
      </c>
      <c r="I1075" s="8">
        <f>'Posted Sales Invoice Lines'!O1075</f>
        <v>9651.6</v>
      </c>
    </row>
    <row r="1076" spans="1:9" x14ac:dyDescent="0.25">
      <c r="A1076" s="2" t="str">
        <f>'Posted Sales Invoice Lines'!A1076</f>
        <v>PS-INV205928</v>
      </c>
      <c r="B1076" s="2" t="str">
        <f>'Posted Sales Invoice Lines'!B1076</f>
        <v>10547</v>
      </c>
      <c r="C1076" s="2" t="str">
        <f>'Posted Sales Invoice Lines'!C1076</f>
        <v>PFG Hale TN</v>
      </c>
      <c r="D1076" s="2" t="str">
        <f>'Posted Sales Invoice Lines'!E1076</f>
        <v>F53000</v>
      </c>
      <c r="E1076" s="2" t="str">
        <f>'Posted Sales Invoice Lines'!F1076</f>
        <v>Cs. 4" Hamburger Bun 8-12pk</v>
      </c>
      <c r="F1076" s="3">
        <f>'Posted Sales Invoice Lines'!G1076</f>
        <v>46134</v>
      </c>
      <c r="G1076" s="9">
        <f>'Posted Sales Invoice Lines'!L1076</f>
        <v>12</v>
      </c>
      <c r="H1076" s="8">
        <f>'Posted Sales Invoice Lines'!N1076</f>
        <v>33.25</v>
      </c>
      <c r="I1076" s="8">
        <f>'Posted Sales Invoice Lines'!O1076</f>
        <v>399</v>
      </c>
    </row>
    <row r="1077" spans="1:9" x14ac:dyDescent="0.25">
      <c r="A1077" s="2" t="str">
        <f>'Posted Sales Invoice Lines'!A1077</f>
        <v>PS-INV205928</v>
      </c>
      <c r="B1077" s="2" t="str">
        <f>'Posted Sales Invoice Lines'!B1077</f>
        <v>10547</v>
      </c>
      <c r="C1077" s="2" t="str">
        <f>'Posted Sales Invoice Lines'!C1077</f>
        <v>PFG Hale TN</v>
      </c>
      <c r="D1077" s="2" t="str">
        <f>'Posted Sales Invoice Lines'!E1077</f>
        <v>F53098</v>
      </c>
      <c r="E1077" s="2" t="str">
        <f>'Posted Sales Invoice Lines'!F1077</f>
        <v>Cs. Onion Club 12-6pk</v>
      </c>
      <c r="F1077" s="3">
        <f>'Posted Sales Invoice Lines'!G1077</f>
        <v>46134</v>
      </c>
      <c r="G1077" s="9">
        <f>'Posted Sales Invoice Lines'!L1077</f>
        <v>108</v>
      </c>
      <c r="H1077" s="8">
        <f>'Posted Sales Invoice Lines'!N1077</f>
        <v>35.75</v>
      </c>
      <c r="I1077" s="8">
        <f>'Posted Sales Invoice Lines'!O1077</f>
        <v>3861</v>
      </c>
    </row>
    <row r="1078" spans="1:9" x14ac:dyDescent="0.25">
      <c r="A1078" s="2" t="str">
        <f>'Posted Sales Invoice Lines'!A1078</f>
        <v>PS-INV205928</v>
      </c>
      <c r="B1078" s="2" t="str">
        <f>'Posted Sales Invoice Lines'!B1078</f>
        <v>10547</v>
      </c>
      <c r="C1078" s="2" t="str">
        <f>'Posted Sales Invoice Lines'!C1078</f>
        <v>PFG Hale TN</v>
      </c>
      <c r="D1078" s="2" t="str">
        <f>'Posted Sales Invoice Lines'!E1078</f>
        <v>F530491</v>
      </c>
      <c r="E1078" s="2" t="str">
        <f>'Posted Sales Invoice Lines'!F1078</f>
        <v>Cs. 4.5 Brioche Bun 6-12pk</v>
      </c>
      <c r="F1078" s="3">
        <f>'Posted Sales Invoice Lines'!G1078</f>
        <v>46134</v>
      </c>
      <c r="G1078" s="9">
        <f>'Posted Sales Invoice Lines'!L1078</f>
        <v>56</v>
      </c>
      <c r="H1078" s="8">
        <f>'Posted Sales Invoice Lines'!N1078</f>
        <v>40</v>
      </c>
      <c r="I1078" s="8">
        <f>'Posted Sales Invoice Lines'!O1078</f>
        <v>2240</v>
      </c>
    </row>
    <row r="1079" spans="1:9" x14ac:dyDescent="0.25">
      <c r="A1079" s="2" t="str">
        <f>'Posted Sales Invoice Lines'!A1079</f>
        <v>PS-INV205933</v>
      </c>
      <c r="B1079" s="2" t="str">
        <f>'Posted Sales Invoice Lines'!B1079</f>
        <v>10711</v>
      </c>
      <c r="C1079" s="2" t="str">
        <f>'Posted Sales Invoice Lines'!C1079</f>
        <v>Cheney Bros Statesville</v>
      </c>
      <c r="D1079" s="2" t="str">
        <f>'Posted Sales Invoice Lines'!E1079</f>
        <v>F53032</v>
      </c>
      <c r="E1079" s="2" t="str">
        <f>'Posted Sales Invoice Lines'!F1079</f>
        <v>Cs. 4" Potato Bun 8-12pk</v>
      </c>
      <c r="F1079" s="3">
        <f>'Posted Sales Invoice Lines'!G1079</f>
        <v>46126</v>
      </c>
      <c r="G1079" s="9">
        <f>'Posted Sales Invoice Lines'!L1079</f>
        <v>28</v>
      </c>
      <c r="H1079" s="8">
        <f>'Posted Sales Invoice Lines'!N1079</f>
        <v>40.6</v>
      </c>
      <c r="I1079" s="8">
        <f>'Posted Sales Invoice Lines'!O1079</f>
        <v>1136.8</v>
      </c>
    </row>
    <row r="1080" spans="1:9" x14ac:dyDescent="0.25">
      <c r="A1080" s="2" t="str">
        <f>'Posted Sales Invoice Lines'!A1080</f>
        <v>PS-INV205933</v>
      </c>
      <c r="B1080" s="2" t="str">
        <f>'Posted Sales Invoice Lines'!B1080</f>
        <v>10711</v>
      </c>
      <c r="C1080" s="2" t="str">
        <f>'Posted Sales Invoice Lines'!C1080</f>
        <v>Cheney Bros Statesville</v>
      </c>
      <c r="D1080" s="2" t="str">
        <f>'Posted Sales Invoice Lines'!E1080</f>
        <v>F530142</v>
      </c>
      <c r="E1080" s="2" t="str">
        <f>'Posted Sales Invoice Lines'!F1080</f>
        <v>Cs. Knot Roll 8-12pk</v>
      </c>
      <c r="F1080" s="3">
        <f>'Posted Sales Invoice Lines'!G1080</f>
        <v>46126</v>
      </c>
      <c r="G1080" s="9">
        <f>'Posted Sales Invoice Lines'!L1080</f>
        <v>308</v>
      </c>
      <c r="H1080" s="8">
        <f>'Posted Sales Invoice Lines'!N1080</f>
        <v>33.42</v>
      </c>
      <c r="I1080" s="8">
        <f>'Posted Sales Invoice Lines'!O1080</f>
        <v>10293.36</v>
      </c>
    </row>
    <row r="1081" spans="1:9" x14ac:dyDescent="0.25">
      <c r="A1081" s="2" t="str">
        <f>'Posted Sales Invoice Lines'!A1081</f>
        <v>PS-INV205949</v>
      </c>
      <c r="B1081" s="2" t="str">
        <f>'Posted Sales Invoice Lines'!B1081</f>
        <v>10549</v>
      </c>
      <c r="C1081" s="2" t="str">
        <f>'Posted Sales Invoice Lines'!C1081</f>
        <v>PFG Nashville TN</v>
      </c>
      <c r="D1081" s="2" t="str">
        <f>'Posted Sales Invoice Lines'!E1081</f>
        <v>F53002</v>
      </c>
      <c r="E1081" s="2" t="str">
        <f>'Posted Sales Invoice Lines'!F1081</f>
        <v>Cs. 4" Challah Sesame Bun 8-12pk</v>
      </c>
      <c r="F1081" s="3">
        <f>'Posted Sales Invoice Lines'!G1081</f>
        <v>46133</v>
      </c>
      <c r="G1081" s="9">
        <f>'Posted Sales Invoice Lines'!L1081</f>
        <v>20</v>
      </c>
      <c r="H1081" s="8">
        <f>'Posted Sales Invoice Lines'!N1081</f>
        <v>37.5</v>
      </c>
      <c r="I1081" s="8">
        <f>'Posted Sales Invoice Lines'!O1081</f>
        <v>750</v>
      </c>
    </row>
    <row r="1082" spans="1:9" x14ac:dyDescent="0.25">
      <c r="A1082" s="2" t="str">
        <f>'Posted Sales Invoice Lines'!A1082</f>
        <v>PS-INV205949</v>
      </c>
      <c r="B1082" s="2" t="str">
        <f>'Posted Sales Invoice Lines'!B1082</f>
        <v>10549</v>
      </c>
      <c r="C1082" s="2" t="str">
        <f>'Posted Sales Invoice Lines'!C1082</f>
        <v>PFG Nashville TN</v>
      </c>
      <c r="D1082" s="2" t="str">
        <f>'Posted Sales Invoice Lines'!E1082</f>
        <v>F53070</v>
      </c>
      <c r="E1082" s="2" t="str">
        <f>'Posted Sales Invoice Lines'!F1082</f>
        <v xml:space="preserve">Cs. 5" Challah Sesame Buns </v>
      </c>
      <c r="F1082" s="3">
        <f>'Posted Sales Invoice Lines'!G1082</f>
        <v>46133</v>
      </c>
      <c r="G1082" s="9">
        <f>'Posted Sales Invoice Lines'!L1082</f>
        <v>32</v>
      </c>
      <c r="H1082" s="8">
        <f>'Posted Sales Invoice Lines'!N1082</f>
        <v>34.5</v>
      </c>
      <c r="I1082" s="8">
        <f>'Posted Sales Invoice Lines'!O1082</f>
        <v>1104</v>
      </c>
    </row>
    <row r="1083" spans="1:9" x14ac:dyDescent="0.25">
      <c r="A1083" s="2" t="str">
        <f>'Posted Sales Invoice Lines'!A1083</f>
        <v>PS-INV205982</v>
      </c>
      <c r="B1083" s="2" t="str">
        <f>'Posted Sales Invoice Lines'!B1083</f>
        <v>1-4</v>
      </c>
      <c r="C1083" s="2" t="str">
        <f>'Posted Sales Invoice Lines'!C1083</f>
        <v>Heath West</v>
      </c>
      <c r="D1083" s="2" t="str">
        <f>'Posted Sales Invoice Lines'!E1083</f>
        <v>F52007</v>
      </c>
      <c r="E1083" s="2" t="str">
        <f>'Posted Sales Invoice Lines'!F1083</f>
        <v>Cs. 22" 17oz French 10-2pk</v>
      </c>
      <c r="F1083" s="3">
        <f>'Posted Sales Invoice Lines'!G1083</f>
        <v>46125</v>
      </c>
      <c r="G1083" s="9">
        <f>'Posted Sales Invoice Lines'!L1083</f>
        <v>15</v>
      </c>
      <c r="H1083" s="8">
        <f>'Posted Sales Invoice Lines'!N1083</f>
        <v>0</v>
      </c>
      <c r="I1083" s="8">
        <f>'Posted Sales Invoice Lines'!O1083</f>
        <v>0</v>
      </c>
    </row>
    <row r="1084" spans="1:9" x14ac:dyDescent="0.25">
      <c r="A1084" s="2" t="str">
        <f>'Posted Sales Invoice Lines'!A1084</f>
        <v>PS-INV205982</v>
      </c>
      <c r="B1084" s="2" t="str">
        <f>'Posted Sales Invoice Lines'!B1084</f>
        <v>1-4</v>
      </c>
      <c r="C1084" s="2" t="str">
        <f>'Posted Sales Invoice Lines'!C1084</f>
        <v>Heath West</v>
      </c>
      <c r="D1084" s="2" t="str">
        <f>'Posted Sales Invoice Lines'!E1084</f>
        <v>F53180</v>
      </c>
      <c r="E1084" s="2" t="str">
        <f>'Posted Sales Invoice Lines'!F1084</f>
        <v>Cs. Large Pumpernickel Sub 6-6pk</v>
      </c>
      <c r="F1084" s="3">
        <f>'Posted Sales Invoice Lines'!G1084</f>
        <v>46125</v>
      </c>
      <c r="G1084" s="9">
        <f>'Posted Sales Invoice Lines'!L1084</f>
        <v>1</v>
      </c>
      <c r="H1084" s="8">
        <f>'Posted Sales Invoice Lines'!N1084</f>
        <v>0</v>
      </c>
      <c r="I1084" s="8">
        <f>'Posted Sales Invoice Lines'!O1084</f>
        <v>0</v>
      </c>
    </row>
    <row r="1085" spans="1:9" x14ac:dyDescent="0.25">
      <c r="A1085" s="2" t="str">
        <f>'Posted Sales Invoice Lines'!A1085</f>
        <v>PS-INV205982</v>
      </c>
      <c r="B1085" s="2" t="str">
        <f>'Posted Sales Invoice Lines'!B1085</f>
        <v>1-4</v>
      </c>
      <c r="C1085" s="2" t="str">
        <f>'Posted Sales Invoice Lines'!C1085</f>
        <v>Heath West</v>
      </c>
      <c r="D1085" s="2" t="str">
        <f>'Posted Sales Invoice Lines'!E1085</f>
        <v>F53170</v>
      </c>
      <c r="E1085" s="2" t="str">
        <f>'Posted Sales Invoice Lines'!F1085</f>
        <v>Cs. Large Country Wheat Sub 6-6pk</v>
      </c>
      <c r="F1085" s="3">
        <f>'Posted Sales Invoice Lines'!G1085</f>
        <v>46125</v>
      </c>
      <c r="G1085" s="9">
        <f>'Posted Sales Invoice Lines'!L1085</f>
        <v>1</v>
      </c>
      <c r="H1085" s="8">
        <f>'Posted Sales Invoice Lines'!N1085</f>
        <v>0</v>
      </c>
      <c r="I1085" s="8">
        <f>'Posted Sales Invoice Lines'!O1085</f>
        <v>0</v>
      </c>
    </row>
    <row r="1086" spans="1:9" x14ac:dyDescent="0.25">
      <c r="A1086" s="2" t="str">
        <f>'Posted Sales Invoice Lines'!A1086</f>
        <v>PS-INV206269</v>
      </c>
      <c r="B1086" s="2" t="str">
        <f>'Posted Sales Invoice Lines'!B1086</f>
        <v>20334</v>
      </c>
      <c r="C1086" s="2" t="str">
        <f>'Posted Sales Invoice Lines'!C1086</f>
        <v>Sysco Atlanta</v>
      </c>
      <c r="D1086" s="2" t="str">
        <f>'Posted Sales Invoice Lines'!E1086</f>
        <v>F53116</v>
      </c>
      <c r="E1086" s="2" t="str">
        <f>'Posted Sales Invoice Lines'!F1086</f>
        <v>Cs. 7" French Hinged 12</v>
      </c>
      <c r="F1086" s="3">
        <f>'Posted Sales Invoice Lines'!G1086</f>
        <v>46128</v>
      </c>
      <c r="G1086" s="9">
        <f>'Posted Sales Invoice Lines'!L1086</f>
        <v>28</v>
      </c>
      <c r="H1086" s="8">
        <f>'Posted Sales Invoice Lines'!N1086</f>
        <v>31.42</v>
      </c>
      <c r="I1086" s="8">
        <f>'Posted Sales Invoice Lines'!O1086</f>
        <v>879.76</v>
      </c>
    </row>
    <row r="1087" spans="1:9" x14ac:dyDescent="0.25">
      <c r="A1087" s="2" t="str">
        <f>'Posted Sales Invoice Lines'!A1087</f>
        <v>PS-INV206269</v>
      </c>
      <c r="B1087" s="2" t="str">
        <f>'Posted Sales Invoice Lines'!B1087</f>
        <v>20334</v>
      </c>
      <c r="C1087" s="2" t="str">
        <f>'Posted Sales Invoice Lines'!C1087</f>
        <v>Sysco Atlanta</v>
      </c>
      <c r="D1087" s="2" t="str">
        <f>'Posted Sales Invoice Lines'!E1087</f>
        <v>F51024</v>
      </c>
      <c r="E1087" s="2" t="str">
        <f>'Posted Sales Invoice Lines'!F1087</f>
        <v>Cs. Marble Rye 5/8" 8lvs</v>
      </c>
      <c r="F1087" s="3">
        <f>'Posted Sales Invoice Lines'!G1087</f>
        <v>46128</v>
      </c>
      <c r="G1087" s="9">
        <f>'Posted Sales Invoice Lines'!L1087</f>
        <v>12</v>
      </c>
      <c r="H1087" s="8">
        <f>'Posted Sales Invoice Lines'!N1087</f>
        <v>43.26</v>
      </c>
      <c r="I1087" s="8">
        <f>'Posted Sales Invoice Lines'!O1087</f>
        <v>519.12</v>
      </c>
    </row>
    <row r="1088" spans="1:9" x14ac:dyDescent="0.25">
      <c r="A1088" s="2" t="str">
        <f>'Posted Sales Invoice Lines'!A1088</f>
        <v>PS-INV206269</v>
      </c>
      <c r="B1088" s="2" t="str">
        <f>'Posted Sales Invoice Lines'!B1088</f>
        <v>20334</v>
      </c>
      <c r="C1088" s="2" t="str">
        <f>'Posted Sales Invoice Lines'!C1088</f>
        <v>Sysco Atlanta</v>
      </c>
      <c r="D1088" s="2" t="str">
        <f>'Posted Sales Invoice Lines'!E1088</f>
        <v>F53001</v>
      </c>
      <c r="E1088" s="2" t="str">
        <f>'Posted Sales Invoice Lines'!F1088</f>
        <v>Cs. 4" Brioche Bun 8-12pk</v>
      </c>
      <c r="F1088" s="3">
        <f>'Posted Sales Invoice Lines'!G1088</f>
        <v>46128</v>
      </c>
      <c r="G1088" s="9">
        <f>'Posted Sales Invoice Lines'!L1088</f>
        <v>168</v>
      </c>
      <c r="H1088" s="8">
        <f>'Posted Sales Invoice Lines'!N1088</f>
        <v>43.36</v>
      </c>
      <c r="I1088" s="8">
        <f>'Posted Sales Invoice Lines'!O1088</f>
        <v>7284.48</v>
      </c>
    </row>
    <row r="1089" spans="1:9" x14ac:dyDescent="0.25">
      <c r="A1089" s="2" t="str">
        <f>'Posted Sales Invoice Lines'!A1089</f>
        <v>PS-INV206269</v>
      </c>
      <c r="B1089" s="2" t="str">
        <f>'Posted Sales Invoice Lines'!B1089</f>
        <v>20334</v>
      </c>
      <c r="C1089" s="2" t="str">
        <f>'Posted Sales Invoice Lines'!C1089</f>
        <v>Sysco Atlanta</v>
      </c>
      <c r="D1089" s="2" t="str">
        <f>'Posted Sales Invoice Lines'!E1089</f>
        <v>F51034</v>
      </c>
      <c r="E1089" s="2" t="str">
        <f>'Posted Sales Invoice Lines'!F1089</f>
        <v>Cs. Sour Dough Hearth 5/8" 8lvs</v>
      </c>
      <c r="F1089" s="3">
        <f>'Posted Sales Invoice Lines'!G1089</f>
        <v>46128</v>
      </c>
      <c r="G1089" s="9">
        <f>'Posted Sales Invoice Lines'!L1089</f>
        <v>20</v>
      </c>
      <c r="H1089" s="8">
        <f>'Posted Sales Invoice Lines'!N1089</f>
        <v>41.2</v>
      </c>
      <c r="I1089" s="8">
        <f>'Posted Sales Invoice Lines'!O1089</f>
        <v>824</v>
      </c>
    </row>
    <row r="1090" spans="1:9" x14ac:dyDescent="0.25">
      <c r="A1090" s="2" t="str">
        <f>'Posted Sales Invoice Lines'!A1090</f>
        <v>PS-INV206269</v>
      </c>
      <c r="B1090" s="2" t="str">
        <f>'Posted Sales Invoice Lines'!B1090</f>
        <v>20334</v>
      </c>
      <c r="C1090" s="2" t="str">
        <f>'Posted Sales Invoice Lines'!C1090</f>
        <v>Sysco Atlanta</v>
      </c>
      <c r="D1090" s="2" t="str">
        <f>'Posted Sales Invoice Lines'!E1090</f>
        <v>F51157</v>
      </c>
      <c r="E1090" s="2" t="str">
        <f>'Posted Sales Invoice Lines'!F1090</f>
        <v>Cs. Challah Hearth 7/8" 8lvs</v>
      </c>
      <c r="F1090" s="3">
        <f>'Posted Sales Invoice Lines'!G1090</f>
        <v>46128</v>
      </c>
      <c r="G1090" s="9">
        <f>'Posted Sales Invoice Lines'!L1090</f>
        <v>12</v>
      </c>
      <c r="H1090" s="8">
        <f>'Posted Sales Invoice Lines'!N1090</f>
        <v>42.02</v>
      </c>
      <c r="I1090" s="8">
        <f>'Posted Sales Invoice Lines'!O1090</f>
        <v>504.24</v>
      </c>
    </row>
    <row r="1091" spans="1:9" x14ac:dyDescent="0.25">
      <c r="A1091" s="2" t="str">
        <f>'Posted Sales Invoice Lines'!A1091</f>
        <v>PS-INV206269</v>
      </c>
      <c r="B1091" s="2" t="str">
        <f>'Posted Sales Invoice Lines'!B1091</f>
        <v>20334</v>
      </c>
      <c r="C1091" s="2" t="str">
        <f>'Posted Sales Invoice Lines'!C1091</f>
        <v>Sysco Atlanta</v>
      </c>
      <c r="D1091" s="2" t="str">
        <f>'Posted Sales Invoice Lines'!E1091</f>
        <v>F53140</v>
      </c>
      <c r="E1091" s="2" t="str">
        <f>'Posted Sales Invoice Lines'!F1091</f>
        <v>Cs. Knuckies 8" White 12-6pk</v>
      </c>
      <c r="F1091" s="3">
        <f>'Posted Sales Invoice Lines'!G1091</f>
        <v>46128</v>
      </c>
      <c r="G1091" s="9">
        <f>'Posted Sales Invoice Lines'!L1091</f>
        <v>60</v>
      </c>
      <c r="H1091" s="8">
        <f>'Posted Sales Invoice Lines'!N1091</f>
        <v>41</v>
      </c>
      <c r="I1091" s="8">
        <f>'Posted Sales Invoice Lines'!O1091</f>
        <v>2460</v>
      </c>
    </row>
    <row r="1092" spans="1:9" x14ac:dyDescent="0.25">
      <c r="A1092" s="2" t="str">
        <f>'Posted Sales Invoice Lines'!A1092</f>
        <v>PS-INV206271</v>
      </c>
      <c r="B1092" s="2" t="str">
        <f>'Posted Sales Invoice Lines'!B1092</f>
        <v>13128</v>
      </c>
      <c r="C1092" s="2" t="str">
        <f>'Posted Sales Invoice Lines'!C1092</f>
        <v>Gordon Food Service - Shepherdsville</v>
      </c>
      <c r="D1092" s="2" t="str">
        <f>'Posted Sales Invoice Lines'!E1092</f>
        <v>F51084</v>
      </c>
      <c r="E1092" s="2" t="str">
        <f>'Posted Sales Invoice Lines'!F1092</f>
        <v>Cs. Wheatberry Hearth</v>
      </c>
      <c r="F1092" s="3">
        <f>'Posted Sales Invoice Lines'!G1092</f>
        <v>46128</v>
      </c>
      <c r="G1092" s="9">
        <f>'Posted Sales Invoice Lines'!L1092</f>
        <v>48</v>
      </c>
      <c r="H1092" s="8">
        <f>'Posted Sales Invoice Lines'!N1092</f>
        <v>33.299999999999997</v>
      </c>
      <c r="I1092" s="8">
        <f>'Posted Sales Invoice Lines'!O1092</f>
        <v>1598.4</v>
      </c>
    </row>
    <row r="1093" spans="1:9" x14ac:dyDescent="0.25">
      <c r="A1093" s="2" t="str">
        <f>'Posted Sales Invoice Lines'!A1093</f>
        <v>PS-INV206271</v>
      </c>
      <c r="B1093" s="2" t="str">
        <f>'Posted Sales Invoice Lines'!B1093</f>
        <v>13128</v>
      </c>
      <c r="C1093" s="2" t="str">
        <f>'Posted Sales Invoice Lines'!C1093</f>
        <v>Gordon Food Service - Shepherdsville</v>
      </c>
      <c r="D1093" s="2" t="str">
        <f>'Posted Sales Invoice Lines'!E1093</f>
        <v>F53001</v>
      </c>
      <c r="E1093" s="2" t="str">
        <f>'Posted Sales Invoice Lines'!F1093</f>
        <v>Cs. 4" Brioche Bun 8-12pk</v>
      </c>
      <c r="F1093" s="3">
        <f>'Posted Sales Invoice Lines'!G1093</f>
        <v>46128</v>
      </c>
      <c r="G1093" s="9">
        <f>'Posted Sales Invoice Lines'!L1093</f>
        <v>96</v>
      </c>
      <c r="H1093" s="8">
        <f>'Posted Sales Invoice Lines'!N1093</f>
        <v>36.82</v>
      </c>
      <c r="I1093" s="8">
        <f>'Posted Sales Invoice Lines'!O1093</f>
        <v>3534.72</v>
      </c>
    </row>
    <row r="1094" spans="1:9" x14ac:dyDescent="0.25">
      <c r="A1094" s="2" t="str">
        <f>'Posted Sales Invoice Lines'!A1094</f>
        <v>PS-INV206271</v>
      </c>
      <c r="B1094" s="2" t="str">
        <f>'Posted Sales Invoice Lines'!B1094</f>
        <v>13128</v>
      </c>
      <c r="C1094" s="2" t="str">
        <f>'Posted Sales Invoice Lines'!C1094</f>
        <v>Gordon Food Service - Shepherdsville</v>
      </c>
      <c r="D1094" s="2" t="str">
        <f>'Posted Sales Invoice Lines'!E1094</f>
        <v>F51114</v>
      </c>
      <c r="E1094" s="2" t="str">
        <f>'Posted Sales Invoice Lines'!F1094</f>
        <v>Cs. Old Fashioned Hearth 5/8" 8lvs</v>
      </c>
      <c r="F1094" s="3">
        <f>'Posted Sales Invoice Lines'!G1094</f>
        <v>46128</v>
      </c>
      <c r="G1094" s="9">
        <f>'Posted Sales Invoice Lines'!L1094</f>
        <v>128</v>
      </c>
      <c r="H1094" s="8">
        <f>'Posted Sales Invoice Lines'!N1094</f>
        <v>39.700000000000003</v>
      </c>
      <c r="I1094" s="8">
        <f>'Posted Sales Invoice Lines'!O1094</f>
        <v>5081.6000000000004</v>
      </c>
    </row>
    <row r="1095" spans="1:9" x14ac:dyDescent="0.25">
      <c r="A1095" s="2" t="str">
        <f>'Posted Sales Invoice Lines'!A1095</f>
        <v>PS-INV206271</v>
      </c>
      <c r="B1095" s="2" t="str">
        <f>'Posted Sales Invoice Lines'!B1095</f>
        <v>13128</v>
      </c>
      <c r="C1095" s="2" t="str">
        <f>'Posted Sales Invoice Lines'!C1095</f>
        <v>Gordon Food Service - Shepherdsville</v>
      </c>
      <c r="D1095" s="2" t="str">
        <f>'Posted Sales Invoice Lines'!E1095</f>
        <v>F56251</v>
      </c>
      <c r="E1095" s="2" t="str">
        <f>'Posted Sales Invoice Lines'!F1095</f>
        <v>Cs. Challah Sliders Sliced 18-12pks</v>
      </c>
      <c r="F1095" s="3">
        <f>'Posted Sales Invoice Lines'!G1095</f>
        <v>46128</v>
      </c>
      <c r="G1095" s="9">
        <f>'Posted Sales Invoice Lines'!L1095</f>
        <v>576</v>
      </c>
      <c r="H1095" s="8">
        <f>'Posted Sales Invoice Lines'!N1095</f>
        <v>39.700000000000003</v>
      </c>
      <c r="I1095" s="8">
        <f>'Posted Sales Invoice Lines'!O1095</f>
        <v>22867.200000000001</v>
      </c>
    </row>
    <row r="1096" spans="1:9" x14ac:dyDescent="0.25">
      <c r="A1096" s="2" t="str">
        <f>'Posted Sales Invoice Lines'!A1096</f>
        <v>PS-INV206275</v>
      </c>
      <c r="B1096" s="2" t="str">
        <f>'Posted Sales Invoice Lines'!B1096</f>
        <v>10719-6</v>
      </c>
      <c r="C1096" s="2" t="str">
        <f>'Posted Sales Invoice Lines'!C1096</f>
        <v>US Foods - Alcoa TN.</v>
      </c>
      <c r="D1096" s="2" t="str">
        <f>'Posted Sales Invoice Lines'!E1096</f>
        <v>F530491</v>
      </c>
      <c r="E1096" s="2" t="str">
        <f>'Posted Sales Invoice Lines'!F1096</f>
        <v>Cs. 4.5 Brioche Bun 6-12pk</v>
      </c>
      <c r="F1096" s="3">
        <f>'Posted Sales Invoice Lines'!G1096</f>
        <v>46133</v>
      </c>
      <c r="G1096" s="9">
        <f>'Posted Sales Invoice Lines'!L1096</f>
        <v>28</v>
      </c>
      <c r="H1096" s="8">
        <f>'Posted Sales Invoice Lines'!N1096</f>
        <v>40</v>
      </c>
      <c r="I1096" s="8">
        <f>'Posted Sales Invoice Lines'!O1096</f>
        <v>1120</v>
      </c>
    </row>
    <row r="1097" spans="1:9" x14ac:dyDescent="0.25">
      <c r="A1097" s="2" t="str">
        <f>'Posted Sales Invoice Lines'!A1097</f>
        <v>PS-INV206275</v>
      </c>
      <c r="B1097" s="2" t="str">
        <f>'Posted Sales Invoice Lines'!B1097</f>
        <v>10719-6</v>
      </c>
      <c r="C1097" s="2" t="str">
        <f>'Posted Sales Invoice Lines'!C1097</f>
        <v>US Foods - Alcoa TN.</v>
      </c>
      <c r="D1097" s="2" t="str">
        <f>'Posted Sales Invoice Lines'!E1097</f>
        <v>F52540</v>
      </c>
      <c r="E1097" s="2" t="str">
        <f>'Posted Sales Invoice Lines'!F1097</f>
        <v>Cs. Sour Dough Batard 1/2" 8lvs</v>
      </c>
      <c r="F1097" s="3">
        <f>'Posted Sales Invoice Lines'!G1097</f>
        <v>46133</v>
      </c>
      <c r="G1097" s="9">
        <f>'Posted Sales Invoice Lines'!L1097</f>
        <v>4</v>
      </c>
      <c r="H1097" s="8">
        <f>'Posted Sales Invoice Lines'!N1097</f>
        <v>56</v>
      </c>
      <c r="I1097" s="8">
        <f>'Posted Sales Invoice Lines'!O1097</f>
        <v>224</v>
      </c>
    </row>
    <row r="1098" spans="1:9" x14ac:dyDescent="0.25">
      <c r="A1098" s="2" t="str">
        <f>'Posted Sales Invoice Lines'!A1098</f>
        <v>PS-INV206275</v>
      </c>
      <c r="B1098" s="2" t="str">
        <f>'Posted Sales Invoice Lines'!B1098</f>
        <v>10719-6</v>
      </c>
      <c r="C1098" s="2" t="str">
        <f>'Posted Sales Invoice Lines'!C1098</f>
        <v>US Foods - Alcoa TN.</v>
      </c>
      <c r="D1098" s="2" t="str">
        <f>'Posted Sales Invoice Lines'!E1098</f>
        <v>F51136</v>
      </c>
      <c r="E1098" s="2" t="str">
        <f>'Posted Sales Invoice Lines'!F1098</f>
        <v>Cs. Texas Toast 1" 12lvs</v>
      </c>
      <c r="F1098" s="3">
        <f>'Posted Sales Invoice Lines'!G1098</f>
        <v>46133</v>
      </c>
      <c r="G1098" s="9">
        <f>'Posted Sales Invoice Lines'!L1098</f>
        <v>44</v>
      </c>
      <c r="H1098" s="8">
        <f>'Posted Sales Invoice Lines'!N1098</f>
        <v>40.119999999999997</v>
      </c>
      <c r="I1098" s="8">
        <f>'Posted Sales Invoice Lines'!O1098</f>
        <v>1765.28</v>
      </c>
    </row>
    <row r="1099" spans="1:9" x14ac:dyDescent="0.25">
      <c r="A1099" s="2" t="str">
        <f>'Posted Sales Invoice Lines'!A1099</f>
        <v>PS-INV206275</v>
      </c>
      <c r="B1099" s="2" t="str">
        <f>'Posted Sales Invoice Lines'!B1099</f>
        <v>10719-6</v>
      </c>
      <c r="C1099" s="2" t="str">
        <f>'Posted Sales Invoice Lines'!C1099</f>
        <v>US Foods - Alcoa TN.</v>
      </c>
      <c r="D1099" s="2" t="str">
        <f>'Posted Sales Invoice Lines'!E1099</f>
        <v>F51004</v>
      </c>
      <c r="E1099" s="2" t="str">
        <f>'Posted Sales Invoice Lines'!F1099</f>
        <v>Cs. Rye 5/8" 8lvs</v>
      </c>
      <c r="F1099" s="3">
        <f>'Posted Sales Invoice Lines'!G1099</f>
        <v>46133</v>
      </c>
      <c r="G1099" s="9">
        <f>'Posted Sales Invoice Lines'!L1099</f>
        <v>4</v>
      </c>
      <c r="H1099" s="8">
        <f>'Posted Sales Invoice Lines'!N1099</f>
        <v>42.03</v>
      </c>
      <c r="I1099" s="8">
        <f>'Posted Sales Invoice Lines'!O1099</f>
        <v>168.12</v>
      </c>
    </row>
    <row r="1100" spans="1:9" x14ac:dyDescent="0.25">
      <c r="A1100" s="2" t="str">
        <f>'Posted Sales Invoice Lines'!A1100</f>
        <v>PS-INV206275</v>
      </c>
      <c r="B1100" s="2" t="str">
        <f>'Posted Sales Invoice Lines'!B1100</f>
        <v>10719-6</v>
      </c>
      <c r="C1100" s="2" t="str">
        <f>'Posted Sales Invoice Lines'!C1100</f>
        <v>US Foods - Alcoa TN.</v>
      </c>
      <c r="D1100" s="2" t="str">
        <f>'Posted Sales Invoice Lines'!E1100</f>
        <v>F53025</v>
      </c>
      <c r="E1100" s="2" t="str">
        <f>'Posted Sales Invoice Lines'!F1100</f>
        <v>Cs. Sesame Challah Kaiser 8-12pk</v>
      </c>
      <c r="F1100" s="3">
        <f>'Posted Sales Invoice Lines'!G1100</f>
        <v>46133</v>
      </c>
      <c r="G1100" s="9">
        <f>'Posted Sales Invoice Lines'!L1100</f>
        <v>252</v>
      </c>
      <c r="H1100" s="8">
        <f>'Posted Sales Invoice Lines'!N1100</f>
        <v>39</v>
      </c>
      <c r="I1100" s="8">
        <f>'Posted Sales Invoice Lines'!O1100</f>
        <v>9828</v>
      </c>
    </row>
    <row r="1101" spans="1:9" x14ac:dyDescent="0.25">
      <c r="A1101" s="2" t="str">
        <f>'Posted Sales Invoice Lines'!A1101</f>
        <v>PS-INV206275</v>
      </c>
      <c r="B1101" s="2" t="str">
        <f>'Posted Sales Invoice Lines'!B1101</f>
        <v>10719-6</v>
      </c>
      <c r="C1101" s="2" t="str">
        <f>'Posted Sales Invoice Lines'!C1101</f>
        <v>US Foods - Alcoa TN.</v>
      </c>
      <c r="D1101" s="2" t="str">
        <f>'Posted Sales Invoice Lines'!E1101</f>
        <v>F53087</v>
      </c>
      <c r="E1101" s="2" t="str">
        <f>'Posted Sales Invoice Lines'!F1101</f>
        <v>Cs. 3.5" Challah Bun 8-12 pk</v>
      </c>
      <c r="F1101" s="3">
        <f>'Posted Sales Invoice Lines'!G1101</f>
        <v>46133</v>
      </c>
      <c r="G1101" s="9">
        <f>'Posted Sales Invoice Lines'!L1101</f>
        <v>100</v>
      </c>
      <c r="H1101" s="8">
        <f>'Posted Sales Invoice Lines'!N1101</f>
        <v>36.24</v>
      </c>
      <c r="I1101" s="8">
        <f>'Posted Sales Invoice Lines'!O1101</f>
        <v>3624</v>
      </c>
    </row>
    <row r="1102" spans="1:9" x14ac:dyDescent="0.25">
      <c r="A1102" s="2" t="str">
        <f>'Posted Sales Invoice Lines'!A1102</f>
        <v>PS-INV206275</v>
      </c>
      <c r="B1102" s="2" t="str">
        <f>'Posted Sales Invoice Lines'!B1102</f>
        <v>10719-6</v>
      </c>
      <c r="C1102" s="2" t="str">
        <f>'Posted Sales Invoice Lines'!C1102</f>
        <v>US Foods - Alcoa TN.</v>
      </c>
      <c r="D1102" s="2" t="str">
        <f>'Posted Sales Invoice Lines'!E1102</f>
        <v>F51066</v>
      </c>
      <c r="E1102" s="2" t="str">
        <f>'Posted Sales Invoice Lines'!F1102</f>
        <v>Cs. Honey Wheat 3/4" 8lvs</v>
      </c>
      <c r="F1102" s="3">
        <f>'Posted Sales Invoice Lines'!G1102</f>
        <v>46133</v>
      </c>
      <c r="G1102" s="9">
        <f>'Posted Sales Invoice Lines'!L1102</f>
        <v>28</v>
      </c>
      <c r="H1102" s="8">
        <f>'Posted Sales Invoice Lines'!N1102</f>
        <v>35.21</v>
      </c>
      <c r="I1102" s="8">
        <f>'Posted Sales Invoice Lines'!O1102</f>
        <v>985.88</v>
      </c>
    </row>
    <row r="1103" spans="1:9" x14ac:dyDescent="0.25">
      <c r="A1103" s="2" t="str">
        <f>'Posted Sales Invoice Lines'!A1103</f>
        <v>PS-INV206275</v>
      </c>
      <c r="B1103" s="2" t="str">
        <f>'Posted Sales Invoice Lines'!B1103</f>
        <v>10719-6</v>
      </c>
      <c r="C1103" s="2" t="str">
        <f>'Posted Sales Invoice Lines'!C1103</f>
        <v>US Foods - Alcoa TN.</v>
      </c>
      <c r="D1103" s="2" t="str">
        <f>'Posted Sales Invoice Lines'!E1103</f>
        <v>F53001</v>
      </c>
      <c r="E1103" s="2" t="str">
        <f>'Posted Sales Invoice Lines'!F1103</f>
        <v>Cs. 4" Brioche Bun 8-12pk</v>
      </c>
      <c r="F1103" s="3">
        <f>'Posted Sales Invoice Lines'!G1103</f>
        <v>46133</v>
      </c>
      <c r="G1103" s="9">
        <f>'Posted Sales Invoice Lines'!L1103</f>
        <v>28</v>
      </c>
      <c r="H1103" s="8">
        <f>'Posted Sales Invoice Lines'!N1103</f>
        <v>45.49</v>
      </c>
      <c r="I1103" s="8">
        <f>'Posted Sales Invoice Lines'!O1103</f>
        <v>1273.72</v>
      </c>
    </row>
    <row r="1104" spans="1:9" x14ac:dyDescent="0.25">
      <c r="A1104" s="2" t="str">
        <f>'Posted Sales Invoice Lines'!A1104</f>
        <v>PS-INV206275</v>
      </c>
      <c r="B1104" s="2" t="str">
        <f>'Posted Sales Invoice Lines'!B1104</f>
        <v>10719-6</v>
      </c>
      <c r="C1104" s="2" t="str">
        <f>'Posted Sales Invoice Lines'!C1104</f>
        <v>US Foods - Alcoa TN.</v>
      </c>
      <c r="D1104" s="2" t="str">
        <f>'Posted Sales Invoice Lines'!E1104</f>
        <v>F530501</v>
      </c>
      <c r="E1104" s="2" t="str">
        <f>'Posted Sales Invoice Lines'!F1104</f>
        <v>Cs. 4.5" Challah Kaiser 6-12pk</v>
      </c>
      <c r="F1104" s="3">
        <f>'Posted Sales Invoice Lines'!G1104</f>
        <v>46133</v>
      </c>
      <c r="G1104" s="9">
        <f>'Posted Sales Invoice Lines'!L1104</f>
        <v>16</v>
      </c>
      <c r="H1104" s="8">
        <f>'Posted Sales Invoice Lines'!N1104</f>
        <v>37.020000000000003</v>
      </c>
      <c r="I1104" s="8">
        <f>'Posted Sales Invoice Lines'!O1104</f>
        <v>592.32000000000005</v>
      </c>
    </row>
    <row r="1105" spans="1:9" x14ac:dyDescent="0.25">
      <c r="A1105" s="2" t="str">
        <f>'Posted Sales Invoice Lines'!A1105</f>
        <v>PS-INV206275</v>
      </c>
      <c r="B1105" s="2" t="str">
        <f>'Posted Sales Invoice Lines'!B1105</f>
        <v>10719-6</v>
      </c>
      <c r="C1105" s="2" t="str">
        <f>'Posted Sales Invoice Lines'!C1105</f>
        <v>US Foods - Alcoa TN.</v>
      </c>
      <c r="D1105" s="2" t="str">
        <f>'Posted Sales Invoice Lines'!E1105</f>
        <v>F51084</v>
      </c>
      <c r="E1105" s="2" t="str">
        <f>'Posted Sales Invoice Lines'!F1105</f>
        <v>Cs. Wheatberry Hearth</v>
      </c>
      <c r="F1105" s="3">
        <f>'Posted Sales Invoice Lines'!G1105</f>
        <v>46133</v>
      </c>
      <c r="G1105" s="9">
        <f>'Posted Sales Invoice Lines'!L1105</f>
        <v>8</v>
      </c>
      <c r="H1105" s="8">
        <f>'Posted Sales Invoice Lines'!N1105</f>
        <v>52.47</v>
      </c>
      <c r="I1105" s="8">
        <f>'Posted Sales Invoice Lines'!O1105</f>
        <v>419.76</v>
      </c>
    </row>
    <row r="1106" spans="1:9" x14ac:dyDescent="0.25">
      <c r="A1106" s="2" t="str">
        <f>'Posted Sales Invoice Lines'!A1106</f>
        <v>PS-INV206275</v>
      </c>
      <c r="B1106" s="2" t="str">
        <f>'Posted Sales Invoice Lines'!B1106</f>
        <v>10719-6</v>
      </c>
      <c r="C1106" s="2" t="str">
        <f>'Posted Sales Invoice Lines'!C1106</f>
        <v>US Foods - Alcoa TN.</v>
      </c>
      <c r="D1106" s="2" t="str">
        <f>'Posted Sales Invoice Lines'!E1106</f>
        <v>F51024</v>
      </c>
      <c r="E1106" s="2" t="str">
        <f>'Posted Sales Invoice Lines'!F1106</f>
        <v>Cs. Marble Rye 5/8" 8lvs</v>
      </c>
      <c r="F1106" s="3">
        <f>'Posted Sales Invoice Lines'!G1106</f>
        <v>46133</v>
      </c>
      <c r="G1106" s="9">
        <f>'Posted Sales Invoice Lines'!L1106</f>
        <v>8</v>
      </c>
      <c r="H1106" s="8">
        <f>'Posted Sales Invoice Lines'!N1106</f>
        <v>54</v>
      </c>
      <c r="I1106" s="8">
        <f>'Posted Sales Invoice Lines'!O1106</f>
        <v>432</v>
      </c>
    </row>
    <row r="1107" spans="1:9" x14ac:dyDescent="0.25">
      <c r="A1107" s="2" t="str">
        <f>'Posted Sales Invoice Lines'!A1107</f>
        <v>PS-INV206275</v>
      </c>
      <c r="B1107" s="2" t="str">
        <f>'Posted Sales Invoice Lines'!B1107</f>
        <v>10719-6</v>
      </c>
      <c r="C1107" s="2" t="str">
        <f>'Posted Sales Invoice Lines'!C1107</f>
        <v>US Foods - Alcoa TN.</v>
      </c>
      <c r="D1107" s="2" t="str">
        <f>'Posted Sales Invoice Lines'!E1107</f>
        <v>F51034</v>
      </c>
      <c r="E1107" s="2" t="str">
        <f>'Posted Sales Invoice Lines'!F1107</f>
        <v>Cs. Sour Dough Hearth 5/8" 8lvs</v>
      </c>
      <c r="F1107" s="3">
        <f>'Posted Sales Invoice Lines'!G1107</f>
        <v>46133</v>
      </c>
      <c r="G1107" s="9">
        <f>'Posted Sales Invoice Lines'!L1107</f>
        <v>4</v>
      </c>
      <c r="H1107" s="8">
        <f>'Posted Sales Invoice Lines'!N1107</f>
        <v>43.2</v>
      </c>
      <c r="I1107" s="8">
        <f>'Posted Sales Invoice Lines'!O1107</f>
        <v>172.8</v>
      </c>
    </row>
    <row r="1108" spans="1:9" x14ac:dyDescent="0.25">
      <c r="A1108" s="2" t="str">
        <f>'Posted Sales Invoice Lines'!A1108</f>
        <v>PS-INV206275</v>
      </c>
      <c r="B1108" s="2" t="str">
        <f>'Posted Sales Invoice Lines'!B1108</f>
        <v>10719-6</v>
      </c>
      <c r="C1108" s="2" t="str">
        <f>'Posted Sales Invoice Lines'!C1108</f>
        <v>US Foods - Alcoa TN.</v>
      </c>
      <c r="D1108" s="2" t="str">
        <f>'Posted Sales Invoice Lines'!E1108</f>
        <v>F51157</v>
      </c>
      <c r="E1108" s="2" t="str">
        <f>'Posted Sales Invoice Lines'!F1108</f>
        <v>Cs. Challah Hearth 7/8" 8lvs</v>
      </c>
      <c r="F1108" s="3">
        <f>'Posted Sales Invoice Lines'!G1108</f>
        <v>46133</v>
      </c>
      <c r="G1108" s="9">
        <f>'Posted Sales Invoice Lines'!L1108</f>
        <v>72</v>
      </c>
      <c r="H1108" s="8">
        <f>'Posted Sales Invoice Lines'!N1108</f>
        <v>44.15</v>
      </c>
      <c r="I1108" s="8">
        <f>'Posted Sales Invoice Lines'!O1108</f>
        <v>3178.8</v>
      </c>
    </row>
    <row r="1109" spans="1:9" x14ac:dyDescent="0.25">
      <c r="A1109" s="2" t="str">
        <f>'Posted Sales Invoice Lines'!A1109</f>
        <v>PS-INV206275</v>
      </c>
      <c r="B1109" s="2" t="str">
        <f>'Posted Sales Invoice Lines'!B1109</f>
        <v>10719-6</v>
      </c>
      <c r="C1109" s="2" t="str">
        <f>'Posted Sales Invoice Lines'!C1109</f>
        <v>US Foods - Alcoa TN.</v>
      </c>
      <c r="D1109" s="2" t="str">
        <f>'Posted Sales Invoice Lines'!E1109</f>
        <v>F53100</v>
      </c>
      <c r="E1109" s="2" t="str">
        <f>'Posted Sales Invoice Lines'!F1109</f>
        <v>Cs. Hot Dog pl/sl 12-8pk</v>
      </c>
      <c r="F1109" s="3">
        <f>'Posted Sales Invoice Lines'!G1109</f>
        <v>46133</v>
      </c>
      <c r="G1109" s="9">
        <f>'Posted Sales Invoice Lines'!L1109</f>
        <v>20</v>
      </c>
      <c r="H1109" s="8">
        <f>'Posted Sales Invoice Lines'!N1109</f>
        <v>36.6</v>
      </c>
      <c r="I1109" s="8">
        <f>'Posted Sales Invoice Lines'!O1109</f>
        <v>732</v>
      </c>
    </row>
    <row r="1110" spans="1:9" x14ac:dyDescent="0.25">
      <c r="A1110" s="2" t="str">
        <f>'Posted Sales Invoice Lines'!A1110</f>
        <v>PS-INV206275</v>
      </c>
      <c r="B1110" s="2" t="str">
        <f>'Posted Sales Invoice Lines'!B1110</f>
        <v>10719-6</v>
      </c>
      <c r="C1110" s="2" t="str">
        <f>'Posted Sales Invoice Lines'!C1110</f>
        <v>US Foods - Alcoa TN.</v>
      </c>
      <c r="D1110" s="2" t="str">
        <f>'Posted Sales Invoice Lines'!E1110</f>
        <v>F53006</v>
      </c>
      <c r="E1110" s="2" t="str">
        <f>'Posted Sales Invoice Lines'!F1110</f>
        <v>Cs. 4" Wheat Bun 8-12pk</v>
      </c>
      <c r="F1110" s="3">
        <f>'Posted Sales Invoice Lines'!G1110</f>
        <v>46133</v>
      </c>
      <c r="G1110" s="9">
        <f>'Posted Sales Invoice Lines'!L1110</f>
        <v>4</v>
      </c>
      <c r="H1110" s="8">
        <f>'Posted Sales Invoice Lines'!N1110</f>
        <v>40.22</v>
      </c>
      <c r="I1110" s="8">
        <f>'Posted Sales Invoice Lines'!O1110</f>
        <v>160.88</v>
      </c>
    </row>
    <row r="1111" spans="1:9" x14ac:dyDescent="0.25">
      <c r="A1111" s="2" t="str">
        <f>'Posted Sales Invoice Lines'!A1111</f>
        <v>PS-INV206275</v>
      </c>
      <c r="B1111" s="2" t="str">
        <f>'Posted Sales Invoice Lines'!B1111</f>
        <v>10719-6</v>
      </c>
      <c r="C1111" s="2" t="str">
        <f>'Posted Sales Invoice Lines'!C1111</f>
        <v>US Foods - Alcoa TN.</v>
      </c>
      <c r="D1111" s="2" t="str">
        <f>'Posted Sales Invoice Lines'!E1111</f>
        <v>F53127</v>
      </c>
      <c r="E1111" s="2" t="str">
        <f>'Posted Sales Invoice Lines'!F1111</f>
        <v>Cs. 8" Philly 10-6pks</v>
      </c>
      <c r="F1111" s="3">
        <f>'Posted Sales Invoice Lines'!G1111</f>
        <v>46133</v>
      </c>
      <c r="G1111" s="9">
        <f>'Posted Sales Invoice Lines'!L1111</f>
        <v>98</v>
      </c>
      <c r="H1111" s="8">
        <f>'Posted Sales Invoice Lines'!N1111</f>
        <v>42.37</v>
      </c>
      <c r="I1111" s="8">
        <f>'Posted Sales Invoice Lines'!O1111</f>
        <v>4152.26</v>
      </c>
    </row>
    <row r="1112" spans="1:9" x14ac:dyDescent="0.25">
      <c r="A1112" s="2" t="str">
        <f>'Posted Sales Invoice Lines'!A1112</f>
        <v>PS-INV206275</v>
      </c>
      <c r="B1112" s="2" t="str">
        <f>'Posted Sales Invoice Lines'!B1112</f>
        <v>10719-6</v>
      </c>
      <c r="C1112" s="2" t="str">
        <f>'Posted Sales Invoice Lines'!C1112</f>
        <v>US Foods - Alcoa TN.</v>
      </c>
      <c r="D1112" s="2" t="str">
        <f>'Posted Sales Invoice Lines'!E1112</f>
        <v>F51343</v>
      </c>
      <c r="E1112" s="2" t="str">
        <f>'Posted Sales Invoice Lines'!F1112</f>
        <v>Cs. White Bread Pullman 3/4" 10lvs</v>
      </c>
      <c r="F1112" s="3">
        <f>'Posted Sales Invoice Lines'!G1112</f>
        <v>46133</v>
      </c>
      <c r="G1112" s="9">
        <f>'Posted Sales Invoice Lines'!L1112</f>
        <v>14</v>
      </c>
      <c r="H1112" s="8">
        <f>'Posted Sales Invoice Lines'!N1112</f>
        <v>42.22</v>
      </c>
      <c r="I1112" s="8">
        <f>'Posted Sales Invoice Lines'!O1112</f>
        <v>591.08000000000004</v>
      </c>
    </row>
    <row r="1113" spans="1:9" x14ac:dyDescent="0.25">
      <c r="A1113" s="2" t="str">
        <f>'Posted Sales Invoice Lines'!A1113</f>
        <v>PS-INV206275</v>
      </c>
      <c r="B1113" s="2" t="str">
        <f>'Posted Sales Invoice Lines'!B1113</f>
        <v>10719-6</v>
      </c>
      <c r="C1113" s="2" t="str">
        <f>'Posted Sales Invoice Lines'!C1113</f>
        <v>US Foods - Alcoa TN.</v>
      </c>
      <c r="D1113" s="2" t="str">
        <f>'Posted Sales Invoice Lines'!E1113</f>
        <v>F52035</v>
      </c>
      <c r="E1113" s="2" t="str">
        <f>'Posted Sales Invoice Lines'!F1113</f>
        <v>Cs. French Boule 12-2pk</v>
      </c>
      <c r="F1113" s="3">
        <f>'Posted Sales Invoice Lines'!G1113</f>
        <v>46133</v>
      </c>
      <c r="G1113" s="9">
        <f>'Posted Sales Invoice Lines'!L1113</f>
        <v>32</v>
      </c>
      <c r="H1113" s="8">
        <f>'Posted Sales Invoice Lines'!N1113</f>
        <v>32.549999999999997</v>
      </c>
      <c r="I1113" s="8">
        <f>'Posted Sales Invoice Lines'!O1113</f>
        <v>1041.5999999999999</v>
      </c>
    </row>
    <row r="1114" spans="1:9" x14ac:dyDescent="0.25">
      <c r="A1114" s="2" t="str">
        <f>'Posted Sales Invoice Lines'!A1114</f>
        <v>PS-INV206275</v>
      </c>
      <c r="B1114" s="2" t="str">
        <f>'Posted Sales Invoice Lines'!B1114</f>
        <v>10719-6</v>
      </c>
      <c r="C1114" s="2" t="str">
        <f>'Posted Sales Invoice Lines'!C1114</f>
        <v>US Foods - Alcoa TN.</v>
      </c>
      <c r="D1114" s="2" t="str">
        <f>'Posted Sales Invoice Lines'!E1114</f>
        <v>F53106</v>
      </c>
      <c r="E1114" s="2" t="str">
        <f>'Posted Sales Invoice Lines'!F1114</f>
        <v>Cs. Large Hot Dog 12-6pk</v>
      </c>
      <c r="F1114" s="3">
        <f>'Posted Sales Invoice Lines'!G1114</f>
        <v>46133</v>
      </c>
      <c r="G1114" s="9">
        <f>'Posted Sales Invoice Lines'!L1114</f>
        <v>12</v>
      </c>
      <c r="H1114" s="8">
        <f>'Posted Sales Invoice Lines'!N1114</f>
        <v>35.57</v>
      </c>
      <c r="I1114" s="8">
        <f>'Posted Sales Invoice Lines'!O1114</f>
        <v>426.84</v>
      </c>
    </row>
    <row r="1115" spans="1:9" x14ac:dyDescent="0.25">
      <c r="A1115" s="2" t="str">
        <f>'Posted Sales Invoice Lines'!A1115</f>
        <v>PS-INV206275</v>
      </c>
      <c r="B1115" s="2" t="str">
        <f>'Posted Sales Invoice Lines'!B1115</f>
        <v>10719-6</v>
      </c>
      <c r="C1115" s="2" t="str">
        <f>'Posted Sales Invoice Lines'!C1115</f>
        <v>US Foods - Alcoa TN.</v>
      </c>
      <c r="D1115" s="2" t="str">
        <f>'Posted Sales Invoice Lines'!E1115</f>
        <v>F52032</v>
      </c>
      <c r="E1115" s="2" t="str">
        <f>'Posted Sales Invoice Lines'!F1115</f>
        <v>Cs. 8oz Sour Dough Boule 12-2pk</v>
      </c>
      <c r="F1115" s="3">
        <f>'Posted Sales Invoice Lines'!G1115</f>
        <v>46133</v>
      </c>
      <c r="G1115" s="9">
        <f>'Posted Sales Invoice Lines'!L1115</f>
        <v>28</v>
      </c>
      <c r="H1115" s="8">
        <f>'Posted Sales Invoice Lines'!N1115</f>
        <v>41.25</v>
      </c>
      <c r="I1115" s="8">
        <f>'Posted Sales Invoice Lines'!O1115</f>
        <v>1155</v>
      </c>
    </row>
    <row r="1116" spans="1:9" x14ac:dyDescent="0.25">
      <c r="A1116" s="2" t="str">
        <f>'Posted Sales Invoice Lines'!A1116</f>
        <v>PS-INV206275</v>
      </c>
      <c r="B1116" s="2" t="str">
        <f>'Posted Sales Invoice Lines'!B1116</f>
        <v>10719-6</v>
      </c>
      <c r="C1116" s="2" t="str">
        <f>'Posted Sales Invoice Lines'!C1116</f>
        <v>US Foods - Alcoa TN.</v>
      </c>
      <c r="D1116" s="2" t="str">
        <f>'Posted Sales Invoice Lines'!E1116</f>
        <v>F53024</v>
      </c>
      <c r="E1116" s="2" t="str">
        <f>'Posted Sales Invoice Lines'!F1116</f>
        <v>Cs. 4" Challah Kaiser 8-12pk</v>
      </c>
      <c r="F1116" s="3">
        <f>'Posted Sales Invoice Lines'!G1116</f>
        <v>46133</v>
      </c>
      <c r="G1116" s="9">
        <f>'Posted Sales Invoice Lines'!L1116</f>
        <v>28</v>
      </c>
      <c r="H1116" s="8">
        <f>'Posted Sales Invoice Lines'!N1116</f>
        <v>40.22</v>
      </c>
      <c r="I1116" s="8">
        <f>'Posted Sales Invoice Lines'!O1116</f>
        <v>1126.1600000000001</v>
      </c>
    </row>
    <row r="1117" spans="1:9" x14ac:dyDescent="0.25">
      <c r="A1117" s="2" t="str">
        <f>'Posted Sales Invoice Lines'!A1117</f>
        <v>PS-INV206275</v>
      </c>
      <c r="B1117" s="2" t="str">
        <f>'Posted Sales Invoice Lines'!B1117</f>
        <v>10719-6</v>
      </c>
      <c r="C1117" s="2" t="str">
        <f>'Posted Sales Invoice Lines'!C1117</f>
        <v>US Foods - Alcoa TN.</v>
      </c>
      <c r="D1117" s="2" t="str">
        <f>'Posted Sales Invoice Lines'!E1117</f>
        <v>F53086</v>
      </c>
      <c r="E1117" s="2" t="str">
        <f>'Posted Sales Invoice Lines'!F1117</f>
        <v>Cs. 3.5" Plain Hamburger Bun 8-12pk</v>
      </c>
      <c r="F1117" s="3">
        <f>'Posted Sales Invoice Lines'!G1117</f>
        <v>46133</v>
      </c>
      <c r="G1117" s="9">
        <f>'Posted Sales Invoice Lines'!L1117</f>
        <v>8</v>
      </c>
      <c r="H1117" s="8">
        <f>'Posted Sales Invoice Lines'!N1117</f>
        <v>36.24</v>
      </c>
      <c r="I1117" s="8">
        <f>'Posted Sales Invoice Lines'!O1117</f>
        <v>289.92</v>
      </c>
    </row>
    <row r="1118" spans="1:9" x14ac:dyDescent="0.25">
      <c r="A1118" s="2" t="str">
        <f>'Posted Sales Invoice Lines'!A1118</f>
        <v>PS-INV206475</v>
      </c>
      <c r="B1118" s="2" t="str">
        <f>'Posted Sales Invoice Lines'!B1118</f>
        <v>10540-03</v>
      </c>
      <c r="C1118" s="2" t="str">
        <f>'Posted Sales Invoice Lines'!C1118</f>
        <v>PFG Louisville TN</v>
      </c>
      <c r="D1118" s="2" t="str">
        <f>'Posted Sales Invoice Lines'!E1118</f>
        <v>F53160</v>
      </c>
      <c r="E1118" s="2" t="str">
        <f>'Posted Sales Invoice Lines'!F1118</f>
        <v>Cs. Large White Sub 6-6pk</v>
      </c>
      <c r="F1118" s="3">
        <f>'Posted Sales Invoice Lines'!G1118</f>
        <v>46114</v>
      </c>
      <c r="G1118" s="9">
        <f>'Posted Sales Invoice Lines'!L1118</f>
        <v>56</v>
      </c>
      <c r="H1118" s="8">
        <f>'Posted Sales Invoice Lines'!N1118</f>
        <v>34.200000000000003</v>
      </c>
      <c r="I1118" s="8">
        <f>'Posted Sales Invoice Lines'!O1118</f>
        <v>1915.2</v>
      </c>
    </row>
    <row r="1119" spans="1:9" x14ac:dyDescent="0.25">
      <c r="A1119" s="2" t="str">
        <f>'Posted Sales Invoice Lines'!A1119</f>
        <v>PS-INV206486</v>
      </c>
      <c r="B1119" s="2" t="str">
        <f>'Posted Sales Invoice Lines'!B1119</f>
        <v>10899</v>
      </c>
      <c r="C1119" s="2" t="str">
        <f>'Posted Sales Invoice Lines'!C1119</f>
        <v>Wood Fruitticher Grocery Co.</v>
      </c>
      <c r="D1119" s="2" t="str">
        <f>'Posted Sales Invoice Lines'!E1119</f>
        <v>F53072</v>
      </c>
      <c r="E1119" s="2" t="str">
        <f>'Posted Sales Invoice Lines'!F1119</f>
        <v>Cs. 5" Challah Bun 8-8pk</v>
      </c>
      <c r="F1119" s="3">
        <f>'Posted Sales Invoice Lines'!G1119</f>
        <v>46128</v>
      </c>
      <c r="G1119" s="9">
        <f>'Posted Sales Invoice Lines'!L1119</f>
        <v>32</v>
      </c>
      <c r="H1119" s="8">
        <f>'Posted Sales Invoice Lines'!N1119</f>
        <v>34.93</v>
      </c>
      <c r="I1119" s="8">
        <f>'Posted Sales Invoice Lines'!O1119</f>
        <v>1117.76</v>
      </c>
    </row>
    <row r="1120" spans="1:9" x14ac:dyDescent="0.25">
      <c r="A1120" s="2" t="str">
        <f>'Posted Sales Invoice Lines'!A1120</f>
        <v>PS-INV206486</v>
      </c>
      <c r="B1120" s="2" t="str">
        <f>'Posted Sales Invoice Lines'!B1120</f>
        <v>10899</v>
      </c>
      <c r="C1120" s="2" t="str">
        <f>'Posted Sales Invoice Lines'!C1120</f>
        <v>Wood Fruitticher Grocery Co.</v>
      </c>
      <c r="D1120" s="2" t="str">
        <f>'Posted Sales Invoice Lines'!E1120</f>
        <v>F54301</v>
      </c>
      <c r="E1120" s="2" t="str">
        <f>'Posted Sales Invoice Lines'!F1120</f>
        <v>Cs. Potato Roll Sliced 12-16pk</v>
      </c>
      <c r="F1120" s="3">
        <f>'Posted Sales Invoice Lines'!G1120</f>
        <v>46128</v>
      </c>
      <c r="G1120" s="9">
        <f>'Posted Sales Invoice Lines'!L1120</f>
        <v>36</v>
      </c>
      <c r="H1120" s="8">
        <f>'Posted Sales Invoice Lines'!N1120</f>
        <v>40.1</v>
      </c>
      <c r="I1120" s="8">
        <f>'Posted Sales Invoice Lines'!O1120</f>
        <v>1443.6</v>
      </c>
    </row>
    <row r="1121" spans="1:9" x14ac:dyDescent="0.25">
      <c r="A1121" s="2" t="str">
        <f>'Posted Sales Invoice Lines'!A1121</f>
        <v>PS-INV206486</v>
      </c>
      <c r="B1121" s="2" t="str">
        <f>'Posted Sales Invoice Lines'!B1121</f>
        <v>10899</v>
      </c>
      <c r="C1121" s="2" t="str">
        <f>'Posted Sales Invoice Lines'!C1121</f>
        <v>Wood Fruitticher Grocery Co.</v>
      </c>
      <c r="D1121" s="2" t="str">
        <f>'Posted Sales Invoice Lines'!E1121</f>
        <v>F53115</v>
      </c>
      <c r="E1121" s="2" t="str">
        <f>'Posted Sales Invoice Lines'!F1121</f>
        <v>Cs. 7" French Unsliced 12-6pk</v>
      </c>
      <c r="F1121" s="3">
        <f>'Posted Sales Invoice Lines'!G1121</f>
        <v>46128</v>
      </c>
      <c r="G1121" s="9">
        <f>'Posted Sales Invoice Lines'!L1121</f>
        <v>48</v>
      </c>
      <c r="H1121" s="8">
        <f>'Posted Sales Invoice Lines'!N1121</f>
        <v>28.88</v>
      </c>
      <c r="I1121" s="8">
        <f>'Posted Sales Invoice Lines'!O1121</f>
        <v>1386.24</v>
      </c>
    </row>
    <row r="1122" spans="1:9" x14ac:dyDescent="0.25">
      <c r="A1122" s="2" t="str">
        <f>'Posted Sales Invoice Lines'!A1122</f>
        <v>PS-INV206486</v>
      </c>
      <c r="B1122" s="2" t="str">
        <f>'Posted Sales Invoice Lines'!B1122</f>
        <v>10899</v>
      </c>
      <c r="C1122" s="2" t="str">
        <f>'Posted Sales Invoice Lines'!C1122</f>
        <v>Wood Fruitticher Grocery Co.</v>
      </c>
      <c r="D1122" s="2" t="str">
        <f>'Posted Sales Invoice Lines'!E1122</f>
        <v>F51130</v>
      </c>
      <c r="E1122" s="2" t="str">
        <f>'Posted Sales Invoice Lines'!F1122</f>
        <v>Cs. Club White 12lvs</v>
      </c>
      <c r="F1122" s="3">
        <f>'Posted Sales Invoice Lines'!G1122</f>
        <v>46128</v>
      </c>
      <c r="G1122" s="9">
        <f>'Posted Sales Invoice Lines'!L1122</f>
        <v>48</v>
      </c>
      <c r="H1122" s="8">
        <f>'Posted Sales Invoice Lines'!N1122</f>
        <v>28.49</v>
      </c>
      <c r="I1122" s="8">
        <f>'Posted Sales Invoice Lines'!O1122</f>
        <v>1367.52</v>
      </c>
    </row>
    <row r="1123" spans="1:9" x14ac:dyDescent="0.25">
      <c r="A1123" s="2" t="str">
        <f>'Posted Sales Invoice Lines'!A1123</f>
        <v>PS-INV206486</v>
      </c>
      <c r="B1123" s="2" t="str">
        <f>'Posted Sales Invoice Lines'!B1123</f>
        <v>10899</v>
      </c>
      <c r="C1123" s="2" t="str">
        <f>'Posted Sales Invoice Lines'!C1123</f>
        <v>Wood Fruitticher Grocery Co.</v>
      </c>
      <c r="D1123" s="2" t="str">
        <f>'Posted Sales Invoice Lines'!E1123</f>
        <v>F53094</v>
      </c>
      <c r="E1123" s="2" t="str">
        <f>'Posted Sales Invoice Lines'!F1123</f>
        <v>Cs. 6" Italian 12-6pks</v>
      </c>
      <c r="F1123" s="3">
        <f>'Posted Sales Invoice Lines'!G1123</f>
        <v>46128</v>
      </c>
      <c r="G1123" s="9">
        <f>'Posted Sales Invoice Lines'!L1123</f>
        <v>224</v>
      </c>
      <c r="H1123" s="8">
        <f>'Posted Sales Invoice Lines'!N1123</f>
        <v>25.25</v>
      </c>
      <c r="I1123" s="8">
        <f>'Posted Sales Invoice Lines'!O1123</f>
        <v>5656</v>
      </c>
    </row>
    <row r="1124" spans="1:9" x14ac:dyDescent="0.25">
      <c r="A1124" s="2" t="str">
        <f>'Posted Sales Invoice Lines'!A1124</f>
        <v>PS-INV206486</v>
      </c>
      <c r="B1124" s="2" t="str">
        <f>'Posted Sales Invoice Lines'!B1124</f>
        <v>10899</v>
      </c>
      <c r="C1124" s="2" t="str">
        <f>'Posted Sales Invoice Lines'!C1124</f>
        <v>Wood Fruitticher Grocery Co.</v>
      </c>
      <c r="D1124" s="2" t="str">
        <f>'Posted Sales Invoice Lines'!E1124</f>
        <v>F53116</v>
      </c>
      <c r="E1124" s="2" t="str">
        <f>'Posted Sales Invoice Lines'!F1124</f>
        <v>Cs. 7" French Hinged 12</v>
      </c>
      <c r="F1124" s="3">
        <f>'Posted Sales Invoice Lines'!G1124</f>
        <v>46128</v>
      </c>
      <c r="G1124" s="9">
        <f>'Posted Sales Invoice Lines'!L1124</f>
        <v>96</v>
      </c>
      <c r="H1124" s="8">
        <f>'Posted Sales Invoice Lines'!N1124</f>
        <v>28.88</v>
      </c>
      <c r="I1124" s="8">
        <f>'Posted Sales Invoice Lines'!O1124</f>
        <v>2772.48</v>
      </c>
    </row>
    <row r="1125" spans="1:9" x14ac:dyDescent="0.25">
      <c r="A1125" s="2" t="str">
        <f>'Posted Sales Invoice Lines'!A1125</f>
        <v>PS-INV206486</v>
      </c>
      <c r="B1125" s="2" t="str">
        <f>'Posted Sales Invoice Lines'!B1125</f>
        <v>10899</v>
      </c>
      <c r="C1125" s="2" t="str">
        <f>'Posted Sales Invoice Lines'!C1125</f>
        <v>Wood Fruitticher Grocery Co.</v>
      </c>
      <c r="D1125" s="2" t="str">
        <f>'Posted Sales Invoice Lines'!E1125</f>
        <v>F51024</v>
      </c>
      <c r="E1125" s="2" t="str">
        <f>'Posted Sales Invoice Lines'!F1125</f>
        <v>Cs. Marble Rye 5/8" 8lvs</v>
      </c>
      <c r="F1125" s="3">
        <f>'Posted Sales Invoice Lines'!G1125</f>
        <v>46128</v>
      </c>
      <c r="G1125" s="9">
        <f>'Posted Sales Invoice Lines'!L1125</f>
        <v>48</v>
      </c>
      <c r="H1125" s="8">
        <f>'Posted Sales Invoice Lines'!N1125</f>
        <v>36.630000000000003</v>
      </c>
      <c r="I1125" s="8">
        <f>'Posted Sales Invoice Lines'!O1125</f>
        <v>1758.24</v>
      </c>
    </row>
    <row r="1126" spans="1:9" x14ac:dyDescent="0.25">
      <c r="A1126" s="2" t="str">
        <f>'Posted Sales Invoice Lines'!A1126</f>
        <v>PS-INV206486</v>
      </c>
      <c r="B1126" s="2" t="str">
        <f>'Posted Sales Invoice Lines'!B1126</f>
        <v>10899</v>
      </c>
      <c r="C1126" s="2" t="str">
        <f>'Posted Sales Invoice Lines'!C1126</f>
        <v>Wood Fruitticher Grocery Co.</v>
      </c>
      <c r="D1126" s="2" t="str">
        <f>'Posted Sales Invoice Lines'!E1126</f>
        <v>F53106</v>
      </c>
      <c r="E1126" s="2" t="str">
        <f>'Posted Sales Invoice Lines'!F1126</f>
        <v>Cs. Large Hot Dog 12-6pk</v>
      </c>
      <c r="F1126" s="3">
        <f>'Posted Sales Invoice Lines'!G1126</f>
        <v>46128</v>
      </c>
      <c r="G1126" s="9">
        <f>'Posted Sales Invoice Lines'!L1126</f>
        <v>28</v>
      </c>
      <c r="H1126" s="8">
        <f>'Posted Sales Invoice Lines'!N1126</f>
        <v>35</v>
      </c>
      <c r="I1126" s="8">
        <f>'Posted Sales Invoice Lines'!O1126</f>
        <v>980</v>
      </c>
    </row>
    <row r="1127" spans="1:9" x14ac:dyDescent="0.25">
      <c r="A1127" s="2" t="str">
        <f>'Posted Sales Invoice Lines'!A1127</f>
        <v>PS-INV206486</v>
      </c>
      <c r="B1127" s="2" t="str">
        <f>'Posted Sales Invoice Lines'!B1127</f>
        <v>10899</v>
      </c>
      <c r="C1127" s="2" t="str">
        <f>'Posted Sales Invoice Lines'!C1127</f>
        <v>Wood Fruitticher Grocery Co.</v>
      </c>
      <c r="D1127" s="2" t="str">
        <f>'Posted Sales Invoice Lines'!E1127</f>
        <v>F53001</v>
      </c>
      <c r="E1127" s="2" t="str">
        <f>'Posted Sales Invoice Lines'!F1127</f>
        <v>Cs. 4" Brioche Bun 8-12pk</v>
      </c>
      <c r="F1127" s="3">
        <f>'Posted Sales Invoice Lines'!G1127</f>
        <v>46128</v>
      </c>
      <c r="G1127" s="9">
        <f>'Posted Sales Invoice Lines'!L1127</f>
        <v>280</v>
      </c>
      <c r="H1127" s="8">
        <f>'Posted Sales Invoice Lines'!N1127</f>
        <v>40.43</v>
      </c>
      <c r="I1127" s="8">
        <f>'Posted Sales Invoice Lines'!O1127</f>
        <v>11320.4</v>
      </c>
    </row>
    <row r="1128" spans="1:9" x14ac:dyDescent="0.25">
      <c r="A1128" s="2" t="str">
        <f>'Posted Sales Invoice Lines'!A1128</f>
        <v>PS-INV206678</v>
      </c>
      <c r="B1128" s="2" t="str">
        <f>'Posted Sales Invoice Lines'!B1128</f>
        <v>12438</v>
      </c>
      <c r="C1128" s="2" t="str">
        <f>'Posted Sales Invoice Lines'!C1128</f>
        <v>SGC Foodservice</v>
      </c>
      <c r="D1128" s="2" t="str">
        <f>'Posted Sales Invoice Lines'!E1128</f>
        <v>F56251</v>
      </c>
      <c r="E1128" s="2" t="str">
        <f>'Posted Sales Invoice Lines'!F1128</f>
        <v>Cs. Challah Sliders Sliced 18-12pks</v>
      </c>
      <c r="F1128" s="3">
        <f>'Posted Sales Invoice Lines'!G1128</f>
        <v>46115</v>
      </c>
      <c r="G1128" s="9">
        <f>'Posted Sales Invoice Lines'!L1128</f>
        <v>112</v>
      </c>
      <c r="H1128" s="8">
        <f>'Posted Sales Invoice Lines'!N1128</f>
        <v>10.7</v>
      </c>
      <c r="I1128" s="8">
        <f>'Posted Sales Invoice Lines'!O1128</f>
        <v>1198.4000000000001</v>
      </c>
    </row>
    <row r="1129" spans="1:9" x14ac:dyDescent="0.25">
      <c r="A1129" s="2" t="str">
        <f>'Posted Sales Invoice Lines'!A1129</f>
        <v>PS-INV206678</v>
      </c>
      <c r="B1129" s="2" t="str">
        <f>'Posted Sales Invoice Lines'!B1129</f>
        <v>12438</v>
      </c>
      <c r="C1129" s="2" t="str">
        <f>'Posted Sales Invoice Lines'!C1129</f>
        <v>SGC Foodservice</v>
      </c>
      <c r="D1129" s="2" t="str">
        <f>'Posted Sales Invoice Lines'!E1129</f>
        <v>F54014</v>
      </c>
      <c r="E1129" s="2" t="str">
        <f>'Posted Sales Invoice Lines'!F1129</f>
        <v>Cs. White Mountain Dinner Rolls 12-12pk</v>
      </c>
      <c r="F1129" s="3">
        <f>'Posted Sales Invoice Lines'!G1129</f>
        <v>46115</v>
      </c>
      <c r="G1129" s="9">
        <f>'Posted Sales Invoice Lines'!L1129</f>
        <v>84</v>
      </c>
      <c r="H1129" s="8">
        <f>'Posted Sales Invoice Lines'!N1129</f>
        <v>9.6999999999999993</v>
      </c>
      <c r="I1129" s="8">
        <f>'Posted Sales Invoice Lines'!O1129</f>
        <v>814.8</v>
      </c>
    </row>
    <row r="1130" spans="1:9" x14ac:dyDescent="0.25">
      <c r="A1130" s="2" t="str">
        <f>'Posted Sales Invoice Lines'!A1130</f>
        <v>PS-INV206678</v>
      </c>
      <c r="B1130" s="2" t="str">
        <f>'Posted Sales Invoice Lines'!B1130</f>
        <v>12438</v>
      </c>
      <c r="C1130" s="2" t="str">
        <f>'Posted Sales Invoice Lines'!C1130</f>
        <v>SGC Foodservice</v>
      </c>
      <c r="D1130" s="2" t="str">
        <f>'Posted Sales Invoice Lines'!E1130</f>
        <v>F53116</v>
      </c>
      <c r="E1130" s="2" t="str">
        <f>'Posted Sales Invoice Lines'!F1130</f>
        <v>Cs. 7" French Hinged 12</v>
      </c>
      <c r="F1130" s="3">
        <f>'Posted Sales Invoice Lines'!G1130</f>
        <v>46115</v>
      </c>
      <c r="G1130" s="9">
        <f>'Posted Sales Invoice Lines'!L1130</f>
        <v>84</v>
      </c>
      <c r="H1130" s="8">
        <f>'Posted Sales Invoice Lines'!N1130</f>
        <v>2.7</v>
      </c>
      <c r="I1130" s="8">
        <f>'Posted Sales Invoice Lines'!O1130</f>
        <v>226.8</v>
      </c>
    </row>
    <row r="1131" spans="1:9" x14ac:dyDescent="0.25">
      <c r="A1131" s="2" t="str">
        <f>'Posted Sales Invoice Lines'!A1131</f>
        <v>PS-INV206678</v>
      </c>
      <c r="B1131" s="2" t="str">
        <f>'Posted Sales Invoice Lines'!B1131</f>
        <v>12438</v>
      </c>
      <c r="C1131" s="2" t="str">
        <f>'Posted Sales Invoice Lines'!C1131</f>
        <v>SGC Foodservice</v>
      </c>
      <c r="D1131" s="2" t="str">
        <f>'Posted Sales Invoice Lines'!E1131</f>
        <v>F53094</v>
      </c>
      <c r="E1131" s="2" t="str">
        <f>'Posted Sales Invoice Lines'!F1131</f>
        <v>Cs. 6" Italian 12-6pks</v>
      </c>
      <c r="F1131" s="3">
        <f>'Posted Sales Invoice Lines'!G1131</f>
        <v>46115</v>
      </c>
      <c r="G1131" s="9">
        <f>'Posted Sales Invoice Lines'!L1131</f>
        <v>56</v>
      </c>
      <c r="H1131" s="8">
        <f>'Posted Sales Invoice Lines'!N1131</f>
        <v>4.7</v>
      </c>
      <c r="I1131" s="8">
        <f>'Posted Sales Invoice Lines'!O1131</f>
        <v>263.2</v>
      </c>
    </row>
    <row r="1132" spans="1:9" x14ac:dyDescent="0.25">
      <c r="A1132" s="2" t="str">
        <f>'Posted Sales Invoice Lines'!A1132</f>
        <v>PS-INV206678</v>
      </c>
      <c r="B1132" s="2" t="str">
        <f>'Posted Sales Invoice Lines'!B1132</f>
        <v>12438</v>
      </c>
      <c r="C1132" s="2" t="str">
        <f>'Posted Sales Invoice Lines'!C1132</f>
        <v>SGC Foodservice</v>
      </c>
      <c r="D1132" s="2" t="str">
        <f>'Posted Sales Invoice Lines'!E1132</f>
        <v>F51034</v>
      </c>
      <c r="E1132" s="2" t="str">
        <f>'Posted Sales Invoice Lines'!F1132</f>
        <v>Cs. Sour Dough Hearth 5/8" 8lvs</v>
      </c>
      <c r="F1132" s="3">
        <f>'Posted Sales Invoice Lines'!G1132</f>
        <v>46115</v>
      </c>
      <c r="G1132" s="9">
        <f>'Posted Sales Invoice Lines'!L1132</f>
        <v>112</v>
      </c>
      <c r="H1132" s="8">
        <f>'Posted Sales Invoice Lines'!N1132</f>
        <v>6.52</v>
      </c>
      <c r="I1132" s="8">
        <f>'Posted Sales Invoice Lines'!O1132</f>
        <v>730.24</v>
      </c>
    </row>
    <row r="1133" spans="1:9" x14ac:dyDescent="0.25">
      <c r="A1133" s="2" t="str">
        <f>'Posted Sales Invoice Lines'!A1133</f>
        <v>PS-INV206678</v>
      </c>
      <c r="B1133" s="2" t="str">
        <f>'Posted Sales Invoice Lines'!B1133</f>
        <v>12438</v>
      </c>
      <c r="C1133" s="2" t="str">
        <f>'Posted Sales Invoice Lines'!C1133</f>
        <v>SGC Foodservice</v>
      </c>
      <c r="D1133" s="2" t="str">
        <f>'Posted Sales Invoice Lines'!E1133</f>
        <v>F51080</v>
      </c>
      <c r="E1133" s="2" t="str">
        <f>'Posted Sales Invoice Lines'!F1133</f>
        <v>Cs. Wheatberry Hearth 1/2" 8lvs</v>
      </c>
      <c r="F1133" s="3">
        <f>'Posted Sales Invoice Lines'!G1133</f>
        <v>46115</v>
      </c>
      <c r="G1133" s="9">
        <f>'Posted Sales Invoice Lines'!L1133</f>
        <v>28</v>
      </c>
      <c r="H1133" s="8">
        <f>'Posted Sales Invoice Lines'!N1133</f>
        <v>2</v>
      </c>
      <c r="I1133" s="8">
        <f>'Posted Sales Invoice Lines'!O1133</f>
        <v>56</v>
      </c>
    </row>
    <row r="1134" spans="1:9" x14ac:dyDescent="0.25">
      <c r="A1134" s="2" t="str">
        <f>'Posted Sales Invoice Lines'!A1134</f>
        <v>PS-INV206678</v>
      </c>
      <c r="B1134" s="2" t="str">
        <f>'Posted Sales Invoice Lines'!B1134</f>
        <v>12438</v>
      </c>
      <c r="C1134" s="2" t="str">
        <f>'Posted Sales Invoice Lines'!C1134</f>
        <v>SGC Foodservice</v>
      </c>
      <c r="D1134" s="2" t="str">
        <f>'Posted Sales Invoice Lines'!E1134</f>
        <v>F51034</v>
      </c>
      <c r="E1134" s="2" t="str">
        <f>'Posted Sales Invoice Lines'!F1134</f>
        <v>Cs. Sour Dough Hearth 5/8" 8lvs</v>
      </c>
      <c r="F1134" s="3">
        <f>'Posted Sales Invoice Lines'!G1134</f>
        <v>46115</v>
      </c>
      <c r="G1134" s="9">
        <f>'Posted Sales Invoice Lines'!L1134</f>
        <v>84</v>
      </c>
      <c r="H1134" s="8">
        <f>'Posted Sales Invoice Lines'!N1134</f>
        <v>2.7</v>
      </c>
      <c r="I1134" s="8">
        <f>'Posted Sales Invoice Lines'!O1134</f>
        <v>226.8</v>
      </c>
    </row>
    <row r="1135" spans="1:9" x14ac:dyDescent="0.25">
      <c r="A1135" s="2" t="str">
        <f>'Posted Sales Invoice Lines'!A1135</f>
        <v>PS-INV206678</v>
      </c>
      <c r="B1135" s="2" t="str">
        <f>'Posted Sales Invoice Lines'!B1135</f>
        <v>12438</v>
      </c>
      <c r="C1135" s="2" t="str">
        <f>'Posted Sales Invoice Lines'!C1135</f>
        <v>SGC Foodservice</v>
      </c>
      <c r="D1135" s="2" t="str">
        <f>'Posted Sales Invoice Lines'!E1135</f>
        <v>F51080</v>
      </c>
      <c r="E1135" s="2" t="str">
        <f>'Posted Sales Invoice Lines'!F1135</f>
        <v>Cs. Wheatberry Hearth 1/2" 8lvs</v>
      </c>
      <c r="F1135" s="3">
        <f>'Posted Sales Invoice Lines'!G1135</f>
        <v>46115</v>
      </c>
      <c r="G1135" s="9">
        <f>'Posted Sales Invoice Lines'!L1135</f>
        <v>28</v>
      </c>
      <c r="H1135" s="8">
        <f>'Posted Sales Invoice Lines'!N1135</f>
        <v>2</v>
      </c>
      <c r="I1135" s="8">
        <f>'Posted Sales Invoice Lines'!O1135</f>
        <v>56</v>
      </c>
    </row>
    <row r="1136" spans="1:9" x14ac:dyDescent="0.25">
      <c r="A1136" s="2" t="str">
        <f>'Posted Sales Invoice Lines'!A1136</f>
        <v>PS-INV206697</v>
      </c>
      <c r="B1136" s="2" t="str">
        <f>'Posted Sales Invoice Lines'!B1136</f>
        <v>13257</v>
      </c>
      <c r="C1136" s="2" t="str">
        <f>'Posted Sales Invoice Lines'!C1136</f>
        <v>PFG Springfield MA</v>
      </c>
      <c r="D1136" s="2" t="str">
        <f>'Posted Sales Invoice Lines'!E1136</f>
        <v>F53001</v>
      </c>
      <c r="E1136" s="2" t="str">
        <f>'Posted Sales Invoice Lines'!F1136</f>
        <v>Cs. 4" Brioche Bun 8-12pk</v>
      </c>
      <c r="F1136" s="3">
        <f>'Posted Sales Invoice Lines'!G1136</f>
        <v>46133</v>
      </c>
      <c r="G1136" s="9">
        <f>'Posted Sales Invoice Lines'!L1136</f>
        <v>644</v>
      </c>
      <c r="H1136" s="8">
        <f>'Posted Sales Invoice Lines'!N1136</f>
        <v>42.6</v>
      </c>
      <c r="I1136" s="8">
        <f>'Posted Sales Invoice Lines'!O1136</f>
        <v>27434.400000000001</v>
      </c>
    </row>
    <row r="1137" spans="1:9" x14ac:dyDescent="0.25">
      <c r="A1137" s="2" t="str">
        <f>'Posted Sales Invoice Lines'!A1137</f>
        <v>PS-INV206697</v>
      </c>
      <c r="B1137" s="2" t="str">
        <f>'Posted Sales Invoice Lines'!B1137</f>
        <v>13257</v>
      </c>
      <c r="C1137" s="2" t="str">
        <f>'Posted Sales Invoice Lines'!C1137</f>
        <v>PFG Springfield MA</v>
      </c>
      <c r="D1137" s="2" t="str">
        <f>'Posted Sales Invoice Lines'!E1137</f>
        <v>F53105</v>
      </c>
      <c r="E1137" s="2" t="str">
        <f>'Posted Sales Invoice Lines'!F1137</f>
        <v>Cs. 6" White Hot Dog 16-8pk</v>
      </c>
      <c r="F1137" s="3">
        <f>'Posted Sales Invoice Lines'!G1137</f>
        <v>46133</v>
      </c>
      <c r="G1137" s="9">
        <f>'Posted Sales Invoice Lines'!L1137</f>
        <v>140</v>
      </c>
      <c r="H1137" s="8">
        <f>'Posted Sales Invoice Lines'!N1137</f>
        <v>34.5</v>
      </c>
      <c r="I1137" s="8">
        <f>'Posted Sales Invoice Lines'!O1137</f>
        <v>4830</v>
      </c>
    </row>
    <row r="1138" spans="1:9" x14ac:dyDescent="0.25">
      <c r="A1138" s="2" t="str">
        <f>'Posted Sales Invoice Lines'!A1138</f>
        <v>PS-INV207091</v>
      </c>
      <c r="B1138" s="2" t="str">
        <f>'Posted Sales Invoice Lines'!B1138</f>
        <v>10540-03</v>
      </c>
      <c r="C1138" s="2" t="str">
        <f>'Posted Sales Invoice Lines'!C1138</f>
        <v>PFG Louisville TN</v>
      </c>
      <c r="D1138" s="2" t="str">
        <f>'Posted Sales Invoice Lines'!E1138</f>
        <v>F53001</v>
      </c>
      <c r="E1138" s="2" t="str">
        <f>'Posted Sales Invoice Lines'!F1138</f>
        <v>Cs. 4" Brioche Bun 8-12pk</v>
      </c>
      <c r="F1138" s="3">
        <f>'Posted Sales Invoice Lines'!G1138</f>
        <v>46128</v>
      </c>
      <c r="G1138" s="9">
        <f>'Posted Sales Invoice Lines'!L1138</f>
        <v>252</v>
      </c>
      <c r="H1138" s="8">
        <f>'Posted Sales Invoice Lines'!N1138</f>
        <v>42.6</v>
      </c>
      <c r="I1138" s="8">
        <f>'Posted Sales Invoice Lines'!O1138</f>
        <v>10735.2</v>
      </c>
    </row>
    <row r="1139" spans="1:9" x14ac:dyDescent="0.25">
      <c r="A1139" s="2" t="str">
        <f>'Posted Sales Invoice Lines'!A1139</f>
        <v>PS-INV207091</v>
      </c>
      <c r="B1139" s="2" t="str">
        <f>'Posted Sales Invoice Lines'!B1139</f>
        <v>10540-03</v>
      </c>
      <c r="C1139" s="2" t="str">
        <f>'Posted Sales Invoice Lines'!C1139</f>
        <v>PFG Louisville TN</v>
      </c>
      <c r="D1139" s="2" t="str">
        <f>'Posted Sales Invoice Lines'!E1139</f>
        <v>F51026</v>
      </c>
      <c r="E1139" s="2" t="str">
        <f>'Posted Sales Invoice Lines'!F1139</f>
        <v>Cs. Marble Rye 3/4" 8lvs</v>
      </c>
      <c r="F1139" s="3">
        <f>'Posted Sales Invoice Lines'!G1139</f>
        <v>46128</v>
      </c>
      <c r="G1139" s="9">
        <f>'Posted Sales Invoice Lines'!L1139</f>
        <v>4</v>
      </c>
      <c r="H1139" s="8">
        <f>'Posted Sales Invoice Lines'!N1139</f>
        <v>54</v>
      </c>
      <c r="I1139" s="8">
        <f>'Posted Sales Invoice Lines'!O1139</f>
        <v>216</v>
      </c>
    </row>
    <row r="1140" spans="1:9" x14ac:dyDescent="0.25">
      <c r="A1140" s="2" t="str">
        <f>'Posted Sales Invoice Lines'!A1140</f>
        <v>PS-INV207091</v>
      </c>
      <c r="B1140" s="2" t="str">
        <f>'Posted Sales Invoice Lines'!B1140</f>
        <v>10540-03</v>
      </c>
      <c r="C1140" s="2" t="str">
        <f>'Posted Sales Invoice Lines'!C1140</f>
        <v>PFG Louisville TN</v>
      </c>
      <c r="D1140" s="2" t="str">
        <f>'Posted Sales Invoice Lines'!E1140</f>
        <v>F53091</v>
      </c>
      <c r="E1140" s="2" t="str">
        <f>'Posted Sales Invoice Lines'!F1140</f>
        <v>Cs. 6" Hoagie Slab Cut</v>
      </c>
      <c r="F1140" s="3">
        <f>'Posted Sales Invoice Lines'!G1140</f>
        <v>46128</v>
      </c>
      <c r="G1140" s="9">
        <f>'Posted Sales Invoice Lines'!L1140</f>
        <v>4</v>
      </c>
      <c r="H1140" s="8">
        <f>'Posted Sales Invoice Lines'!N1140</f>
        <v>35</v>
      </c>
      <c r="I1140" s="8">
        <f>'Posted Sales Invoice Lines'!O1140</f>
        <v>140</v>
      </c>
    </row>
    <row r="1141" spans="1:9" x14ac:dyDescent="0.25">
      <c r="A1141" s="2" t="str">
        <f>'Posted Sales Invoice Lines'!A1141</f>
        <v>PS-INV207091</v>
      </c>
      <c r="B1141" s="2" t="str">
        <f>'Posted Sales Invoice Lines'!B1141</f>
        <v>10540-03</v>
      </c>
      <c r="C1141" s="2" t="str">
        <f>'Posted Sales Invoice Lines'!C1141</f>
        <v>PFG Louisville TN</v>
      </c>
      <c r="D1141" s="2" t="str">
        <f>'Posted Sales Invoice Lines'!E1141</f>
        <v>F530421</v>
      </c>
      <c r="E1141" s="2" t="str">
        <f>'Posted Sales Invoice Lines'!F1141</f>
        <v>Cs. 4.5" Challah Buns 6-12pk.</v>
      </c>
      <c r="F1141" s="3">
        <f>'Posted Sales Invoice Lines'!G1141</f>
        <v>46128</v>
      </c>
      <c r="G1141" s="9">
        <f>'Posted Sales Invoice Lines'!L1141</f>
        <v>56</v>
      </c>
      <c r="H1141" s="8">
        <f>'Posted Sales Invoice Lines'!N1141</f>
        <v>38.299999999999997</v>
      </c>
      <c r="I1141" s="8">
        <f>'Posted Sales Invoice Lines'!O1141</f>
        <v>2144.8000000000002</v>
      </c>
    </row>
    <row r="1142" spans="1:9" x14ac:dyDescent="0.25">
      <c r="A1142" s="2" t="str">
        <f>'Posted Sales Invoice Lines'!A1142</f>
        <v>PS-INV207091</v>
      </c>
      <c r="B1142" s="2" t="str">
        <f>'Posted Sales Invoice Lines'!B1142</f>
        <v>10540-03</v>
      </c>
      <c r="C1142" s="2" t="str">
        <f>'Posted Sales Invoice Lines'!C1142</f>
        <v>PFG Louisville TN</v>
      </c>
      <c r="D1142" s="2" t="str">
        <f>'Posted Sales Invoice Lines'!E1142</f>
        <v>F53105</v>
      </c>
      <c r="E1142" s="2" t="str">
        <f>'Posted Sales Invoice Lines'!F1142</f>
        <v>Cs. 6" White Hot Dog 16-8pk</v>
      </c>
      <c r="F1142" s="3">
        <f>'Posted Sales Invoice Lines'!G1142</f>
        <v>46128</v>
      </c>
      <c r="G1142" s="9">
        <f>'Posted Sales Invoice Lines'!L1142</f>
        <v>156</v>
      </c>
      <c r="H1142" s="8">
        <f>'Posted Sales Invoice Lines'!N1142</f>
        <v>34.5</v>
      </c>
      <c r="I1142" s="8">
        <f>'Posted Sales Invoice Lines'!O1142</f>
        <v>5382</v>
      </c>
    </row>
    <row r="1143" spans="1:9" x14ac:dyDescent="0.25">
      <c r="A1143" s="2" t="str">
        <f>'Posted Sales Invoice Lines'!A1143</f>
        <v>PS-INV207091</v>
      </c>
      <c r="B1143" s="2" t="str">
        <f>'Posted Sales Invoice Lines'!B1143</f>
        <v>10540-03</v>
      </c>
      <c r="C1143" s="2" t="str">
        <f>'Posted Sales Invoice Lines'!C1143</f>
        <v>PFG Louisville TN</v>
      </c>
      <c r="D1143" s="2" t="str">
        <f>'Posted Sales Invoice Lines'!E1143</f>
        <v>F53094</v>
      </c>
      <c r="E1143" s="2" t="str">
        <f>'Posted Sales Invoice Lines'!F1143</f>
        <v>Cs. 6" Italian 12-6pks</v>
      </c>
      <c r="F1143" s="3">
        <f>'Posted Sales Invoice Lines'!G1143</f>
        <v>46128</v>
      </c>
      <c r="G1143" s="9">
        <f>'Posted Sales Invoice Lines'!L1143</f>
        <v>84</v>
      </c>
      <c r="H1143" s="8">
        <f>'Posted Sales Invoice Lines'!N1143</f>
        <v>35</v>
      </c>
      <c r="I1143" s="8">
        <f>'Posted Sales Invoice Lines'!O1143</f>
        <v>2940</v>
      </c>
    </row>
    <row r="1144" spans="1:9" x14ac:dyDescent="0.25">
      <c r="A1144" s="2" t="str">
        <f>'Posted Sales Invoice Lines'!A1144</f>
        <v>PS-INV207091</v>
      </c>
      <c r="B1144" s="2" t="str">
        <f>'Posted Sales Invoice Lines'!B1144</f>
        <v>10540-03</v>
      </c>
      <c r="C1144" s="2" t="str">
        <f>'Posted Sales Invoice Lines'!C1144</f>
        <v>PFG Louisville TN</v>
      </c>
      <c r="D1144" s="2" t="str">
        <f>'Posted Sales Invoice Lines'!E1144</f>
        <v>F51030</v>
      </c>
      <c r="E1144" s="2" t="str">
        <f>'Posted Sales Invoice Lines'!F1144</f>
        <v>Cs. Sour Dough Hearth 8lvs</v>
      </c>
      <c r="F1144" s="3">
        <f>'Posted Sales Invoice Lines'!G1144</f>
        <v>46128</v>
      </c>
      <c r="G1144" s="9">
        <f>'Posted Sales Invoice Lines'!L1144</f>
        <v>8</v>
      </c>
      <c r="H1144" s="8">
        <f>'Posted Sales Invoice Lines'!N1144</f>
        <v>43.82</v>
      </c>
      <c r="I1144" s="8">
        <f>'Posted Sales Invoice Lines'!O1144</f>
        <v>350.56</v>
      </c>
    </row>
    <row r="1145" spans="1:9" x14ac:dyDescent="0.25">
      <c r="A1145" s="2" t="str">
        <f>'Posted Sales Invoice Lines'!A1145</f>
        <v>PS-INV207091</v>
      </c>
      <c r="B1145" s="2" t="str">
        <f>'Posted Sales Invoice Lines'!B1145</f>
        <v>10540-03</v>
      </c>
      <c r="C1145" s="2" t="str">
        <f>'Posted Sales Invoice Lines'!C1145</f>
        <v>PFG Louisville TN</v>
      </c>
      <c r="D1145" s="2" t="str">
        <f>'Posted Sales Invoice Lines'!E1145</f>
        <v>F53072</v>
      </c>
      <c r="E1145" s="2" t="str">
        <f>'Posted Sales Invoice Lines'!F1145</f>
        <v>Cs. 5" Challah Bun 8-8pk</v>
      </c>
      <c r="F1145" s="3">
        <f>'Posted Sales Invoice Lines'!G1145</f>
        <v>46128</v>
      </c>
      <c r="G1145" s="9">
        <f>'Posted Sales Invoice Lines'!L1145</f>
        <v>4</v>
      </c>
      <c r="H1145" s="8">
        <f>'Posted Sales Invoice Lines'!N1145</f>
        <v>38.07</v>
      </c>
      <c r="I1145" s="8">
        <f>'Posted Sales Invoice Lines'!O1145</f>
        <v>152.28</v>
      </c>
    </row>
    <row r="1146" spans="1:9" x14ac:dyDescent="0.25">
      <c r="A1146" s="2" t="str">
        <f>'Posted Sales Invoice Lines'!A1146</f>
        <v>PS-INV207091</v>
      </c>
      <c r="B1146" s="2" t="str">
        <f>'Posted Sales Invoice Lines'!B1146</f>
        <v>10540-03</v>
      </c>
      <c r="C1146" s="2" t="str">
        <f>'Posted Sales Invoice Lines'!C1146</f>
        <v>PFG Louisville TN</v>
      </c>
      <c r="D1146" s="2" t="str">
        <f>'Posted Sales Invoice Lines'!E1146</f>
        <v>F53100</v>
      </c>
      <c r="E1146" s="2" t="str">
        <f>'Posted Sales Invoice Lines'!F1146</f>
        <v>Cs. Hot Dog pl/sl 12-8pk</v>
      </c>
      <c r="F1146" s="3">
        <f>'Posted Sales Invoice Lines'!G1146</f>
        <v>46128</v>
      </c>
      <c r="G1146" s="9">
        <f>'Posted Sales Invoice Lines'!L1146</f>
        <v>20</v>
      </c>
      <c r="H1146" s="8">
        <f>'Posted Sales Invoice Lines'!N1146</f>
        <v>36.18</v>
      </c>
      <c r="I1146" s="8">
        <f>'Posted Sales Invoice Lines'!O1146</f>
        <v>723.6</v>
      </c>
    </row>
    <row r="1147" spans="1:9" x14ac:dyDescent="0.25">
      <c r="A1147" s="2" t="str">
        <f>'Posted Sales Invoice Lines'!A1147</f>
        <v>PS-INV207091</v>
      </c>
      <c r="B1147" s="2" t="str">
        <f>'Posted Sales Invoice Lines'!B1147</f>
        <v>10540-03</v>
      </c>
      <c r="C1147" s="2" t="str">
        <f>'Posted Sales Invoice Lines'!C1147</f>
        <v>PFG Louisville TN</v>
      </c>
      <c r="D1147" s="2" t="str">
        <f>'Posted Sales Invoice Lines'!E1147</f>
        <v>F53106</v>
      </c>
      <c r="E1147" s="2" t="str">
        <f>'Posted Sales Invoice Lines'!F1147</f>
        <v>Cs. Large Hot Dog 12-6pk</v>
      </c>
      <c r="F1147" s="3">
        <f>'Posted Sales Invoice Lines'!G1147</f>
        <v>46128</v>
      </c>
      <c r="G1147" s="9">
        <f>'Posted Sales Invoice Lines'!L1147</f>
        <v>8</v>
      </c>
      <c r="H1147" s="8">
        <f>'Posted Sales Invoice Lines'!N1147</f>
        <v>36.07</v>
      </c>
      <c r="I1147" s="8">
        <f>'Posted Sales Invoice Lines'!O1147</f>
        <v>288.56</v>
      </c>
    </row>
    <row r="1148" spans="1:9" x14ac:dyDescent="0.25">
      <c r="A1148" s="2" t="str">
        <f>'Posted Sales Invoice Lines'!A1148</f>
        <v>PS-INV207091</v>
      </c>
      <c r="B1148" s="2" t="str">
        <f>'Posted Sales Invoice Lines'!B1148</f>
        <v>10540-03</v>
      </c>
      <c r="C1148" s="2" t="str">
        <f>'Posted Sales Invoice Lines'!C1148</f>
        <v>PFG Louisville TN</v>
      </c>
      <c r="D1148" s="2" t="str">
        <f>'Posted Sales Invoice Lines'!E1148</f>
        <v>F51034</v>
      </c>
      <c r="E1148" s="2" t="str">
        <f>'Posted Sales Invoice Lines'!F1148</f>
        <v>Cs. Sour Dough Hearth 5/8" 8lvs</v>
      </c>
      <c r="F1148" s="3">
        <f>'Posted Sales Invoice Lines'!G1148</f>
        <v>46128</v>
      </c>
      <c r="G1148" s="9">
        <f>'Posted Sales Invoice Lines'!L1148</f>
        <v>48</v>
      </c>
      <c r="H1148" s="8">
        <f>'Posted Sales Invoice Lines'!N1148</f>
        <v>43.82</v>
      </c>
      <c r="I1148" s="8">
        <f>'Posted Sales Invoice Lines'!O1148</f>
        <v>2103.36</v>
      </c>
    </row>
    <row r="1149" spans="1:9" x14ac:dyDescent="0.25">
      <c r="A1149" s="2" t="str">
        <f>'Posted Sales Invoice Lines'!A1149</f>
        <v>PS-INV207091</v>
      </c>
      <c r="B1149" s="2" t="str">
        <f>'Posted Sales Invoice Lines'!B1149</f>
        <v>10540-03</v>
      </c>
      <c r="C1149" s="2" t="str">
        <f>'Posted Sales Invoice Lines'!C1149</f>
        <v>PFG Louisville TN</v>
      </c>
      <c r="D1149" s="2" t="str">
        <f>'Posted Sales Invoice Lines'!E1149</f>
        <v>F51200</v>
      </c>
      <c r="E1149" s="2" t="str">
        <f>'Posted Sales Invoice Lines'!F1149</f>
        <v>Cs. Jalapeno Corn Hearth 5/8" 8lvs</v>
      </c>
      <c r="F1149" s="3">
        <f>'Posted Sales Invoice Lines'!G1149</f>
        <v>46128</v>
      </c>
      <c r="G1149" s="9">
        <f>'Posted Sales Invoice Lines'!L1149</f>
        <v>8</v>
      </c>
      <c r="H1149" s="8">
        <f>'Posted Sales Invoice Lines'!N1149</f>
        <v>60.7</v>
      </c>
      <c r="I1149" s="8">
        <f>'Posted Sales Invoice Lines'!O1149</f>
        <v>485.6</v>
      </c>
    </row>
    <row r="1150" spans="1:9" x14ac:dyDescent="0.25">
      <c r="A1150" s="2" t="str">
        <f>'Posted Sales Invoice Lines'!A1150</f>
        <v>PS-INV207092</v>
      </c>
      <c r="B1150" s="2" t="str">
        <f>'Posted Sales Invoice Lines'!B1150</f>
        <v>13128</v>
      </c>
      <c r="C1150" s="2" t="str">
        <f>'Posted Sales Invoice Lines'!C1150</f>
        <v>Gordon Food Service - Shepherdsville</v>
      </c>
      <c r="D1150" s="2" t="str">
        <f>'Posted Sales Invoice Lines'!E1150</f>
        <v>F51084</v>
      </c>
      <c r="E1150" s="2" t="str">
        <f>'Posted Sales Invoice Lines'!F1150</f>
        <v>Cs. Wheatberry Hearth</v>
      </c>
      <c r="F1150" s="3">
        <f>'Posted Sales Invoice Lines'!G1150</f>
        <v>46128</v>
      </c>
      <c r="G1150" s="9">
        <f>'Posted Sales Invoice Lines'!L1150</f>
        <v>144</v>
      </c>
      <c r="H1150" s="8">
        <f>'Posted Sales Invoice Lines'!N1150</f>
        <v>33.299999999999997</v>
      </c>
      <c r="I1150" s="8">
        <f>'Posted Sales Invoice Lines'!O1150</f>
        <v>4795.2</v>
      </c>
    </row>
    <row r="1151" spans="1:9" x14ac:dyDescent="0.25">
      <c r="A1151" s="2" t="str">
        <f>'Posted Sales Invoice Lines'!A1151</f>
        <v>PS-INV207092</v>
      </c>
      <c r="B1151" s="2" t="str">
        <f>'Posted Sales Invoice Lines'!B1151</f>
        <v>13128</v>
      </c>
      <c r="C1151" s="2" t="str">
        <f>'Posted Sales Invoice Lines'!C1151</f>
        <v>Gordon Food Service - Shepherdsville</v>
      </c>
      <c r="D1151" s="2" t="str">
        <f>'Posted Sales Invoice Lines'!E1151</f>
        <v>F53001</v>
      </c>
      <c r="E1151" s="2" t="str">
        <f>'Posted Sales Invoice Lines'!F1151</f>
        <v>Cs. 4" Brioche Bun 8-12pk</v>
      </c>
      <c r="F1151" s="3">
        <f>'Posted Sales Invoice Lines'!G1151</f>
        <v>46128</v>
      </c>
      <c r="G1151" s="9">
        <f>'Posted Sales Invoice Lines'!L1151</f>
        <v>208</v>
      </c>
      <c r="H1151" s="8">
        <f>'Posted Sales Invoice Lines'!N1151</f>
        <v>36.82</v>
      </c>
      <c r="I1151" s="8">
        <f>'Posted Sales Invoice Lines'!O1151</f>
        <v>7658.56</v>
      </c>
    </row>
    <row r="1152" spans="1:9" x14ac:dyDescent="0.25">
      <c r="A1152" s="2" t="str">
        <f>'Posted Sales Invoice Lines'!A1152</f>
        <v>PS-INV207092</v>
      </c>
      <c r="B1152" s="2" t="str">
        <f>'Posted Sales Invoice Lines'!B1152</f>
        <v>13128</v>
      </c>
      <c r="C1152" s="2" t="str">
        <f>'Posted Sales Invoice Lines'!C1152</f>
        <v>Gordon Food Service - Shepherdsville</v>
      </c>
      <c r="D1152" s="2" t="str">
        <f>'Posted Sales Invoice Lines'!E1152</f>
        <v>F51114</v>
      </c>
      <c r="E1152" s="2" t="str">
        <f>'Posted Sales Invoice Lines'!F1152</f>
        <v>Cs. Old Fashioned Hearth 5/8" 8lvs</v>
      </c>
      <c r="F1152" s="3">
        <f>'Posted Sales Invoice Lines'!G1152</f>
        <v>46128</v>
      </c>
      <c r="G1152" s="9">
        <f>'Posted Sales Invoice Lines'!L1152</f>
        <v>128</v>
      </c>
      <c r="H1152" s="8">
        <f>'Posted Sales Invoice Lines'!N1152</f>
        <v>39.700000000000003</v>
      </c>
      <c r="I1152" s="8">
        <f>'Posted Sales Invoice Lines'!O1152</f>
        <v>5081.6000000000004</v>
      </c>
    </row>
    <row r="1153" spans="1:9" x14ac:dyDescent="0.25">
      <c r="A1153" s="2" t="str">
        <f>'Posted Sales Invoice Lines'!A1153</f>
        <v>PS-INV207092</v>
      </c>
      <c r="B1153" s="2" t="str">
        <f>'Posted Sales Invoice Lines'!B1153</f>
        <v>13128</v>
      </c>
      <c r="C1153" s="2" t="str">
        <f>'Posted Sales Invoice Lines'!C1153</f>
        <v>Gordon Food Service - Shepherdsville</v>
      </c>
      <c r="D1153" s="2" t="str">
        <f>'Posted Sales Invoice Lines'!E1153</f>
        <v>F56251</v>
      </c>
      <c r="E1153" s="2" t="str">
        <f>'Posted Sales Invoice Lines'!F1153</f>
        <v>Cs. Challah Sliders Sliced 18-12pks</v>
      </c>
      <c r="F1153" s="3">
        <f>'Posted Sales Invoice Lines'!G1153</f>
        <v>46128</v>
      </c>
      <c r="G1153" s="9">
        <f>'Posted Sales Invoice Lines'!L1153</f>
        <v>368</v>
      </c>
      <c r="H1153" s="8">
        <f>'Posted Sales Invoice Lines'!N1153</f>
        <v>39.700000000000003</v>
      </c>
      <c r="I1153" s="8">
        <f>'Posted Sales Invoice Lines'!O1153</f>
        <v>14609.6</v>
      </c>
    </row>
    <row r="1154" spans="1:9" x14ac:dyDescent="0.25">
      <c r="A1154" s="2" t="str">
        <f>'Posted Sales Invoice Lines'!A1154</f>
        <v>PS-INV207344</v>
      </c>
      <c r="B1154" s="2" t="str">
        <f>'Posted Sales Invoice Lines'!B1154</f>
        <v>12988</v>
      </c>
      <c r="C1154" s="2" t="str">
        <f>'Posted Sales Invoice Lines'!C1154</f>
        <v>Sysco Norman OK</v>
      </c>
      <c r="D1154" s="2" t="str">
        <f>'Posted Sales Invoice Lines'!E1154</f>
        <v>F53001</v>
      </c>
      <c r="E1154" s="2" t="str">
        <f>'Posted Sales Invoice Lines'!F1154</f>
        <v>Cs. 4" Brioche Bun 8-12pk</v>
      </c>
      <c r="F1154" s="3">
        <f>'Posted Sales Invoice Lines'!G1154</f>
        <v>46134</v>
      </c>
      <c r="G1154" s="9">
        <f>'Posted Sales Invoice Lines'!L1154</f>
        <v>336</v>
      </c>
      <c r="H1154" s="8">
        <f>'Posted Sales Invoice Lines'!N1154</f>
        <v>46</v>
      </c>
      <c r="I1154" s="8">
        <f>'Posted Sales Invoice Lines'!O1154</f>
        <v>15456</v>
      </c>
    </row>
    <row r="1155" spans="1:9" x14ac:dyDescent="0.25">
      <c r="A1155" s="2" t="str">
        <f>'Posted Sales Invoice Lines'!A1155</f>
        <v>PS-INV207344</v>
      </c>
      <c r="B1155" s="2" t="str">
        <f>'Posted Sales Invoice Lines'!B1155</f>
        <v>12988</v>
      </c>
      <c r="C1155" s="2" t="str">
        <f>'Posted Sales Invoice Lines'!C1155</f>
        <v>Sysco Norman OK</v>
      </c>
      <c r="D1155" s="2" t="str">
        <f>'Posted Sales Invoice Lines'!E1155</f>
        <v>F51157</v>
      </c>
      <c r="E1155" s="2" t="str">
        <f>'Posted Sales Invoice Lines'!F1155</f>
        <v>Cs. Challah Hearth 7/8" 8lvs</v>
      </c>
      <c r="F1155" s="3">
        <f>'Posted Sales Invoice Lines'!G1155</f>
        <v>46134</v>
      </c>
      <c r="G1155" s="9">
        <f>'Posted Sales Invoice Lines'!L1155</f>
        <v>48</v>
      </c>
      <c r="H1155" s="8">
        <f>'Posted Sales Invoice Lines'!N1155</f>
        <v>0</v>
      </c>
      <c r="I1155" s="8">
        <f>'Posted Sales Invoice Lines'!O1155</f>
        <v>0</v>
      </c>
    </row>
    <row r="1156" spans="1:9" x14ac:dyDescent="0.25">
      <c r="A1156" s="2" t="str">
        <f>'Posted Sales Invoice Lines'!A1156</f>
        <v>PS-INV207349</v>
      </c>
      <c r="B1156" s="2" t="str">
        <f>'Posted Sales Invoice Lines'!B1156</f>
        <v>10719-2</v>
      </c>
      <c r="C1156" s="2" t="str">
        <f>'Posted Sales Invoice Lines'!C1156</f>
        <v>US Foods - Fairburn</v>
      </c>
      <c r="D1156" s="2" t="str">
        <f>'Posted Sales Invoice Lines'!E1156</f>
        <v>F53005</v>
      </c>
      <c r="E1156" s="2" t="str">
        <f>'Posted Sales Invoice Lines'!F1156</f>
        <v>Cs. 4" Gourmet PDS Bun 8-12pk</v>
      </c>
      <c r="F1156" s="3">
        <f>'Posted Sales Invoice Lines'!G1156</f>
        <v>46135</v>
      </c>
      <c r="G1156" s="9">
        <f>'Posted Sales Invoice Lines'!L1156</f>
        <v>65</v>
      </c>
      <c r="H1156" s="8">
        <f>'Posted Sales Invoice Lines'!N1156</f>
        <v>40.11</v>
      </c>
      <c r="I1156" s="8">
        <f>'Posted Sales Invoice Lines'!O1156</f>
        <v>2607.15</v>
      </c>
    </row>
    <row r="1157" spans="1:9" x14ac:dyDescent="0.25">
      <c r="A1157" s="2" t="str">
        <f>'Posted Sales Invoice Lines'!A1157</f>
        <v>PS-INV207349</v>
      </c>
      <c r="B1157" s="2" t="str">
        <f>'Posted Sales Invoice Lines'!B1157</f>
        <v>10719-2</v>
      </c>
      <c r="C1157" s="2" t="str">
        <f>'Posted Sales Invoice Lines'!C1157</f>
        <v>US Foods - Fairburn</v>
      </c>
      <c r="D1157" s="2" t="str">
        <f>'Posted Sales Invoice Lines'!E1157</f>
        <v>F56560</v>
      </c>
      <c r="E1157" s="2" t="str">
        <f>'Posted Sales Invoice Lines'!F1157</f>
        <v>Gluten Free 3.5" Hamburger 36ct</v>
      </c>
      <c r="F1157" s="3">
        <f>'Posted Sales Invoice Lines'!G1157</f>
        <v>46135</v>
      </c>
      <c r="G1157" s="9">
        <f>'Posted Sales Invoice Lines'!L1157</f>
        <v>12</v>
      </c>
      <c r="H1157" s="8">
        <f>'Posted Sales Invoice Lines'!N1157</f>
        <v>48.57</v>
      </c>
      <c r="I1157" s="8">
        <f>'Posted Sales Invoice Lines'!O1157</f>
        <v>582.84</v>
      </c>
    </row>
    <row r="1158" spans="1:9" x14ac:dyDescent="0.25">
      <c r="A1158" s="2" t="str">
        <f>'Posted Sales Invoice Lines'!A1158</f>
        <v>PS-INV207349</v>
      </c>
      <c r="B1158" s="2" t="str">
        <f>'Posted Sales Invoice Lines'!B1158</f>
        <v>10719-2</v>
      </c>
      <c r="C1158" s="2" t="str">
        <f>'Posted Sales Invoice Lines'!C1158</f>
        <v>US Foods - Fairburn</v>
      </c>
      <c r="D1158" s="2" t="str">
        <f>'Posted Sales Invoice Lines'!E1158</f>
        <v>F53010</v>
      </c>
      <c r="E1158" s="2" t="str">
        <f>'Posted Sales Invoice Lines'!F1158</f>
        <v>Cs. Onion Roll 8-12pk</v>
      </c>
      <c r="F1158" s="3">
        <f>'Posted Sales Invoice Lines'!G1158</f>
        <v>46135</v>
      </c>
      <c r="G1158" s="9">
        <f>'Posted Sales Invoice Lines'!L1158</f>
        <v>32</v>
      </c>
      <c r="H1158" s="8">
        <f>'Posted Sales Invoice Lines'!N1158</f>
        <v>40.85</v>
      </c>
      <c r="I1158" s="8">
        <f>'Posted Sales Invoice Lines'!O1158</f>
        <v>1307.2</v>
      </c>
    </row>
    <row r="1159" spans="1:9" x14ac:dyDescent="0.25">
      <c r="A1159" s="2" t="str">
        <f>'Posted Sales Invoice Lines'!A1159</f>
        <v>PS-INV207349</v>
      </c>
      <c r="B1159" s="2" t="str">
        <f>'Posted Sales Invoice Lines'!B1159</f>
        <v>10719-2</v>
      </c>
      <c r="C1159" s="2" t="str">
        <f>'Posted Sales Invoice Lines'!C1159</f>
        <v>US Foods - Fairburn</v>
      </c>
      <c r="D1159" s="2" t="str">
        <f>'Posted Sales Invoice Lines'!E1159</f>
        <v>F53122</v>
      </c>
      <c r="E1159" s="2" t="str">
        <f>'Posted Sales Invoice Lines'!F1159</f>
        <v>Cs. 8" Italian Hinged 12-6pk</v>
      </c>
      <c r="F1159" s="3">
        <f>'Posted Sales Invoice Lines'!G1159</f>
        <v>46135</v>
      </c>
      <c r="G1159" s="9">
        <f>'Posted Sales Invoice Lines'!L1159</f>
        <v>144</v>
      </c>
      <c r="H1159" s="8">
        <f>'Posted Sales Invoice Lines'!N1159</f>
        <v>40.9</v>
      </c>
      <c r="I1159" s="8">
        <f>'Posted Sales Invoice Lines'!O1159</f>
        <v>5889.6</v>
      </c>
    </row>
    <row r="1160" spans="1:9" x14ac:dyDescent="0.25">
      <c r="A1160" s="2" t="str">
        <f>'Posted Sales Invoice Lines'!A1160</f>
        <v>PS-INV207349</v>
      </c>
      <c r="B1160" s="2" t="str">
        <f>'Posted Sales Invoice Lines'!B1160</f>
        <v>10719-2</v>
      </c>
      <c r="C1160" s="2" t="str">
        <f>'Posted Sales Invoice Lines'!C1160</f>
        <v>US Foods - Fairburn</v>
      </c>
      <c r="D1160" s="2" t="str">
        <f>'Posted Sales Invoice Lines'!E1160</f>
        <v>F53003</v>
      </c>
      <c r="E1160" s="2" t="str">
        <f>'Posted Sales Invoice Lines'!F1160</f>
        <v>Cs. 4" Unseeded Challah Bun 8-12pk</v>
      </c>
      <c r="F1160" s="3">
        <f>'Posted Sales Invoice Lines'!G1160</f>
        <v>46135</v>
      </c>
      <c r="G1160" s="9">
        <f>'Posted Sales Invoice Lines'!L1160</f>
        <v>80</v>
      </c>
      <c r="H1160" s="8">
        <f>'Posted Sales Invoice Lines'!N1160</f>
        <v>38.08</v>
      </c>
      <c r="I1160" s="8">
        <f>'Posted Sales Invoice Lines'!O1160</f>
        <v>3046.4</v>
      </c>
    </row>
    <row r="1161" spans="1:9" x14ac:dyDescent="0.25">
      <c r="A1161" s="2" t="str">
        <f>'Posted Sales Invoice Lines'!A1161</f>
        <v>PS-INV207349</v>
      </c>
      <c r="B1161" s="2" t="str">
        <f>'Posted Sales Invoice Lines'!B1161</f>
        <v>10719-2</v>
      </c>
      <c r="C1161" s="2" t="str">
        <f>'Posted Sales Invoice Lines'!C1161</f>
        <v>US Foods - Fairburn</v>
      </c>
      <c r="D1161" s="2" t="str">
        <f>'Posted Sales Invoice Lines'!E1161</f>
        <v>F53024</v>
      </c>
      <c r="E1161" s="2" t="str">
        <f>'Posted Sales Invoice Lines'!F1161</f>
        <v>Cs. 4" Challah Kaiser 8-12pk</v>
      </c>
      <c r="F1161" s="3">
        <f>'Posted Sales Invoice Lines'!G1161</f>
        <v>46135</v>
      </c>
      <c r="G1161" s="9">
        <f>'Posted Sales Invoice Lines'!L1161</f>
        <v>64</v>
      </c>
      <c r="H1161" s="8">
        <f>'Posted Sales Invoice Lines'!N1161</f>
        <v>40.22</v>
      </c>
      <c r="I1161" s="8">
        <f>'Posted Sales Invoice Lines'!O1161</f>
        <v>2574.08</v>
      </c>
    </row>
    <row r="1162" spans="1:9" x14ac:dyDescent="0.25">
      <c r="A1162" s="2" t="str">
        <f>'Posted Sales Invoice Lines'!A1162</f>
        <v>PS-INV207490</v>
      </c>
      <c r="B1162" s="2" t="str">
        <f>'Posted Sales Invoice Lines'!B1162</f>
        <v>10700</v>
      </c>
      <c r="C1162" s="2" t="str">
        <f>'Posted Sales Invoice Lines'!C1162</f>
        <v>Gordon Food Service - Douglas</v>
      </c>
      <c r="D1162" s="2" t="str">
        <f>'Posted Sales Invoice Lines'!E1162</f>
        <v>F53002</v>
      </c>
      <c r="E1162" s="2" t="str">
        <f>'Posted Sales Invoice Lines'!F1162</f>
        <v>Cs. 4" Challah Sesame Bun 8-12pk</v>
      </c>
      <c r="F1162" s="3">
        <f>'Posted Sales Invoice Lines'!G1162</f>
        <v>46132</v>
      </c>
      <c r="G1162" s="9">
        <f>'Posted Sales Invoice Lines'!L1162</f>
        <v>12</v>
      </c>
      <c r="H1162" s="8">
        <f>'Posted Sales Invoice Lines'!N1162</f>
        <v>41.7</v>
      </c>
      <c r="I1162" s="8">
        <f>'Posted Sales Invoice Lines'!O1162</f>
        <v>500.4</v>
      </c>
    </row>
    <row r="1163" spans="1:9" x14ac:dyDescent="0.25">
      <c r="A1163" s="2" t="str">
        <f>'Posted Sales Invoice Lines'!A1163</f>
        <v>PS-INV207490</v>
      </c>
      <c r="B1163" s="2" t="str">
        <f>'Posted Sales Invoice Lines'!B1163</f>
        <v>10700</v>
      </c>
      <c r="C1163" s="2" t="str">
        <f>'Posted Sales Invoice Lines'!C1163</f>
        <v>Gordon Food Service - Douglas</v>
      </c>
      <c r="D1163" s="2" t="str">
        <f>'Posted Sales Invoice Lines'!E1163</f>
        <v>F51361</v>
      </c>
      <c r="E1163" s="2" t="str">
        <f>'Posted Sales Invoice Lines'!F1163</f>
        <v>Cs. Honey Wheat Pullman 7/8" 10lvs</v>
      </c>
      <c r="F1163" s="3">
        <f>'Posted Sales Invoice Lines'!G1163</f>
        <v>46132</v>
      </c>
      <c r="G1163" s="9">
        <f>'Posted Sales Invoice Lines'!L1163</f>
        <v>24</v>
      </c>
      <c r="H1163" s="8">
        <f>'Posted Sales Invoice Lines'!N1163</f>
        <v>41.49</v>
      </c>
      <c r="I1163" s="8">
        <f>'Posted Sales Invoice Lines'!O1163</f>
        <v>995.76</v>
      </c>
    </row>
    <row r="1164" spans="1:9" x14ac:dyDescent="0.25">
      <c r="A1164" s="2" t="str">
        <f>'Posted Sales Invoice Lines'!A1164</f>
        <v>PS-INV207490</v>
      </c>
      <c r="B1164" s="2" t="str">
        <f>'Posted Sales Invoice Lines'!B1164</f>
        <v>10700</v>
      </c>
      <c r="C1164" s="2" t="str">
        <f>'Posted Sales Invoice Lines'!C1164</f>
        <v>Gordon Food Service - Douglas</v>
      </c>
      <c r="D1164" s="2" t="str">
        <f>'Posted Sales Invoice Lines'!E1164</f>
        <v>F51384</v>
      </c>
      <c r="E1164" s="2" t="str">
        <f>'Posted Sales Invoice Lines'!F1164</f>
        <v>Cs. Challah Pullman 7/8"</v>
      </c>
      <c r="F1164" s="3">
        <f>'Posted Sales Invoice Lines'!G1164</f>
        <v>46132</v>
      </c>
      <c r="G1164" s="9">
        <f>'Posted Sales Invoice Lines'!L1164</f>
        <v>216</v>
      </c>
      <c r="H1164" s="8">
        <f>'Posted Sales Invoice Lines'!N1164</f>
        <v>48.49</v>
      </c>
      <c r="I1164" s="8">
        <f>'Posted Sales Invoice Lines'!O1164</f>
        <v>10473.84</v>
      </c>
    </row>
    <row r="1165" spans="1:9" x14ac:dyDescent="0.25">
      <c r="A1165" s="2" t="str">
        <f>'Posted Sales Invoice Lines'!A1165</f>
        <v>PS-INV207490</v>
      </c>
      <c r="B1165" s="2" t="str">
        <f>'Posted Sales Invoice Lines'!B1165</f>
        <v>10700</v>
      </c>
      <c r="C1165" s="2" t="str">
        <f>'Posted Sales Invoice Lines'!C1165</f>
        <v>Gordon Food Service - Douglas</v>
      </c>
      <c r="D1165" s="2" t="str">
        <f>'Posted Sales Invoice Lines'!E1165</f>
        <v>F56255</v>
      </c>
      <c r="E1165" s="2" t="str">
        <f>'Posted Sales Invoice Lines'!F1165</f>
        <v>Cs. English Muffin 30-6pk</v>
      </c>
      <c r="F1165" s="3">
        <f>'Posted Sales Invoice Lines'!G1165</f>
        <v>46132</v>
      </c>
      <c r="G1165" s="9">
        <f>'Posted Sales Invoice Lines'!L1165</f>
        <v>16</v>
      </c>
      <c r="H1165" s="8">
        <f>'Posted Sales Invoice Lines'!N1165</f>
        <v>36.299999999999997</v>
      </c>
      <c r="I1165" s="8">
        <f>'Posted Sales Invoice Lines'!O1165</f>
        <v>580.79999999999995</v>
      </c>
    </row>
    <row r="1166" spans="1:9" x14ac:dyDescent="0.25">
      <c r="A1166" s="2" t="str">
        <f>'Posted Sales Invoice Lines'!A1166</f>
        <v>PS-INV207490</v>
      </c>
      <c r="B1166" s="2" t="str">
        <f>'Posted Sales Invoice Lines'!B1166</f>
        <v>10700</v>
      </c>
      <c r="C1166" s="2" t="str">
        <f>'Posted Sales Invoice Lines'!C1166</f>
        <v>Gordon Food Service - Douglas</v>
      </c>
      <c r="D1166" s="2" t="str">
        <f>'Posted Sales Invoice Lines'!E1166</f>
        <v>F51084</v>
      </c>
      <c r="E1166" s="2" t="str">
        <f>'Posted Sales Invoice Lines'!F1166</f>
        <v>Cs. Wheatberry Hearth</v>
      </c>
      <c r="F1166" s="3">
        <f>'Posted Sales Invoice Lines'!G1166</f>
        <v>46132</v>
      </c>
      <c r="G1166" s="9">
        <f>'Posted Sales Invoice Lines'!L1166</f>
        <v>28</v>
      </c>
      <c r="H1166" s="8">
        <f>'Posted Sales Invoice Lines'!N1166</f>
        <v>33.299999999999997</v>
      </c>
      <c r="I1166" s="8">
        <f>'Posted Sales Invoice Lines'!O1166</f>
        <v>932.4</v>
      </c>
    </row>
    <row r="1167" spans="1:9" x14ac:dyDescent="0.25">
      <c r="A1167" s="2" t="str">
        <f>'Posted Sales Invoice Lines'!A1167</f>
        <v>PS-INV207490</v>
      </c>
      <c r="B1167" s="2" t="str">
        <f>'Posted Sales Invoice Lines'!B1167</f>
        <v>10700</v>
      </c>
      <c r="C1167" s="2" t="str">
        <f>'Posted Sales Invoice Lines'!C1167</f>
        <v>Gordon Food Service - Douglas</v>
      </c>
      <c r="D1167" s="2" t="str">
        <f>'Posted Sales Invoice Lines'!E1167</f>
        <v>F53001</v>
      </c>
      <c r="E1167" s="2" t="str">
        <f>'Posted Sales Invoice Lines'!F1167</f>
        <v>Cs. 4" Brioche Bun 8-12pk</v>
      </c>
      <c r="F1167" s="3">
        <f>'Posted Sales Invoice Lines'!G1167</f>
        <v>46132</v>
      </c>
      <c r="G1167" s="9">
        <f>'Posted Sales Invoice Lines'!L1167</f>
        <v>84</v>
      </c>
      <c r="H1167" s="8">
        <f>'Posted Sales Invoice Lines'!N1167</f>
        <v>36.82</v>
      </c>
      <c r="I1167" s="8">
        <f>'Posted Sales Invoice Lines'!O1167</f>
        <v>3092.88</v>
      </c>
    </row>
    <row r="1168" spans="1:9" x14ac:dyDescent="0.25">
      <c r="A1168" s="2" t="str">
        <f>'Posted Sales Invoice Lines'!A1168</f>
        <v>PS-INV207490</v>
      </c>
      <c r="B1168" s="2" t="str">
        <f>'Posted Sales Invoice Lines'!B1168</f>
        <v>10700</v>
      </c>
      <c r="C1168" s="2" t="str">
        <f>'Posted Sales Invoice Lines'!C1168</f>
        <v>Gordon Food Service - Douglas</v>
      </c>
      <c r="D1168" s="2" t="str">
        <f>'Posted Sales Invoice Lines'!E1168</f>
        <v>F51114</v>
      </c>
      <c r="E1168" s="2" t="str">
        <f>'Posted Sales Invoice Lines'!F1168</f>
        <v>Cs. Old Fashioned Hearth 5/8" 8lvs</v>
      </c>
      <c r="F1168" s="3">
        <f>'Posted Sales Invoice Lines'!G1168</f>
        <v>46132</v>
      </c>
      <c r="G1168" s="9">
        <f>'Posted Sales Invoice Lines'!L1168</f>
        <v>56</v>
      </c>
      <c r="H1168" s="8">
        <f>'Posted Sales Invoice Lines'!N1168</f>
        <v>39.700000000000003</v>
      </c>
      <c r="I1168" s="8">
        <f>'Posted Sales Invoice Lines'!O1168</f>
        <v>2223.1999999999998</v>
      </c>
    </row>
    <row r="1169" spans="1:9" x14ac:dyDescent="0.25">
      <c r="A1169" s="2" t="str">
        <f>'Posted Sales Invoice Lines'!A1169</f>
        <v>PS-INV207490</v>
      </c>
      <c r="B1169" s="2" t="str">
        <f>'Posted Sales Invoice Lines'!B1169</f>
        <v>10700</v>
      </c>
      <c r="C1169" s="2" t="str">
        <f>'Posted Sales Invoice Lines'!C1169</f>
        <v>Gordon Food Service - Douglas</v>
      </c>
      <c r="D1169" s="2" t="str">
        <f>'Posted Sales Invoice Lines'!E1169</f>
        <v>F56251</v>
      </c>
      <c r="E1169" s="2" t="str">
        <f>'Posted Sales Invoice Lines'!F1169</f>
        <v>Cs. Challah Sliders Sliced 18-12pks</v>
      </c>
      <c r="F1169" s="3">
        <f>'Posted Sales Invoice Lines'!G1169</f>
        <v>46132</v>
      </c>
      <c r="G1169" s="9">
        <f>'Posted Sales Invoice Lines'!L1169</f>
        <v>252</v>
      </c>
      <c r="H1169" s="8">
        <f>'Posted Sales Invoice Lines'!N1169</f>
        <v>39.700000000000003</v>
      </c>
      <c r="I1169" s="8">
        <f>'Posted Sales Invoice Lines'!O1169</f>
        <v>10004.4</v>
      </c>
    </row>
    <row r="1170" spans="1:9" x14ac:dyDescent="0.25">
      <c r="A1170" s="2" t="str">
        <f>'Posted Sales Invoice Lines'!A1170</f>
        <v>PS-INV207490</v>
      </c>
      <c r="B1170" s="2" t="str">
        <f>'Posted Sales Invoice Lines'!B1170</f>
        <v>10700</v>
      </c>
      <c r="C1170" s="2" t="str">
        <f>'Posted Sales Invoice Lines'!C1170</f>
        <v>Gordon Food Service - Douglas</v>
      </c>
      <c r="D1170" s="2" t="str">
        <f>'Posted Sales Invoice Lines'!E1170</f>
        <v>F53005</v>
      </c>
      <c r="E1170" s="2" t="str">
        <f>'Posted Sales Invoice Lines'!F1170</f>
        <v>Cs. 4" Gourmet PDS Bun 8-12pk</v>
      </c>
      <c r="F1170" s="3">
        <f>'Posted Sales Invoice Lines'!G1170</f>
        <v>46132</v>
      </c>
      <c r="G1170" s="9">
        <f>'Posted Sales Invoice Lines'!L1170</f>
        <v>36</v>
      </c>
      <c r="H1170" s="8">
        <f>'Posted Sales Invoice Lines'!N1170</f>
        <v>36</v>
      </c>
      <c r="I1170" s="8">
        <f>'Posted Sales Invoice Lines'!O1170</f>
        <v>1296</v>
      </c>
    </row>
    <row r="1171" spans="1:9" x14ac:dyDescent="0.25">
      <c r="A1171" s="2" t="str">
        <f>'Posted Sales Invoice Lines'!A1171</f>
        <v>PS-INV207524</v>
      </c>
      <c r="B1171" s="2" t="str">
        <f>'Posted Sales Invoice Lines'!B1171</f>
        <v>12438</v>
      </c>
      <c r="C1171" s="2" t="str">
        <f>'Posted Sales Invoice Lines'!C1171</f>
        <v>SGC Foodservice</v>
      </c>
      <c r="D1171" s="2" t="str">
        <f>'Posted Sales Invoice Lines'!E1171</f>
        <v>F530142</v>
      </c>
      <c r="E1171" s="2" t="str">
        <f>'Posted Sales Invoice Lines'!F1171</f>
        <v>Cs. Knot Roll 8-12pk</v>
      </c>
      <c r="F1171" s="3">
        <f>'Posted Sales Invoice Lines'!G1171</f>
        <v>46133</v>
      </c>
      <c r="G1171" s="9">
        <f>'Posted Sales Invoice Lines'!L1171</f>
        <v>192</v>
      </c>
      <c r="H1171" s="8">
        <f>'Posted Sales Invoice Lines'!N1171</f>
        <v>33.42</v>
      </c>
      <c r="I1171" s="8">
        <f>'Posted Sales Invoice Lines'!O1171</f>
        <v>6416.64</v>
      </c>
    </row>
    <row r="1172" spans="1:9" x14ac:dyDescent="0.25">
      <c r="A1172" s="2" t="str">
        <f>'Posted Sales Invoice Lines'!A1172</f>
        <v>PS-INV207535</v>
      </c>
      <c r="B1172" s="2" t="str">
        <f>'Posted Sales Invoice Lines'!B1172</f>
        <v>10540-01</v>
      </c>
      <c r="C1172" s="2" t="str">
        <f>'Posted Sales Invoice Lines'!C1172</f>
        <v>PFG Johnson City TN</v>
      </c>
      <c r="D1172" s="2" t="str">
        <f>'Posted Sales Invoice Lines'!E1172</f>
        <v>F531052</v>
      </c>
      <c r="E1172" s="2" t="str">
        <f>'Posted Sales Invoice Lines'!F1172</f>
        <v>Cs. 6" Hot Dog Top Sliced 12-12pk</v>
      </c>
      <c r="F1172" s="3">
        <f>'Posted Sales Invoice Lines'!G1172</f>
        <v>46132</v>
      </c>
      <c r="G1172" s="9">
        <f>'Posted Sales Invoice Lines'!L1172</f>
        <v>8</v>
      </c>
      <c r="H1172" s="8">
        <f>'Posted Sales Invoice Lines'!N1172</f>
        <v>40.78</v>
      </c>
      <c r="I1172" s="8">
        <f>'Posted Sales Invoice Lines'!O1172</f>
        <v>326.24</v>
      </c>
    </row>
    <row r="1173" spans="1:9" x14ac:dyDescent="0.25">
      <c r="A1173" s="2" t="str">
        <f>'Posted Sales Invoice Lines'!A1173</f>
        <v>PS-INV207535</v>
      </c>
      <c r="B1173" s="2" t="str">
        <f>'Posted Sales Invoice Lines'!B1173</f>
        <v>10540-01</v>
      </c>
      <c r="C1173" s="2" t="str">
        <f>'Posted Sales Invoice Lines'!C1173</f>
        <v>PFG Johnson City TN</v>
      </c>
      <c r="D1173" s="2" t="str">
        <f>'Posted Sales Invoice Lines'!E1173</f>
        <v>F53136</v>
      </c>
      <c r="E1173" s="2" t="str">
        <f>'Posted Sales Invoice Lines'!F1173</f>
        <v>Cs. 8" Squaw 12-6pks</v>
      </c>
      <c r="F1173" s="3">
        <f>'Posted Sales Invoice Lines'!G1173</f>
        <v>46132</v>
      </c>
      <c r="G1173" s="9">
        <f>'Posted Sales Invoice Lines'!L1173</f>
        <v>44</v>
      </c>
      <c r="H1173" s="8">
        <f>'Posted Sales Invoice Lines'!N1173</f>
        <v>43</v>
      </c>
      <c r="I1173" s="8">
        <f>'Posted Sales Invoice Lines'!O1173</f>
        <v>1892</v>
      </c>
    </row>
    <row r="1174" spans="1:9" x14ac:dyDescent="0.25">
      <c r="A1174" s="2" t="str">
        <f>'Posted Sales Invoice Lines'!A1174</f>
        <v>PS-INV207535</v>
      </c>
      <c r="B1174" s="2" t="str">
        <f>'Posted Sales Invoice Lines'!B1174</f>
        <v>10540-01</v>
      </c>
      <c r="C1174" s="2" t="str">
        <f>'Posted Sales Invoice Lines'!C1174</f>
        <v>PFG Johnson City TN</v>
      </c>
      <c r="D1174" s="2" t="str">
        <f>'Posted Sales Invoice Lines'!E1174</f>
        <v>F56251</v>
      </c>
      <c r="E1174" s="2" t="str">
        <f>'Posted Sales Invoice Lines'!F1174</f>
        <v>Cs. Challah Sliders Sliced 18-12pks</v>
      </c>
      <c r="F1174" s="3">
        <f>'Posted Sales Invoice Lines'!G1174</f>
        <v>46132</v>
      </c>
      <c r="G1174" s="9">
        <f>'Posted Sales Invoice Lines'!L1174</f>
        <v>8</v>
      </c>
      <c r="H1174" s="8">
        <f>'Posted Sales Invoice Lines'!N1174</f>
        <v>42.11</v>
      </c>
      <c r="I1174" s="8">
        <f>'Posted Sales Invoice Lines'!O1174</f>
        <v>336.88</v>
      </c>
    </row>
    <row r="1175" spans="1:9" x14ac:dyDescent="0.25">
      <c r="A1175" s="2" t="str">
        <f>'Posted Sales Invoice Lines'!A1175</f>
        <v>PS-INV207535</v>
      </c>
      <c r="B1175" s="2" t="str">
        <f>'Posted Sales Invoice Lines'!B1175</f>
        <v>10540-01</v>
      </c>
      <c r="C1175" s="2" t="str">
        <f>'Posted Sales Invoice Lines'!C1175</f>
        <v>PFG Johnson City TN</v>
      </c>
      <c r="D1175" s="2" t="str">
        <f>'Posted Sales Invoice Lines'!E1175</f>
        <v>F53003</v>
      </c>
      <c r="E1175" s="2" t="str">
        <f>'Posted Sales Invoice Lines'!F1175</f>
        <v>Cs. 4" Unseeded Challah Bun 8-12pk</v>
      </c>
      <c r="F1175" s="3">
        <f>'Posted Sales Invoice Lines'!G1175</f>
        <v>46132</v>
      </c>
      <c r="G1175" s="9">
        <f>'Posted Sales Invoice Lines'!L1175</f>
        <v>84</v>
      </c>
      <c r="H1175" s="8">
        <f>'Posted Sales Invoice Lines'!N1175</f>
        <v>38.75</v>
      </c>
      <c r="I1175" s="8">
        <f>'Posted Sales Invoice Lines'!O1175</f>
        <v>3255</v>
      </c>
    </row>
    <row r="1176" spans="1:9" x14ac:dyDescent="0.25">
      <c r="A1176" s="2" t="str">
        <f>'Posted Sales Invoice Lines'!A1176</f>
        <v>PS-INV207535</v>
      </c>
      <c r="B1176" s="2" t="str">
        <f>'Posted Sales Invoice Lines'!B1176</f>
        <v>10540-01</v>
      </c>
      <c r="C1176" s="2" t="str">
        <f>'Posted Sales Invoice Lines'!C1176</f>
        <v>PFG Johnson City TN</v>
      </c>
      <c r="D1176" s="2" t="str">
        <f>'Posted Sales Invoice Lines'!E1176</f>
        <v>F51157</v>
      </c>
      <c r="E1176" s="2" t="str">
        <f>'Posted Sales Invoice Lines'!F1176</f>
        <v>Cs. Challah Hearth 7/8" 8lvs</v>
      </c>
      <c r="F1176" s="3">
        <f>'Posted Sales Invoice Lines'!G1176</f>
        <v>46132</v>
      </c>
      <c r="G1176" s="9">
        <f>'Posted Sales Invoice Lines'!L1176</f>
        <v>8</v>
      </c>
      <c r="H1176" s="8">
        <f>'Posted Sales Invoice Lines'!N1176</f>
        <v>44.65</v>
      </c>
      <c r="I1176" s="8">
        <f>'Posted Sales Invoice Lines'!O1176</f>
        <v>357.2</v>
      </c>
    </row>
    <row r="1177" spans="1:9" x14ac:dyDescent="0.25">
      <c r="A1177" s="2" t="str">
        <f>'Posted Sales Invoice Lines'!A1177</f>
        <v>PS-INV207535</v>
      </c>
      <c r="B1177" s="2" t="str">
        <f>'Posted Sales Invoice Lines'!B1177</f>
        <v>10540-01</v>
      </c>
      <c r="C1177" s="2" t="str">
        <f>'Posted Sales Invoice Lines'!C1177</f>
        <v>PFG Johnson City TN</v>
      </c>
      <c r="D1177" s="2" t="str">
        <f>'Posted Sales Invoice Lines'!E1177</f>
        <v>F51136</v>
      </c>
      <c r="E1177" s="2" t="str">
        <f>'Posted Sales Invoice Lines'!F1177</f>
        <v>Cs. Texas Toast 1" 12lvs</v>
      </c>
      <c r="F1177" s="3">
        <f>'Posted Sales Invoice Lines'!G1177</f>
        <v>46132</v>
      </c>
      <c r="G1177" s="9">
        <f>'Posted Sales Invoice Lines'!L1177</f>
        <v>24</v>
      </c>
      <c r="H1177" s="8">
        <f>'Posted Sales Invoice Lines'!N1177</f>
        <v>40.619999999999997</v>
      </c>
      <c r="I1177" s="8">
        <f>'Posted Sales Invoice Lines'!O1177</f>
        <v>974.88</v>
      </c>
    </row>
    <row r="1178" spans="1:9" x14ac:dyDescent="0.25">
      <c r="A1178" s="2" t="str">
        <f>'Posted Sales Invoice Lines'!A1178</f>
        <v>PS-INV207535</v>
      </c>
      <c r="B1178" s="2" t="str">
        <f>'Posted Sales Invoice Lines'!B1178</f>
        <v>10540-01</v>
      </c>
      <c r="C1178" s="2" t="str">
        <f>'Posted Sales Invoice Lines'!C1178</f>
        <v>PFG Johnson City TN</v>
      </c>
      <c r="D1178" s="2" t="str">
        <f>'Posted Sales Invoice Lines'!E1178</f>
        <v>F51000</v>
      </c>
      <c r="E1178" s="2" t="str">
        <f>'Posted Sales Invoice Lines'!F1178</f>
        <v>Cs. Rye Bread 8lvs</v>
      </c>
      <c r="F1178" s="3">
        <f>'Posted Sales Invoice Lines'!G1178</f>
        <v>46132</v>
      </c>
      <c r="G1178" s="9">
        <f>'Posted Sales Invoice Lines'!L1178</f>
        <v>12</v>
      </c>
      <c r="H1178" s="8">
        <f>'Posted Sales Invoice Lines'!N1178</f>
        <v>41.6</v>
      </c>
      <c r="I1178" s="8">
        <f>'Posted Sales Invoice Lines'!O1178</f>
        <v>499.2</v>
      </c>
    </row>
    <row r="1179" spans="1:9" x14ac:dyDescent="0.25">
      <c r="A1179" s="2" t="str">
        <f>'Posted Sales Invoice Lines'!A1179</f>
        <v>PS-INV207535</v>
      </c>
      <c r="B1179" s="2" t="str">
        <f>'Posted Sales Invoice Lines'!B1179</f>
        <v>10540-01</v>
      </c>
      <c r="C1179" s="2" t="str">
        <f>'Posted Sales Invoice Lines'!C1179</f>
        <v>PFG Johnson City TN</v>
      </c>
      <c r="D1179" s="2" t="str">
        <f>'Posted Sales Invoice Lines'!E1179</f>
        <v>F53094</v>
      </c>
      <c r="E1179" s="2" t="str">
        <f>'Posted Sales Invoice Lines'!F1179</f>
        <v>Cs. 6" Italian 12-6pks</v>
      </c>
      <c r="F1179" s="3">
        <f>'Posted Sales Invoice Lines'!G1179</f>
        <v>46132</v>
      </c>
      <c r="G1179" s="9">
        <f>'Posted Sales Invoice Lines'!L1179</f>
        <v>48</v>
      </c>
      <c r="H1179" s="8">
        <f>'Posted Sales Invoice Lines'!N1179</f>
        <v>35</v>
      </c>
      <c r="I1179" s="8">
        <f>'Posted Sales Invoice Lines'!O1179</f>
        <v>1680</v>
      </c>
    </row>
    <row r="1180" spans="1:9" x14ac:dyDescent="0.25">
      <c r="A1180" s="2" t="str">
        <f>'Posted Sales Invoice Lines'!A1180</f>
        <v>PS-INV207535</v>
      </c>
      <c r="B1180" s="2" t="str">
        <f>'Posted Sales Invoice Lines'!B1180</f>
        <v>10540-01</v>
      </c>
      <c r="C1180" s="2" t="str">
        <f>'Posted Sales Invoice Lines'!C1180</f>
        <v>PFG Johnson City TN</v>
      </c>
      <c r="D1180" s="2" t="str">
        <f>'Posted Sales Invoice Lines'!E1180</f>
        <v>F53100</v>
      </c>
      <c r="E1180" s="2" t="str">
        <f>'Posted Sales Invoice Lines'!F1180</f>
        <v>Cs. Hot Dog pl/sl 12-8pk</v>
      </c>
      <c r="F1180" s="3">
        <f>'Posted Sales Invoice Lines'!G1180</f>
        <v>46132</v>
      </c>
      <c r="G1180" s="9">
        <f>'Posted Sales Invoice Lines'!L1180</f>
        <v>8</v>
      </c>
      <c r="H1180" s="8">
        <f>'Posted Sales Invoice Lines'!N1180</f>
        <v>36.18</v>
      </c>
      <c r="I1180" s="8">
        <f>'Posted Sales Invoice Lines'!O1180</f>
        <v>289.44</v>
      </c>
    </row>
    <row r="1181" spans="1:9" x14ac:dyDescent="0.25">
      <c r="A1181" s="2" t="str">
        <f>'Posted Sales Invoice Lines'!A1181</f>
        <v>PS-INV207535</v>
      </c>
      <c r="B1181" s="2" t="str">
        <f>'Posted Sales Invoice Lines'!B1181</f>
        <v>10540-01</v>
      </c>
      <c r="C1181" s="2" t="str">
        <f>'Posted Sales Invoice Lines'!C1181</f>
        <v>PFG Johnson City TN</v>
      </c>
      <c r="D1181" s="2" t="str">
        <f>'Posted Sales Invoice Lines'!E1181</f>
        <v>F51024</v>
      </c>
      <c r="E1181" s="2" t="str">
        <f>'Posted Sales Invoice Lines'!F1181</f>
        <v>Cs. Marble Rye 5/8" 8lvs</v>
      </c>
      <c r="F1181" s="3">
        <f>'Posted Sales Invoice Lines'!G1181</f>
        <v>46132</v>
      </c>
      <c r="G1181" s="9">
        <f>'Posted Sales Invoice Lines'!L1181</f>
        <v>20</v>
      </c>
      <c r="H1181" s="8">
        <f>'Posted Sales Invoice Lines'!N1181</f>
        <v>53</v>
      </c>
      <c r="I1181" s="8">
        <f>'Posted Sales Invoice Lines'!O1181</f>
        <v>1060</v>
      </c>
    </row>
    <row r="1182" spans="1:9" x14ac:dyDescent="0.25">
      <c r="A1182" s="2" t="str">
        <f>'Posted Sales Invoice Lines'!A1182</f>
        <v>PS-INV207535</v>
      </c>
      <c r="B1182" s="2" t="str">
        <f>'Posted Sales Invoice Lines'!B1182</f>
        <v>10540-01</v>
      </c>
      <c r="C1182" s="2" t="str">
        <f>'Posted Sales Invoice Lines'!C1182</f>
        <v>PFG Johnson City TN</v>
      </c>
      <c r="D1182" s="2" t="str">
        <f>'Posted Sales Invoice Lines'!E1182</f>
        <v>F51034</v>
      </c>
      <c r="E1182" s="2" t="str">
        <f>'Posted Sales Invoice Lines'!F1182</f>
        <v>Cs. Sour Dough Hearth 5/8" 8lvs</v>
      </c>
      <c r="F1182" s="3">
        <f>'Posted Sales Invoice Lines'!G1182</f>
        <v>46132</v>
      </c>
      <c r="G1182" s="9">
        <f>'Posted Sales Invoice Lines'!L1182</f>
        <v>36</v>
      </c>
      <c r="H1182" s="8">
        <f>'Posted Sales Invoice Lines'!N1182</f>
        <v>43.82</v>
      </c>
      <c r="I1182" s="8">
        <f>'Posted Sales Invoice Lines'!O1182</f>
        <v>1577.52</v>
      </c>
    </row>
    <row r="1183" spans="1:9" x14ac:dyDescent="0.25">
      <c r="A1183" s="2" t="str">
        <f>'Posted Sales Invoice Lines'!A1183</f>
        <v>PS-INV207718</v>
      </c>
      <c r="B1183" s="2" t="str">
        <f>'Posted Sales Invoice Lines'!B1183</f>
        <v>10805</v>
      </c>
      <c r="C1183" s="2" t="str">
        <f>'Posted Sales Invoice Lines'!C1183</f>
        <v>Sysco Jacksonville</v>
      </c>
      <c r="D1183" s="2" t="str">
        <f>'Posted Sales Invoice Lines'!E1183</f>
        <v>F53100</v>
      </c>
      <c r="E1183" s="2" t="str">
        <f>'Posted Sales Invoice Lines'!F1183</f>
        <v>Cs. Hot Dog pl/sl 12-8pk</v>
      </c>
      <c r="F1183" s="3">
        <f>'Posted Sales Invoice Lines'!G1183</f>
        <v>46134</v>
      </c>
      <c r="G1183" s="9">
        <f>'Posted Sales Invoice Lines'!L1183</f>
        <v>8</v>
      </c>
      <c r="H1183" s="8">
        <f>'Posted Sales Invoice Lines'!N1183</f>
        <v>36.6</v>
      </c>
      <c r="I1183" s="8">
        <f>'Posted Sales Invoice Lines'!O1183</f>
        <v>292.8</v>
      </c>
    </row>
    <row r="1184" spans="1:9" x14ac:dyDescent="0.25">
      <c r="A1184" s="2" t="str">
        <f>'Posted Sales Invoice Lines'!A1184</f>
        <v>PS-INV207718</v>
      </c>
      <c r="B1184" s="2" t="str">
        <f>'Posted Sales Invoice Lines'!B1184</f>
        <v>10805</v>
      </c>
      <c r="C1184" s="2" t="str">
        <f>'Posted Sales Invoice Lines'!C1184</f>
        <v>Sysco Jacksonville</v>
      </c>
      <c r="D1184" s="2" t="str">
        <f>'Posted Sales Invoice Lines'!E1184</f>
        <v>F53001</v>
      </c>
      <c r="E1184" s="2" t="str">
        <f>'Posted Sales Invoice Lines'!F1184</f>
        <v>Cs. 4" Brioche Bun 8-12pk</v>
      </c>
      <c r="F1184" s="3">
        <f>'Posted Sales Invoice Lines'!G1184</f>
        <v>46134</v>
      </c>
      <c r="G1184" s="9">
        <f>'Posted Sales Invoice Lines'!L1184</f>
        <v>56</v>
      </c>
      <c r="H1184" s="8">
        <f>'Posted Sales Invoice Lines'!N1184</f>
        <v>50.6</v>
      </c>
      <c r="I1184" s="8">
        <f>'Posted Sales Invoice Lines'!O1184</f>
        <v>2833.6</v>
      </c>
    </row>
    <row r="1185" spans="1:9" x14ac:dyDescent="0.25">
      <c r="A1185" s="2" t="str">
        <f>'Posted Sales Invoice Lines'!A1185</f>
        <v>PS-INV207718</v>
      </c>
      <c r="B1185" s="2" t="str">
        <f>'Posted Sales Invoice Lines'!B1185</f>
        <v>10805</v>
      </c>
      <c r="C1185" s="2" t="str">
        <f>'Posted Sales Invoice Lines'!C1185</f>
        <v>Sysco Jacksonville</v>
      </c>
      <c r="D1185" s="2" t="str">
        <f>'Posted Sales Invoice Lines'!E1185</f>
        <v>F53003</v>
      </c>
      <c r="E1185" s="2" t="str">
        <f>'Posted Sales Invoice Lines'!F1185</f>
        <v>Cs. 4" Unseeded Challah Bun 8-12pk</v>
      </c>
      <c r="F1185" s="3">
        <f>'Posted Sales Invoice Lines'!G1185</f>
        <v>46134</v>
      </c>
      <c r="G1185" s="9">
        <f>'Posted Sales Invoice Lines'!L1185</f>
        <v>280</v>
      </c>
      <c r="H1185" s="8">
        <f>'Posted Sales Invoice Lines'!N1185</f>
        <v>40.799999999999997</v>
      </c>
      <c r="I1185" s="8">
        <f>'Posted Sales Invoice Lines'!O1185</f>
        <v>11424</v>
      </c>
    </row>
    <row r="1186" spans="1:9" x14ac:dyDescent="0.25">
      <c r="A1186" s="2" t="str">
        <f>'Posted Sales Invoice Lines'!A1186</f>
        <v>PS-INV207718</v>
      </c>
      <c r="B1186" s="2" t="str">
        <f>'Posted Sales Invoice Lines'!B1186</f>
        <v>10805</v>
      </c>
      <c r="C1186" s="2" t="str">
        <f>'Posted Sales Invoice Lines'!C1186</f>
        <v>Sysco Jacksonville</v>
      </c>
      <c r="D1186" s="2" t="str">
        <f>'Posted Sales Invoice Lines'!E1186</f>
        <v>F51137</v>
      </c>
      <c r="E1186" s="2" t="str">
        <f>'Posted Sales Invoice Lines'!F1186</f>
        <v>Cs. Texas Toast 3/4" 12lvs</v>
      </c>
      <c r="F1186" s="3">
        <f>'Posted Sales Invoice Lines'!G1186</f>
        <v>46134</v>
      </c>
      <c r="G1186" s="9">
        <f>'Posted Sales Invoice Lines'!L1186</f>
        <v>168</v>
      </c>
      <c r="H1186" s="8">
        <f>'Posted Sales Invoice Lines'!N1186</f>
        <v>39.9</v>
      </c>
      <c r="I1186" s="8">
        <f>'Posted Sales Invoice Lines'!O1186</f>
        <v>6703.2</v>
      </c>
    </row>
    <row r="1187" spans="1:9" x14ac:dyDescent="0.25">
      <c r="A1187" s="2" t="str">
        <f>'Posted Sales Invoice Lines'!A1187</f>
        <v>PS-INV208059</v>
      </c>
      <c r="B1187" s="2" t="str">
        <f>'Posted Sales Invoice Lines'!B1187</f>
        <v>13092</v>
      </c>
      <c r="C1187" s="2" t="str">
        <f>'Posted Sales Invoice Lines'!C1187</f>
        <v>Sysco WEST COAST</v>
      </c>
      <c r="D1187" s="2" t="str">
        <f>'Posted Sales Invoice Lines'!E1187</f>
        <v>F53087</v>
      </c>
      <c r="E1187" s="2" t="str">
        <f>'Posted Sales Invoice Lines'!F1187</f>
        <v>Cs. 3.5" Challah Bun 8-12 pk</v>
      </c>
      <c r="F1187" s="3">
        <f>'Posted Sales Invoice Lines'!G1187</f>
        <v>46140</v>
      </c>
      <c r="G1187" s="9">
        <f>'Posted Sales Invoice Lines'!L1187</f>
        <v>84</v>
      </c>
      <c r="H1187" s="8">
        <f>'Posted Sales Invoice Lines'!N1187</f>
        <v>36</v>
      </c>
      <c r="I1187" s="8">
        <f>'Posted Sales Invoice Lines'!O1187</f>
        <v>3024</v>
      </c>
    </row>
    <row r="1188" spans="1:9" x14ac:dyDescent="0.25">
      <c r="A1188" s="2" t="str">
        <f>'Posted Sales Invoice Lines'!A1188</f>
        <v>PS-INV208059</v>
      </c>
      <c r="B1188" s="2" t="str">
        <f>'Posted Sales Invoice Lines'!B1188</f>
        <v>13092</v>
      </c>
      <c r="C1188" s="2" t="str">
        <f>'Posted Sales Invoice Lines'!C1188</f>
        <v>Sysco WEST COAST</v>
      </c>
      <c r="D1188" s="2" t="str">
        <f>'Posted Sales Invoice Lines'!E1188</f>
        <v>F530491</v>
      </c>
      <c r="E1188" s="2" t="str">
        <f>'Posted Sales Invoice Lines'!F1188</f>
        <v>Cs. 4.5 Brioche Bun 6-12pk</v>
      </c>
      <c r="F1188" s="3">
        <f>'Posted Sales Invoice Lines'!G1188</f>
        <v>46140</v>
      </c>
      <c r="G1188" s="9">
        <f>'Posted Sales Invoice Lines'!L1188</f>
        <v>84</v>
      </c>
      <c r="H1188" s="8">
        <f>'Posted Sales Invoice Lines'!N1188</f>
        <v>39.65</v>
      </c>
      <c r="I1188" s="8">
        <f>'Posted Sales Invoice Lines'!O1188</f>
        <v>3330.6</v>
      </c>
    </row>
    <row r="1189" spans="1:9" x14ac:dyDescent="0.25">
      <c r="A1189" s="2" t="str">
        <f>'Posted Sales Invoice Lines'!A1189</f>
        <v>PS-INV208059</v>
      </c>
      <c r="B1189" s="2" t="str">
        <f>'Posted Sales Invoice Lines'!B1189</f>
        <v>13092</v>
      </c>
      <c r="C1189" s="2" t="str">
        <f>'Posted Sales Invoice Lines'!C1189</f>
        <v>Sysco WEST COAST</v>
      </c>
      <c r="D1189" s="2" t="str">
        <f>'Posted Sales Invoice Lines'!E1189</f>
        <v>F51137</v>
      </c>
      <c r="E1189" s="2" t="str">
        <f>'Posted Sales Invoice Lines'!F1189</f>
        <v>Cs. Texas Toast 3/4" 12lvs</v>
      </c>
      <c r="F1189" s="3">
        <f>'Posted Sales Invoice Lines'!G1189</f>
        <v>46140</v>
      </c>
      <c r="G1189" s="9">
        <f>'Posted Sales Invoice Lines'!L1189</f>
        <v>280</v>
      </c>
      <c r="H1189" s="8">
        <f>'Posted Sales Invoice Lines'!N1189</f>
        <v>35</v>
      </c>
      <c r="I1189" s="8">
        <f>'Posted Sales Invoice Lines'!O1189</f>
        <v>9800</v>
      </c>
    </row>
    <row r="1190" spans="1:9" x14ac:dyDescent="0.25">
      <c r="A1190" s="2" t="str">
        <f>'Posted Sales Invoice Lines'!A1190</f>
        <v>PS-INV208064</v>
      </c>
      <c r="B1190" s="2" t="str">
        <f>'Posted Sales Invoice Lines'!B1190</f>
        <v>10511</v>
      </c>
      <c r="C1190" s="2" t="str">
        <f>'Posted Sales Invoice Lines'!C1190</f>
        <v>Sysco Nashville, LLC</v>
      </c>
      <c r="D1190" s="2" t="str">
        <f>'Posted Sales Invoice Lines'!E1190</f>
        <v>F51200</v>
      </c>
      <c r="E1190" s="2" t="str">
        <f>'Posted Sales Invoice Lines'!F1190</f>
        <v>Cs. Jalapeno Corn Hearth 5/8" 8lvs</v>
      </c>
      <c r="F1190" s="3">
        <f>'Posted Sales Invoice Lines'!G1190</f>
        <v>46134</v>
      </c>
      <c r="G1190" s="9">
        <f>'Posted Sales Invoice Lines'!L1190</f>
        <v>48</v>
      </c>
      <c r="H1190" s="8">
        <f>'Posted Sales Invoice Lines'!N1190</f>
        <v>60.07</v>
      </c>
      <c r="I1190" s="8">
        <f>'Posted Sales Invoice Lines'!O1190</f>
        <v>2883.36</v>
      </c>
    </row>
    <row r="1191" spans="1:9" x14ac:dyDescent="0.25">
      <c r="A1191" s="2" t="str">
        <f>'Posted Sales Invoice Lines'!A1191</f>
        <v>PS-INV208064</v>
      </c>
      <c r="B1191" s="2" t="str">
        <f>'Posted Sales Invoice Lines'!B1191</f>
        <v>10511</v>
      </c>
      <c r="C1191" s="2" t="str">
        <f>'Posted Sales Invoice Lines'!C1191</f>
        <v>Sysco Nashville, LLC</v>
      </c>
      <c r="D1191" s="2" t="str">
        <f>'Posted Sales Invoice Lines'!E1191</f>
        <v>F51414</v>
      </c>
      <c r="E1191" s="2" t="str">
        <f>'Posted Sales Invoice Lines'!F1191</f>
        <v>Cs. Cranberry 9 Grain Hearth 5/8" 8lvs</v>
      </c>
      <c r="F1191" s="3">
        <f>'Posted Sales Invoice Lines'!G1191</f>
        <v>46134</v>
      </c>
      <c r="G1191" s="9">
        <f>'Posted Sales Invoice Lines'!L1191</f>
        <v>28</v>
      </c>
      <c r="H1191" s="8">
        <f>'Posted Sales Invoice Lines'!N1191</f>
        <v>64</v>
      </c>
      <c r="I1191" s="8">
        <f>'Posted Sales Invoice Lines'!O1191</f>
        <v>1792</v>
      </c>
    </row>
    <row r="1192" spans="1:9" x14ac:dyDescent="0.25">
      <c r="A1192" s="2" t="str">
        <f>'Posted Sales Invoice Lines'!A1192</f>
        <v>PS-INV208064</v>
      </c>
      <c r="B1192" s="2" t="str">
        <f>'Posted Sales Invoice Lines'!B1192</f>
        <v>10511</v>
      </c>
      <c r="C1192" s="2" t="str">
        <f>'Posted Sales Invoice Lines'!C1192</f>
        <v>Sysco Nashville, LLC</v>
      </c>
      <c r="D1192" s="2" t="str">
        <f>'Posted Sales Invoice Lines'!E1192</f>
        <v>F53001</v>
      </c>
      <c r="E1192" s="2" t="str">
        <f>'Posted Sales Invoice Lines'!F1192</f>
        <v>Cs. 4" Brioche Bun 8-12pk</v>
      </c>
      <c r="F1192" s="3">
        <f>'Posted Sales Invoice Lines'!G1192</f>
        <v>46134</v>
      </c>
      <c r="G1192" s="9">
        <f>'Posted Sales Invoice Lines'!L1192</f>
        <v>180</v>
      </c>
      <c r="H1192" s="8">
        <f>'Posted Sales Invoice Lines'!N1192</f>
        <v>46.1</v>
      </c>
      <c r="I1192" s="8">
        <f>'Posted Sales Invoice Lines'!O1192</f>
        <v>8298</v>
      </c>
    </row>
    <row r="1193" spans="1:9" x14ac:dyDescent="0.25">
      <c r="A1193" s="2" t="str">
        <f>'Posted Sales Invoice Lines'!A1193</f>
        <v>PS-INV208064</v>
      </c>
      <c r="B1193" s="2" t="str">
        <f>'Posted Sales Invoice Lines'!B1193</f>
        <v>10511</v>
      </c>
      <c r="C1193" s="2" t="str">
        <f>'Posted Sales Invoice Lines'!C1193</f>
        <v>Sysco Nashville, LLC</v>
      </c>
      <c r="D1193" s="2" t="str">
        <f>'Posted Sales Invoice Lines'!E1193</f>
        <v>F530491</v>
      </c>
      <c r="E1193" s="2" t="str">
        <f>'Posted Sales Invoice Lines'!F1193</f>
        <v>Cs. 4.5 Brioche Bun 6-12pk</v>
      </c>
      <c r="F1193" s="3">
        <f>'Posted Sales Invoice Lines'!G1193</f>
        <v>46134</v>
      </c>
      <c r="G1193" s="9">
        <f>'Posted Sales Invoice Lines'!L1193</f>
        <v>28</v>
      </c>
      <c r="H1193" s="8">
        <f>'Posted Sales Invoice Lines'!N1193</f>
        <v>36.35</v>
      </c>
      <c r="I1193" s="8">
        <f>'Posted Sales Invoice Lines'!O1193</f>
        <v>1017.8</v>
      </c>
    </row>
    <row r="1194" spans="1:9" x14ac:dyDescent="0.25">
      <c r="A1194" s="2" t="str">
        <f>'Posted Sales Invoice Lines'!A1194</f>
        <v>PS-INV208064</v>
      </c>
      <c r="B1194" s="2" t="str">
        <f>'Posted Sales Invoice Lines'!B1194</f>
        <v>10511</v>
      </c>
      <c r="C1194" s="2" t="str">
        <f>'Posted Sales Invoice Lines'!C1194</f>
        <v>Sysco Nashville, LLC</v>
      </c>
      <c r="D1194" s="2" t="str">
        <f>'Posted Sales Invoice Lines'!E1194</f>
        <v>F53116</v>
      </c>
      <c r="E1194" s="2" t="str">
        <f>'Posted Sales Invoice Lines'!F1194</f>
        <v>Cs. 7" French Hinged 12</v>
      </c>
      <c r="F1194" s="3">
        <f>'Posted Sales Invoice Lines'!G1194</f>
        <v>46134</v>
      </c>
      <c r="G1194" s="9">
        <f>'Posted Sales Invoice Lines'!L1194</f>
        <v>64</v>
      </c>
      <c r="H1194" s="8">
        <f>'Posted Sales Invoice Lines'!N1194</f>
        <v>38</v>
      </c>
      <c r="I1194" s="8">
        <f>'Posted Sales Invoice Lines'!O1194</f>
        <v>2432</v>
      </c>
    </row>
    <row r="1195" spans="1:9" x14ac:dyDescent="0.25">
      <c r="A1195" s="2" t="str">
        <f>'Posted Sales Invoice Lines'!A1195</f>
        <v>PS-INV208064</v>
      </c>
      <c r="B1195" s="2" t="str">
        <f>'Posted Sales Invoice Lines'!B1195</f>
        <v>10511</v>
      </c>
      <c r="C1195" s="2" t="str">
        <f>'Posted Sales Invoice Lines'!C1195</f>
        <v>Sysco Nashville, LLC</v>
      </c>
      <c r="D1195" s="2" t="str">
        <f>'Posted Sales Invoice Lines'!E1195</f>
        <v>F53128</v>
      </c>
      <c r="E1195" s="2" t="str">
        <f>'Posted Sales Invoice Lines'!F1195</f>
        <v>Cs. 8" Philly Unsliced 10-6pk</v>
      </c>
      <c r="F1195" s="3">
        <f>'Posted Sales Invoice Lines'!G1195</f>
        <v>46134</v>
      </c>
      <c r="G1195" s="9">
        <f>'Posted Sales Invoice Lines'!L1195</f>
        <v>84</v>
      </c>
      <c r="H1195" s="8">
        <f>'Posted Sales Invoice Lines'!N1195</f>
        <v>45</v>
      </c>
      <c r="I1195" s="8">
        <f>'Posted Sales Invoice Lines'!O1195</f>
        <v>3780</v>
      </c>
    </row>
    <row r="1196" spans="1:9" x14ac:dyDescent="0.25">
      <c r="A1196" s="2" t="str">
        <f>'Posted Sales Invoice Lines'!A1196</f>
        <v>PS-INV208363</v>
      </c>
      <c r="B1196" s="2" t="str">
        <f>'Posted Sales Invoice Lines'!B1196</f>
        <v>1-10</v>
      </c>
      <c r="C1196" s="2" t="str">
        <f>'Posted Sales Invoice Lines'!C1196</f>
        <v>Genesis Coplin</v>
      </c>
      <c r="D1196" s="2" t="str">
        <f>'Posted Sales Invoice Lines'!E1196</f>
        <v>F56212</v>
      </c>
      <c r="E1196" s="2" t="str">
        <f>'Posted Sales Invoice Lines'!F1196</f>
        <v>Cs. Foccacia Herb 6pk</v>
      </c>
      <c r="F1196" s="3">
        <f>'Posted Sales Invoice Lines'!G1196</f>
        <v>46121</v>
      </c>
      <c r="G1196" s="9">
        <f>'Posted Sales Invoice Lines'!L1196</f>
        <v>1</v>
      </c>
      <c r="H1196" s="8">
        <f>'Posted Sales Invoice Lines'!N1196</f>
        <v>0</v>
      </c>
      <c r="I1196" s="8">
        <f>'Posted Sales Invoice Lines'!O1196</f>
        <v>0</v>
      </c>
    </row>
    <row r="1197" spans="1:9" x14ac:dyDescent="0.25">
      <c r="A1197" s="2" t="str">
        <f>'Posted Sales Invoice Lines'!A1197</f>
        <v>PS-INV208406</v>
      </c>
      <c r="B1197" s="2" t="str">
        <f>'Posted Sales Invoice Lines'!B1197</f>
        <v>10719-4</v>
      </c>
      <c r="C1197" s="2" t="str">
        <f>'Posted Sales Invoice Lines'!C1197</f>
        <v>US Foods - Columbia/Lexington</v>
      </c>
      <c r="D1197" s="2" t="str">
        <f>'Posted Sales Invoice Lines'!E1197</f>
        <v>F51077</v>
      </c>
      <c r="E1197" s="2" t="str">
        <f>'Posted Sales Invoice Lines'!F1197</f>
        <v>Cs. Oatie Multigrain 5/8" 8lvs</v>
      </c>
      <c r="F1197" s="3">
        <f>'Posted Sales Invoice Lines'!G1197</f>
        <v>46134</v>
      </c>
      <c r="G1197" s="9">
        <f>'Posted Sales Invoice Lines'!L1197</f>
        <v>8</v>
      </c>
      <c r="H1197" s="8">
        <f>'Posted Sales Invoice Lines'!N1197</f>
        <v>56</v>
      </c>
      <c r="I1197" s="8">
        <f>'Posted Sales Invoice Lines'!O1197</f>
        <v>448</v>
      </c>
    </row>
    <row r="1198" spans="1:9" x14ac:dyDescent="0.25">
      <c r="A1198" s="2" t="str">
        <f>'Posted Sales Invoice Lines'!A1198</f>
        <v>PS-INV208406</v>
      </c>
      <c r="B1198" s="2" t="str">
        <f>'Posted Sales Invoice Lines'!B1198</f>
        <v>10719-4</v>
      </c>
      <c r="C1198" s="2" t="str">
        <f>'Posted Sales Invoice Lines'!C1198</f>
        <v>US Foods - Columbia/Lexington</v>
      </c>
      <c r="D1198" s="2" t="str">
        <f>'Posted Sales Invoice Lines'!E1198</f>
        <v>F530041</v>
      </c>
      <c r="E1198" s="2" t="str">
        <f>'Posted Sales Invoice Lines'!F1198</f>
        <v>Cs. 4" S&amp;P Brioche Bun 8-12pk</v>
      </c>
      <c r="F1198" s="3">
        <f>'Posted Sales Invoice Lines'!G1198</f>
        <v>46134</v>
      </c>
      <c r="G1198" s="9">
        <f>'Posted Sales Invoice Lines'!L1198</f>
        <v>20</v>
      </c>
      <c r="H1198" s="8">
        <f>'Posted Sales Invoice Lines'!N1198</f>
        <v>46</v>
      </c>
      <c r="I1198" s="8">
        <f>'Posted Sales Invoice Lines'!O1198</f>
        <v>920</v>
      </c>
    </row>
    <row r="1199" spans="1:9" x14ac:dyDescent="0.25">
      <c r="A1199" s="2" t="str">
        <f>'Posted Sales Invoice Lines'!A1199</f>
        <v>PS-INV208406</v>
      </c>
      <c r="B1199" s="2" t="str">
        <f>'Posted Sales Invoice Lines'!B1199</f>
        <v>10719-4</v>
      </c>
      <c r="C1199" s="2" t="str">
        <f>'Posted Sales Invoice Lines'!C1199</f>
        <v>US Foods - Columbia/Lexington</v>
      </c>
      <c r="D1199" s="2" t="str">
        <f>'Posted Sales Invoice Lines'!E1199</f>
        <v>F53010</v>
      </c>
      <c r="E1199" s="2" t="str">
        <f>'Posted Sales Invoice Lines'!F1199</f>
        <v>Cs. Onion Roll 8-12pk</v>
      </c>
      <c r="F1199" s="3">
        <f>'Posted Sales Invoice Lines'!G1199</f>
        <v>46134</v>
      </c>
      <c r="G1199" s="9">
        <f>'Posted Sales Invoice Lines'!L1199</f>
        <v>16</v>
      </c>
      <c r="H1199" s="8">
        <f>'Posted Sales Invoice Lines'!N1199</f>
        <v>41.85</v>
      </c>
      <c r="I1199" s="8">
        <f>'Posted Sales Invoice Lines'!O1199</f>
        <v>669.6</v>
      </c>
    </row>
    <row r="1200" spans="1:9" x14ac:dyDescent="0.25">
      <c r="A1200" s="2" t="str">
        <f>'Posted Sales Invoice Lines'!A1200</f>
        <v>PS-INV208406</v>
      </c>
      <c r="B1200" s="2" t="str">
        <f>'Posted Sales Invoice Lines'!B1200</f>
        <v>10719-4</v>
      </c>
      <c r="C1200" s="2" t="str">
        <f>'Posted Sales Invoice Lines'!C1200</f>
        <v>US Foods - Columbia/Lexington</v>
      </c>
      <c r="D1200" s="2" t="str">
        <f>'Posted Sales Invoice Lines'!E1200</f>
        <v>F53093</v>
      </c>
      <c r="E1200" s="2" t="str">
        <f>'Posted Sales Invoice Lines'!F1200</f>
        <v>Cs. 6" Philly Unsliced 12-6pk</v>
      </c>
      <c r="F1200" s="3">
        <f>'Posted Sales Invoice Lines'!G1200</f>
        <v>46134</v>
      </c>
      <c r="G1200" s="9">
        <f>'Posted Sales Invoice Lines'!L1200</f>
        <v>8</v>
      </c>
      <c r="H1200" s="8">
        <f>'Posted Sales Invoice Lines'!N1200</f>
        <v>47.2</v>
      </c>
      <c r="I1200" s="8">
        <f>'Posted Sales Invoice Lines'!O1200</f>
        <v>377.6</v>
      </c>
    </row>
    <row r="1201" spans="1:9" x14ac:dyDescent="0.25">
      <c r="A1201" s="2" t="str">
        <f>'Posted Sales Invoice Lines'!A1201</f>
        <v>PS-INV208406</v>
      </c>
      <c r="B1201" s="2" t="str">
        <f>'Posted Sales Invoice Lines'!B1201</f>
        <v>10719-4</v>
      </c>
      <c r="C1201" s="2" t="str">
        <f>'Posted Sales Invoice Lines'!C1201</f>
        <v>US Foods - Columbia/Lexington</v>
      </c>
      <c r="D1201" s="2" t="str">
        <f>'Posted Sales Invoice Lines'!E1201</f>
        <v>F51026</v>
      </c>
      <c r="E1201" s="2" t="str">
        <f>'Posted Sales Invoice Lines'!F1201</f>
        <v>Cs. Marble Rye 3/4" 8lvs</v>
      </c>
      <c r="F1201" s="3">
        <f>'Posted Sales Invoice Lines'!G1201</f>
        <v>46134</v>
      </c>
      <c r="G1201" s="9">
        <f>'Posted Sales Invoice Lines'!L1201</f>
        <v>76</v>
      </c>
      <c r="H1201" s="8">
        <f>'Posted Sales Invoice Lines'!N1201</f>
        <v>52</v>
      </c>
      <c r="I1201" s="8">
        <f>'Posted Sales Invoice Lines'!O1201</f>
        <v>3952</v>
      </c>
    </row>
    <row r="1202" spans="1:9" x14ac:dyDescent="0.25">
      <c r="A1202" s="2" t="str">
        <f>'Posted Sales Invoice Lines'!A1202</f>
        <v>PS-INV208406</v>
      </c>
      <c r="B1202" s="2" t="str">
        <f>'Posted Sales Invoice Lines'!B1202</f>
        <v>10719-4</v>
      </c>
      <c r="C1202" s="2" t="str">
        <f>'Posted Sales Invoice Lines'!C1202</f>
        <v>US Foods - Columbia/Lexington</v>
      </c>
      <c r="D1202" s="2" t="str">
        <f>'Posted Sales Invoice Lines'!E1202</f>
        <v>F53310</v>
      </c>
      <c r="E1202" s="2" t="str">
        <f>'Posted Sales Invoice Lines'!F1202</f>
        <v>Cs. LobsterRoll 12-12</v>
      </c>
      <c r="F1202" s="3">
        <f>'Posted Sales Invoice Lines'!G1202</f>
        <v>46134</v>
      </c>
      <c r="G1202" s="9">
        <f>'Posted Sales Invoice Lines'!L1202</f>
        <v>4</v>
      </c>
      <c r="H1202" s="8">
        <f>'Posted Sales Invoice Lines'!N1202</f>
        <v>48.06</v>
      </c>
      <c r="I1202" s="8">
        <f>'Posted Sales Invoice Lines'!O1202</f>
        <v>192.24</v>
      </c>
    </row>
    <row r="1203" spans="1:9" x14ac:dyDescent="0.25">
      <c r="A1203" s="2" t="str">
        <f>'Posted Sales Invoice Lines'!A1203</f>
        <v>PS-INV208406</v>
      </c>
      <c r="B1203" s="2" t="str">
        <f>'Posted Sales Invoice Lines'!B1203</f>
        <v>10719-4</v>
      </c>
      <c r="C1203" s="2" t="str">
        <f>'Posted Sales Invoice Lines'!C1203</f>
        <v>US Foods - Columbia/Lexington</v>
      </c>
      <c r="D1203" s="2" t="str">
        <f>'Posted Sales Invoice Lines'!E1203</f>
        <v>F51024</v>
      </c>
      <c r="E1203" s="2" t="str">
        <f>'Posted Sales Invoice Lines'!F1203</f>
        <v>Cs. Marble Rye 5/8" 8lvs</v>
      </c>
      <c r="F1203" s="3">
        <f>'Posted Sales Invoice Lines'!G1203</f>
        <v>46134</v>
      </c>
      <c r="G1203" s="9">
        <f>'Posted Sales Invoice Lines'!L1203</f>
        <v>1</v>
      </c>
      <c r="H1203" s="8">
        <f>'Posted Sales Invoice Lines'!N1203</f>
        <v>54</v>
      </c>
      <c r="I1203" s="8">
        <f>'Posted Sales Invoice Lines'!O1203</f>
        <v>54</v>
      </c>
    </row>
    <row r="1204" spans="1:9" x14ac:dyDescent="0.25">
      <c r="A1204" s="2" t="str">
        <f>'Posted Sales Invoice Lines'!A1204</f>
        <v>PS-INV208406</v>
      </c>
      <c r="B1204" s="2" t="str">
        <f>'Posted Sales Invoice Lines'!B1204</f>
        <v>10719-4</v>
      </c>
      <c r="C1204" s="2" t="str">
        <f>'Posted Sales Invoice Lines'!C1204</f>
        <v>US Foods - Columbia/Lexington</v>
      </c>
      <c r="D1204" s="2" t="str">
        <f>'Posted Sales Invoice Lines'!E1204</f>
        <v>F51020</v>
      </c>
      <c r="E1204" s="2" t="str">
        <f>'Posted Sales Invoice Lines'!F1204</f>
        <v>Cs. Marble Rye 1/2" 8lvs</v>
      </c>
      <c r="F1204" s="3">
        <f>'Posted Sales Invoice Lines'!G1204</f>
        <v>46134</v>
      </c>
      <c r="G1204" s="9">
        <f>'Posted Sales Invoice Lines'!L1204</f>
        <v>4</v>
      </c>
      <c r="H1204" s="8">
        <f>'Posted Sales Invoice Lines'!N1204</f>
        <v>52</v>
      </c>
      <c r="I1204" s="8">
        <f>'Posted Sales Invoice Lines'!O1204</f>
        <v>208</v>
      </c>
    </row>
    <row r="1205" spans="1:9" x14ac:dyDescent="0.25">
      <c r="A1205" s="2" t="str">
        <f>'Posted Sales Invoice Lines'!A1205</f>
        <v>PS-INV208406</v>
      </c>
      <c r="B1205" s="2" t="str">
        <f>'Posted Sales Invoice Lines'!B1205</f>
        <v>10719-4</v>
      </c>
      <c r="C1205" s="2" t="str">
        <f>'Posted Sales Invoice Lines'!C1205</f>
        <v>US Foods - Columbia/Lexington</v>
      </c>
      <c r="D1205" s="2" t="str">
        <f>'Posted Sales Invoice Lines'!E1205</f>
        <v>F53024</v>
      </c>
      <c r="E1205" s="2" t="str">
        <f>'Posted Sales Invoice Lines'!F1205</f>
        <v>Cs. 4" Challah Kaiser 8-12pk</v>
      </c>
      <c r="F1205" s="3">
        <f>'Posted Sales Invoice Lines'!G1205</f>
        <v>46134</v>
      </c>
      <c r="G1205" s="9">
        <f>'Posted Sales Invoice Lines'!L1205</f>
        <v>16</v>
      </c>
      <c r="H1205" s="8">
        <f>'Posted Sales Invoice Lines'!N1205</f>
        <v>38.25</v>
      </c>
      <c r="I1205" s="8">
        <f>'Posted Sales Invoice Lines'!O1205</f>
        <v>612</v>
      </c>
    </row>
    <row r="1206" spans="1:9" x14ac:dyDescent="0.25">
      <c r="A1206" s="2" t="str">
        <f>'Posted Sales Invoice Lines'!A1206</f>
        <v>PS-INV208406</v>
      </c>
      <c r="B1206" s="2" t="str">
        <f>'Posted Sales Invoice Lines'!B1206</f>
        <v>10719-4</v>
      </c>
      <c r="C1206" s="2" t="str">
        <f>'Posted Sales Invoice Lines'!C1206</f>
        <v>US Foods - Columbia/Lexington</v>
      </c>
      <c r="D1206" s="2" t="str">
        <f>'Posted Sales Invoice Lines'!E1206</f>
        <v>F53122</v>
      </c>
      <c r="E1206" s="2" t="str">
        <f>'Posted Sales Invoice Lines'!F1206</f>
        <v>Cs. 8" Italian Hinged 12-6pk</v>
      </c>
      <c r="F1206" s="3">
        <f>'Posted Sales Invoice Lines'!G1206</f>
        <v>46134</v>
      </c>
      <c r="G1206" s="9">
        <f>'Posted Sales Invoice Lines'!L1206</f>
        <v>0</v>
      </c>
      <c r="H1206" s="8">
        <f>'Posted Sales Invoice Lines'!N1206</f>
        <v>38.9</v>
      </c>
      <c r="I1206" s="8">
        <f>'Posted Sales Invoice Lines'!O1206</f>
        <v>0</v>
      </c>
    </row>
    <row r="1207" spans="1:9" x14ac:dyDescent="0.25">
      <c r="A1207" s="2" t="str">
        <f>'Posted Sales Invoice Lines'!A1207</f>
        <v>PS-INV208428</v>
      </c>
      <c r="B1207" s="2" t="str">
        <f>'Posted Sales Invoice Lines'!B1207</f>
        <v>20334</v>
      </c>
      <c r="C1207" s="2" t="str">
        <f>'Posted Sales Invoice Lines'!C1207</f>
        <v>Sysco Atlanta</v>
      </c>
      <c r="D1207" s="2" t="str">
        <f>'Posted Sales Invoice Lines'!E1207</f>
        <v>F53116</v>
      </c>
      <c r="E1207" s="2" t="str">
        <f>'Posted Sales Invoice Lines'!F1207</f>
        <v>Cs. 7" French Hinged 12</v>
      </c>
      <c r="F1207" s="3">
        <f>'Posted Sales Invoice Lines'!G1207</f>
        <v>46135</v>
      </c>
      <c r="G1207" s="9">
        <f>'Posted Sales Invoice Lines'!L1207</f>
        <v>28</v>
      </c>
      <c r="H1207" s="8">
        <f>'Posted Sales Invoice Lines'!N1207</f>
        <v>31.42</v>
      </c>
      <c r="I1207" s="8">
        <f>'Posted Sales Invoice Lines'!O1207</f>
        <v>879.76</v>
      </c>
    </row>
    <row r="1208" spans="1:9" x14ac:dyDescent="0.25">
      <c r="A1208" s="2" t="str">
        <f>'Posted Sales Invoice Lines'!A1208</f>
        <v>PS-INV208428</v>
      </c>
      <c r="B1208" s="2" t="str">
        <f>'Posted Sales Invoice Lines'!B1208</f>
        <v>20334</v>
      </c>
      <c r="C1208" s="2" t="str">
        <f>'Posted Sales Invoice Lines'!C1208</f>
        <v>Sysco Atlanta</v>
      </c>
      <c r="D1208" s="2" t="str">
        <f>'Posted Sales Invoice Lines'!E1208</f>
        <v>F51024</v>
      </c>
      <c r="E1208" s="2" t="str">
        <f>'Posted Sales Invoice Lines'!F1208</f>
        <v>Cs. Marble Rye 5/8" 8lvs</v>
      </c>
      <c r="F1208" s="3">
        <f>'Posted Sales Invoice Lines'!G1208</f>
        <v>46135</v>
      </c>
      <c r="G1208" s="9">
        <f>'Posted Sales Invoice Lines'!L1208</f>
        <v>24</v>
      </c>
      <c r="H1208" s="8">
        <f>'Posted Sales Invoice Lines'!N1208</f>
        <v>43.26</v>
      </c>
      <c r="I1208" s="8">
        <f>'Posted Sales Invoice Lines'!O1208</f>
        <v>1038.24</v>
      </c>
    </row>
    <row r="1209" spans="1:9" x14ac:dyDescent="0.25">
      <c r="A1209" s="2" t="str">
        <f>'Posted Sales Invoice Lines'!A1209</f>
        <v>PS-INV208428</v>
      </c>
      <c r="B1209" s="2" t="str">
        <f>'Posted Sales Invoice Lines'!B1209</f>
        <v>20334</v>
      </c>
      <c r="C1209" s="2" t="str">
        <f>'Posted Sales Invoice Lines'!C1209</f>
        <v>Sysco Atlanta</v>
      </c>
      <c r="D1209" s="2" t="str">
        <f>'Posted Sales Invoice Lines'!E1209</f>
        <v>F51127</v>
      </c>
      <c r="E1209" s="2" t="str">
        <f>'Posted Sales Invoice Lines'!F1209</f>
        <v>Cs. Challah 3-Braid 8</v>
      </c>
      <c r="F1209" s="3">
        <f>'Posted Sales Invoice Lines'!G1209</f>
        <v>46135</v>
      </c>
      <c r="G1209" s="9">
        <f>'Posted Sales Invoice Lines'!L1209</f>
        <v>20</v>
      </c>
      <c r="H1209" s="8">
        <f>'Posted Sales Invoice Lines'!N1209</f>
        <v>43.26</v>
      </c>
      <c r="I1209" s="8">
        <f>'Posted Sales Invoice Lines'!O1209</f>
        <v>865.2</v>
      </c>
    </row>
    <row r="1210" spans="1:9" x14ac:dyDescent="0.25">
      <c r="A1210" s="2" t="str">
        <f>'Posted Sales Invoice Lines'!A1210</f>
        <v>PS-INV208428</v>
      </c>
      <c r="B1210" s="2" t="str">
        <f>'Posted Sales Invoice Lines'!B1210</f>
        <v>20334</v>
      </c>
      <c r="C1210" s="2" t="str">
        <f>'Posted Sales Invoice Lines'!C1210</f>
        <v>Sysco Atlanta</v>
      </c>
      <c r="D1210" s="2" t="str">
        <f>'Posted Sales Invoice Lines'!E1210</f>
        <v>F53001</v>
      </c>
      <c r="E1210" s="2" t="str">
        <f>'Posted Sales Invoice Lines'!F1210</f>
        <v>Cs. 4" Brioche Bun 8-12pk</v>
      </c>
      <c r="F1210" s="3">
        <f>'Posted Sales Invoice Lines'!G1210</f>
        <v>46135</v>
      </c>
      <c r="G1210" s="9">
        <f>'Posted Sales Invoice Lines'!L1210</f>
        <v>112</v>
      </c>
      <c r="H1210" s="8">
        <f>'Posted Sales Invoice Lines'!N1210</f>
        <v>43.36</v>
      </c>
      <c r="I1210" s="8">
        <f>'Posted Sales Invoice Lines'!O1210</f>
        <v>4856.32</v>
      </c>
    </row>
    <row r="1211" spans="1:9" x14ac:dyDescent="0.25">
      <c r="A1211" s="2" t="str">
        <f>'Posted Sales Invoice Lines'!A1211</f>
        <v>PS-INV208428</v>
      </c>
      <c r="B1211" s="2" t="str">
        <f>'Posted Sales Invoice Lines'!B1211</f>
        <v>20334</v>
      </c>
      <c r="C1211" s="2" t="str">
        <f>'Posted Sales Invoice Lines'!C1211</f>
        <v>Sysco Atlanta</v>
      </c>
      <c r="D1211" s="2" t="str">
        <f>'Posted Sales Invoice Lines'!E1211</f>
        <v>F51034</v>
      </c>
      <c r="E1211" s="2" t="str">
        <f>'Posted Sales Invoice Lines'!F1211</f>
        <v>Cs. Sour Dough Hearth 5/8" 8lvs</v>
      </c>
      <c r="F1211" s="3">
        <f>'Posted Sales Invoice Lines'!G1211</f>
        <v>46135</v>
      </c>
      <c r="G1211" s="9">
        <f>'Posted Sales Invoice Lines'!L1211</f>
        <v>40</v>
      </c>
      <c r="H1211" s="8">
        <f>'Posted Sales Invoice Lines'!N1211</f>
        <v>41.2</v>
      </c>
      <c r="I1211" s="8">
        <f>'Posted Sales Invoice Lines'!O1211</f>
        <v>1648</v>
      </c>
    </row>
    <row r="1212" spans="1:9" x14ac:dyDescent="0.25">
      <c r="A1212" s="2" t="str">
        <f>'Posted Sales Invoice Lines'!A1212</f>
        <v>PS-INV208428</v>
      </c>
      <c r="B1212" s="2" t="str">
        <f>'Posted Sales Invoice Lines'!B1212</f>
        <v>20334</v>
      </c>
      <c r="C1212" s="2" t="str">
        <f>'Posted Sales Invoice Lines'!C1212</f>
        <v>Sysco Atlanta</v>
      </c>
      <c r="D1212" s="2" t="str">
        <f>'Posted Sales Invoice Lines'!E1212</f>
        <v>F53003</v>
      </c>
      <c r="E1212" s="2" t="str">
        <f>'Posted Sales Invoice Lines'!F1212</f>
        <v>Cs. 4" Unseeded Challah Bun 8-12pk</v>
      </c>
      <c r="F1212" s="3">
        <f>'Posted Sales Invoice Lines'!G1212</f>
        <v>46135</v>
      </c>
      <c r="G1212" s="9">
        <f>'Posted Sales Invoice Lines'!L1212</f>
        <v>56</v>
      </c>
      <c r="H1212" s="8">
        <f>'Posted Sales Invoice Lines'!N1212</f>
        <v>38.19</v>
      </c>
      <c r="I1212" s="8">
        <f>'Posted Sales Invoice Lines'!O1212</f>
        <v>2138.64</v>
      </c>
    </row>
    <row r="1213" spans="1:9" x14ac:dyDescent="0.25">
      <c r="A1213" s="2" t="str">
        <f>'Posted Sales Invoice Lines'!A1213</f>
        <v>PS-INV208428</v>
      </c>
      <c r="B1213" s="2" t="str">
        <f>'Posted Sales Invoice Lines'!B1213</f>
        <v>20334</v>
      </c>
      <c r="C1213" s="2" t="str">
        <f>'Posted Sales Invoice Lines'!C1213</f>
        <v>Sysco Atlanta</v>
      </c>
      <c r="D1213" s="2" t="str">
        <f>'Posted Sales Invoice Lines'!E1213</f>
        <v>F53013</v>
      </c>
      <c r="E1213" s="2" t="str">
        <f>'Posted Sales Invoice Lines'!F1213</f>
        <v>Cs. 4" Vidalia 8-12pk</v>
      </c>
      <c r="F1213" s="3">
        <f>'Posted Sales Invoice Lines'!G1213</f>
        <v>46135</v>
      </c>
      <c r="G1213" s="9">
        <f>'Posted Sales Invoice Lines'!L1213</f>
        <v>8</v>
      </c>
      <c r="H1213" s="8">
        <f>'Posted Sales Invoice Lines'!N1213</f>
        <v>45.84</v>
      </c>
      <c r="I1213" s="8">
        <f>'Posted Sales Invoice Lines'!O1213</f>
        <v>366.72</v>
      </c>
    </row>
    <row r="1214" spans="1:9" x14ac:dyDescent="0.25">
      <c r="A1214" s="2" t="str">
        <f>'Posted Sales Invoice Lines'!A1214</f>
        <v>PS-INV208428</v>
      </c>
      <c r="B1214" s="2" t="str">
        <f>'Posted Sales Invoice Lines'!B1214</f>
        <v>20334</v>
      </c>
      <c r="C1214" s="2" t="str">
        <f>'Posted Sales Invoice Lines'!C1214</f>
        <v>Sysco Atlanta</v>
      </c>
      <c r="D1214" s="2" t="str">
        <f>'Posted Sales Invoice Lines'!E1214</f>
        <v>F53140</v>
      </c>
      <c r="E1214" s="2" t="str">
        <f>'Posted Sales Invoice Lines'!F1214</f>
        <v>Cs. Knuckies 8" White 12-6pk</v>
      </c>
      <c r="F1214" s="3">
        <f>'Posted Sales Invoice Lines'!G1214</f>
        <v>46135</v>
      </c>
      <c r="G1214" s="9">
        <f>'Posted Sales Invoice Lines'!L1214</f>
        <v>20</v>
      </c>
      <c r="H1214" s="8">
        <f>'Posted Sales Invoice Lines'!N1214</f>
        <v>41</v>
      </c>
      <c r="I1214" s="8">
        <f>'Posted Sales Invoice Lines'!O1214</f>
        <v>820</v>
      </c>
    </row>
    <row r="1215" spans="1:9" x14ac:dyDescent="0.25">
      <c r="A1215" s="2" t="str">
        <f>'Posted Sales Invoice Lines'!A1215</f>
        <v>PS-INV208678</v>
      </c>
      <c r="B1215" s="2" t="str">
        <f>'Posted Sales Invoice Lines'!B1215</f>
        <v>20069</v>
      </c>
      <c r="C1215" s="2" t="str">
        <f>'Posted Sales Invoice Lines'!C1215</f>
        <v>Cherry St.</v>
      </c>
      <c r="D1215" s="2" t="str">
        <f>'Posted Sales Invoice Lines'!E1215</f>
        <v>F56560</v>
      </c>
      <c r="E1215" s="2" t="str">
        <f>'Posted Sales Invoice Lines'!F1215</f>
        <v>Gluten Free 3.5" Hamburger 36ct</v>
      </c>
      <c r="F1215" s="3">
        <f>'Posted Sales Invoice Lines'!G1215</f>
        <v>46122</v>
      </c>
      <c r="G1215" s="9">
        <f>'Posted Sales Invoice Lines'!L1215</f>
        <v>1</v>
      </c>
      <c r="H1215" s="8">
        <f>'Posted Sales Invoice Lines'!N1215</f>
        <v>0</v>
      </c>
      <c r="I1215" s="8">
        <f>'Posted Sales Invoice Lines'!O1215</f>
        <v>0</v>
      </c>
    </row>
    <row r="1216" spans="1:9" x14ac:dyDescent="0.25">
      <c r="A1216" s="2" t="str">
        <f>'Posted Sales Invoice Lines'!A1216</f>
        <v>PS-INV208814</v>
      </c>
      <c r="B1216" s="2" t="str">
        <f>'Posted Sales Invoice Lines'!B1216</f>
        <v>11394</v>
      </c>
      <c r="C1216" s="2" t="str">
        <f>'Posted Sales Invoice Lines'!C1216</f>
        <v>La Cosecha Food Service</v>
      </c>
      <c r="D1216" s="2" t="str">
        <f>'Posted Sales Invoice Lines'!E1216</f>
        <v>F53003</v>
      </c>
      <c r="E1216" s="2" t="str">
        <f>'Posted Sales Invoice Lines'!F1216</f>
        <v>Cs. 4" Unseeded Challah Bun 8-12pk</v>
      </c>
      <c r="F1216" s="3">
        <f>'Posted Sales Invoice Lines'!G1216</f>
        <v>46135</v>
      </c>
      <c r="G1216" s="9">
        <f>'Posted Sales Invoice Lines'!L1216</f>
        <v>20</v>
      </c>
      <c r="H1216" s="8">
        <f>'Posted Sales Invoice Lines'!N1216</f>
        <v>30.32</v>
      </c>
      <c r="I1216" s="8">
        <f>'Posted Sales Invoice Lines'!O1216</f>
        <v>606.4</v>
      </c>
    </row>
    <row r="1217" spans="1:9" x14ac:dyDescent="0.25">
      <c r="A1217" s="2" t="str">
        <f>'Posted Sales Invoice Lines'!A1217</f>
        <v>PS-INV208814</v>
      </c>
      <c r="B1217" s="2" t="str">
        <f>'Posted Sales Invoice Lines'!B1217</f>
        <v>11394</v>
      </c>
      <c r="C1217" s="2" t="str">
        <f>'Posted Sales Invoice Lines'!C1217</f>
        <v>La Cosecha Food Service</v>
      </c>
      <c r="D1217" s="2" t="str">
        <f>'Posted Sales Invoice Lines'!E1217</f>
        <v>F530401</v>
      </c>
      <c r="E1217" s="2" t="str">
        <f>'Posted Sales Invoice Lines'!F1217</f>
        <v>Cs. 4.5" Sesame 6-12pk</v>
      </c>
      <c r="F1217" s="3">
        <f>'Posted Sales Invoice Lines'!G1217</f>
        <v>46135</v>
      </c>
      <c r="G1217" s="9">
        <f>'Posted Sales Invoice Lines'!L1217</f>
        <v>40</v>
      </c>
      <c r="H1217" s="8">
        <f>'Posted Sales Invoice Lines'!N1217</f>
        <v>34.18</v>
      </c>
      <c r="I1217" s="8">
        <f>'Posted Sales Invoice Lines'!O1217</f>
        <v>1367.2</v>
      </c>
    </row>
    <row r="1218" spans="1:9" x14ac:dyDescent="0.25">
      <c r="A1218" s="2" t="str">
        <f>'Posted Sales Invoice Lines'!A1218</f>
        <v>PS-INV208947</v>
      </c>
      <c r="B1218" s="2" t="str">
        <f>'Posted Sales Invoice Lines'!B1218</f>
        <v>1-1</v>
      </c>
      <c r="C1218" s="2" t="str">
        <f>'Posted Sales Invoice Lines'!C1218</f>
        <v>Lance Long</v>
      </c>
      <c r="D1218" s="2" t="str">
        <f>'Posted Sales Invoice Lines'!E1218</f>
        <v>F51157</v>
      </c>
      <c r="E1218" s="2" t="str">
        <f>'Posted Sales Invoice Lines'!F1218</f>
        <v>Cs. Challah Hearth 7/8" 8lvs</v>
      </c>
      <c r="F1218" s="3">
        <f>'Posted Sales Invoice Lines'!G1218</f>
        <v>46122</v>
      </c>
      <c r="G1218" s="9">
        <f>'Posted Sales Invoice Lines'!L1218</f>
        <v>8</v>
      </c>
      <c r="H1218" s="8">
        <f>'Posted Sales Invoice Lines'!N1218</f>
        <v>0</v>
      </c>
      <c r="I1218" s="8">
        <f>'Posted Sales Invoice Lines'!O1218</f>
        <v>0</v>
      </c>
    </row>
    <row r="1219" spans="1:9" x14ac:dyDescent="0.25">
      <c r="A1219" s="2" t="str">
        <f>'Posted Sales Invoice Lines'!A1219</f>
        <v>PS-INV208947</v>
      </c>
      <c r="B1219" s="2" t="str">
        <f>'Posted Sales Invoice Lines'!B1219</f>
        <v>1-1</v>
      </c>
      <c r="C1219" s="2" t="str">
        <f>'Posted Sales Invoice Lines'!C1219</f>
        <v>Lance Long</v>
      </c>
      <c r="D1219" s="2" t="str">
        <f>'Posted Sales Invoice Lines'!E1219</f>
        <v>F53115</v>
      </c>
      <c r="E1219" s="2" t="str">
        <f>'Posted Sales Invoice Lines'!F1219</f>
        <v>Cs. 7" French Unsliced 12-6pk</v>
      </c>
      <c r="F1219" s="3">
        <f>'Posted Sales Invoice Lines'!G1219</f>
        <v>46122</v>
      </c>
      <c r="G1219" s="9">
        <f>'Posted Sales Invoice Lines'!L1219</f>
        <v>1</v>
      </c>
      <c r="H1219" s="8">
        <f>'Posted Sales Invoice Lines'!N1219</f>
        <v>0</v>
      </c>
      <c r="I1219" s="8">
        <f>'Posted Sales Invoice Lines'!O1219</f>
        <v>0</v>
      </c>
    </row>
    <row r="1220" spans="1:9" x14ac:dyDescent="0.25">
      <c r="A1220" s="2" t="str">
        <f>'Posted Sales Invoice Lines'!A1220</f>
        <v>PS-INV208947</v>
      </c>
      <c r="B1220" s="2" t="str">
        <f>'Posted Sales Invoice Lines'!B1220</f>
        <v>1-1</v>
      </c>
      <c r="C1220" s="2" t="str">
        <f>'Posted Sales Invoice Lines'!C1220</f>
        <v>Lance Long</v>
      </c>
      <c r="D1220" s="2" t="str">
        <f>'Posted Sales Invoice Lines'!E1220</f>
        <v>F530421</v>
      </c>
      <c r="E1220" s="2" t="str">
        <f>'Posted Sales Invoice Lines'!F1220</f>
        <v>Cs. 4.5" Challah Buns 6-12pk.</v>
      </c>
      <c r="F1220" s="3">
        <f>'Posted Sales Invoice Lines'!G1220</f>
        <v>46122</v>
      </c>
      <c r="G1220" s="9">
        <f>'Posted Sales Invoice Lines'!L1220</f>
        <v>1</v>
      </c>
      <c r="H1220" s="8">
        <f>'Posted Sales Invoice Lines'!N1220</f>
        <v>0</v>
      </c>
      <c r="I1220" s="8">
        <f>'Posted Sales Invoice Lines'!O1220</f>
        <v>0</v>
      </c>
    </row>
    <row r="1221" spans="1:9" x14ac:dyDescent="0.25">
      <c r="A1221" s="2" t="str">
        <f>'Posted Sales Invoice Lines'!A1221</f>
        <v>PS-INV208947</v>
      </c>
      <c r="B1221" s="2" t="str">
        <f>'Posted Sales Invoice Lines'!B1221</f>
        <v>1-1</v>
      </c>
      <c r="C1221" s="2" t="str">
        <f>'Posted Sales Invoice Lines'!C1221</f>
        <v>Lance Long</v>
      </c>
      <c r="D1221" s="2" t="str">
        <f>'Posted Sales Invoice Lines'!E1221</f>
        <v>F530491</v>
      </c>
      <c r="E1221" s="2" t="str">
        <f>'Posted Sales Invoice Lines'!F1221</f>
        <v>Cs. 4.5 Brioche Bun 6-12pk</v>
      </c>
      <c r="F1221" s="3">
        <f>'Posted Sales Invoice Lines'!G1221</f>
        <v>46122</v>
      </c>
      <c r="G1221" s="9">
        <f>'Posted Sales Invoice Lines'!L1221</f>
        <v>2</v>
      </c>
      <c r="H1221" s="8">
        <f>'Posted Sales Invoice Lines'!N1221</f>
        <v>0</v>
      </c>
      <c r="I1221" s="8">
        <f>'Posted Sales Invoice Lines'!O1221</f>
        <v>0</v>
      </c>
    </row>
    <row r="1222" spans="1:9" x14ac:dyDescent="0.25">
      <c r="A1222" s="2" t="str">
        <f>'Posted Sales Invoice Lines'!A1222</f>
        <v>PS-INV209038</v>
      </c>
      <c r="B1222" s="2" t="str">
        <f>'Posted Sales Invoice Lines'!B1222</f>
        <v>10540-03</v>
      </c>
      <c r="C1222" s="2" t="str">
        <f>'Posted Sales Invoice Lines'!C1222</f>
        <v>PFG Louisville TN</v>
      </c>
      <c r="D1222" s="2" t="str">
        <f>'Posted Sales Invoice Lines'!E1222</f>
        <v>F53001</v>
      </c>
      <c r="E1222" s="2" t="str">
        <f>'Posted Sales Invoice Lines'!F1222</f>
        <v>Cs. 4" Brioche Bun 8-12pk</v>
      </c>
      <c r="F1222" s="3">
        <f>'Posted Sales Invoice Lines'!G1222</f>
        <v>46135</v>
      </c>
      <c r="G1222" s="9">
        <f>'Posted Sales Invoice Lines'!L1222</f>
        <v>280</v>
      </c>
      <c r="H1222" s="8">
        <f>'Posted Sales Invoice Lines'!N1222</f>
        <v>42.6</v>
      </c>
      <c r="I1222" s="8">
        <f>'Posted Sales Invoice Lines'!O1222</f>
        <v>11928</v>
      </c>
    </row>
    <row r="1223" spans="1:9" x14ac:dyDescent="0.25">
      <c r="A1223" s="2" t="str">
        <f>'Posted Sales Invoice Lines'!A1223</f>
        <v>PS-INV209038</v>
      </c>
      <c r="B1223" s="2" t="str">
        <f>'Posted Sales Invoice Lines'!B1223</f>
        <v>10540-03</v>
      </c>
      <c r="C1223" s="2" t="str">
        <f>'Posted Sales Invoice Lines'!C1223</f>
        <v>PFG Louisville TN</v>
      </c>
      <c r="D1223" s="2" t="str">
        <f>'Posted Sales Invoice Lines'!E1223</f>
        <v>F56251</v>
      </c>
      <c r="E1223" s="2" t="str">
        <f>'Posted Sales Invoice Lines'!F1223</f>
        <v>Cs. Challah Sliders Sliced 18-12pks</v>
      </c>
      <c r="F1223" s="3">
        <f>'Posted Sales Invoice Lines'!G1223</f>
        <v>46135</v>
      </c>
      <c r="G1223" s="9">
        <f>'Posted Sales Invoice Lines'!L1223</f>
        <v>56</v>
      </c>
      <c r="H1223" s="8">
        <f>'Posted Sales Invoice Lines'!N1223</f>
        <v>42.11</v>
      </c>
      <c r="I1223" s="8">
        <f>'Posted Sales Invoice Lines'!O1223</f>
        <v>2358.16</v>
      </c>
    </row>
    <row r="1224" spans="1:9" x14ac:dyDescent="0.25">
      <c r="A1224" s="2" t="str">
        <f>'Posted Sales Invoice Lines'!A1224</f>
        <v>PS-INV209038</v>
      </c>
      <c r="B1224" s="2" t="str">
        <f>'Posted Sales Invoice Lines'!B1224</f>
        <v>10540-03</v>
      </c>
      <c r="C1224" s="2" t="str">
        <f>'Posted Sales Invoice Lines'!C1224</f>
        <v>PFG Louisville TN</v>
      </c>
      <c r="D1224" s="2" t="str">
        <f>'Posted Sales Invoice Lines'!E1224</f>
        <v>F53180</v>
      </c>
      <c r="E1224" s="2" t="str">
        <f>'Posted Sales Invoice Lines'!F1224</f>
        <v>Cs. Large Pumpernickel Sub 6-6pk</v>
      </c>
      <c r="F1224" s="3">
        <f>'Posted Sales Invoice Lines'!G1224</f>
        <v>46135</v>
      </c>
      <c r="G1224" s="9">
        <f>'Posted Sales Invoice Lines'!L1224</f>
        <v>20</v>
      </c>
      <c r="H1224" s="8">
        <f>'Posted Sales Invoice Lines'!N1224</f>
        <v>35.65</v>
      </c>
      <c r="I1224" s="8">
        <f>'Posted Sales Invoice Lines'!O1224</f>
        <v>713</v>
      </c>
    </row>
    <row r="1225" spans="1:9" x14ac:dyDescent="0.25">
      <c r="A1225" s="2" t="str">
        <f>'Posted Sales Invoice Lines'!A1225</f>
        <v>PS-INV209038</v>
      </c>
      <c r="B1225" s="2" t="str">
        <f>'Posted Sales Invoice Lines'!B1225</f>
        <v>10540-03</v>
      </c>
      <c r="C1225" s="2" t="str">
        <f>'Posted Sales Invoice Lines'!C1225</f>
        <v>PFG Louisville TN</v>
      </c>
      <c r="D1225" s="2" t="str">
        <f>'Posted Sales Invoice Lines'!E1225</f>
        <v>F530501</v>
      </c>
      <c r="E1225" s="2" t="str">
        <f>'Posted Sales Invoice Lines'!F1225</f>
        <v>Cs. 4.5" Challah Kaiser 6-12pk</v>
      </c>
      <c r="F1225" s="3">
        <f>'Posted Sales Invoice Lines'!G1225</f>
        <v>46135</v>
      </c>
      <c r="G1225" s="9">
        <f>'Posted Sales Invoice Lines'!L1225</f>
        <v>8</v>
      </c>
      <c r="H1225" s="8">
        <f>'Posted Sales Invoice Lines'!N1225</f>
        <v>38.299999999999997</v>
      </c>
      <c r="I1225" s="8">
        <f>'Posted Sales Invoice Lines'!O1225</f>
        <v>306.39999999999998</v>
      </c>
    </row>
    <row r="1226" spans="1:9" x14ac:dyDescent="0.25">
      <c r="A1226" s="2" t="str">
        <f>'Posted Sales Invoice Lines'!A1226</f>
        <v>PS-INV209038</v>
      </c>
      <c r="B1226" s="2" t="str">
        <f>'Posted Sales Invoice Lines'!B1226</f>
        <v>10540-03</v>
      </c>
      <c r="C1226" s="2" t="str">
        <f>'Posted Sales Invoice Lines'!C1226</f>
        <v>PFG Louisville TN</v>
      </c>
      <c r="D1226" s="2" t="str">
        <f>'Posted Sales Invoice Lines'!E1226</f>
        <v>F51137</v>
      </c>
      <c r="E1226" s="2" t="str">
        <f>'Posted Sales Invoice Lines'!F1226</f>
        <v>Cs. Texas Toast 3/4" 12lvs</v>
      </c>
      <c r="F1226" s="3">
        <f>'Posted Sales Invoice Lines'!G1226</f>
        <v>46135</v>
      </c>
      <c r="G1226" s="9">
        <f>'Posted Sales Invoice Lines'!L1226</f>
        <v>16</v>
      </c>
      <c r="H1226" s="8">
        <f>'Posted Sales Invoice Lines'!N1226</f>
        <v>40.619999999999997</v>
      </c>
      <c r="I1226" s="8">
        <f>'Posted Sales Invoice Lines'!O1226</f>
        <v>649.91999999999996</v>
      </c>
    </row>
    <row r="1227" spans="1:9" x14ac:dyDescent="0.25">
      <c r="A1227" s="2" t="str">
        <f>'Posted Sales Invoice Lines'!A1227</f>
        <v>PS-INV209038</v>
      </c>
      <c r="B1227" s="2" t="str">
        <f>'Posted Sales Invoice Lines'!B1227</f>
        <v>10540-03</v>
      </c>
      <c r="C1227" s="2" t="str">
        <f>'Posted Sales Invoice Lines'!C1227</f>
        <v>PFG Louisville TN</v>
      </c>
      <c r="D1227" s="2" t="str">
        <f>'Posted Sales Invoice Lines'!E1227</f>
        <v>F53091</v>
      </c>
      <c r="E1227" s="2" t="str">
        <f>'Posted Sales Invoice Lines'!F1227</f>
        <v>Cs. 6" Hoagie Slab Cut</v>
      </c>
      <c r="F1227" s="3">
        <f>'Posted Sales Invoice Lines'!G1227</f>
        <v>46135</v>
      </c>
      <c r="G1227" s="9">
        <f>'Posted Sales Invoice Lines'!L1227</f>
        <v>12</v>
      </c>
      <c r="H1227" s="8">
        <f>'Posted Sales Invoice Lines'!N1227</f>
        <v>35</v>
      </c>
      <c r="I1227" s="8">
        <f>'Posted Sales Invoice Lines'!O1227</f>
        <v>420</v>
      </c>
    </row>
    <row r="1228" spans="1:9" x14ac:dyDescent="0.25">
      <c r="A1228" s="2" t="str">
        <f>'Posted Sales Invoice Lines'!A1228</f>
        <v>PS-INV209038</v>
      </c>
      <c r="B1228" s="2" t="str">
        <f>'Posted Sales Invoice Lines'!B1228</f>
        <v>10540-03</v>
      </c>
      <c r="C1228" s="2" t="str">
        <f>'Posted Sales Invoice Lines'!C1228</f>
        <v>PFG Louisville TN</v>
      </c>
      <c r="D1228" s="2" t="str">
        <f>'Posted Sales Invoice Lines'!E1228</f>
        <v>F53110</v>
      </c>
      <c r="E1228" s="2" t="str">
        <f>'Posted Sales Invoice Lines'!F1228</f>
        <v>Cs. Foot Long Challah Hot Dog Buns 10-6pk</v>
      </c>
      <c r="F1228" s="3">
        <f>'Posted Sales Invoice Lines'!G1228</f>
        <v>46135</v>
      </c>
      <c r="G1228" s="9">
        <f>'Posted Sales Invoice Lines'!L1228</f>
        <v>56</v>
      </c>
      <c r="H1228" s="8">
        <f>'Posted Sales Invoice Lines'!N1228</f>
        <v>39.25</v>
      </c>
      <c r="I1228" s="8">
        <f>'Posted Sales Invoice Lines'!O1228</f>
        <v>2198</v>
      </c>
    </row>
    <row r="1229" spans="1:9" x14ac:dyDescent="0.25">
      <c r="A1229" s="2" t="str">
        <f>'Posted Sales Invoice Lines'!A1229</f>
        <v>PS-INV209038</v>
      </c>
      <c r="B1229" s="2" t="str">
        <f>'Posted Sales Invoice Lines'!B1229</f>
        <v>10540-03</v>
      </c>
      <c r="C1229" s="2" t="str">
        <f>'Posted Sales Invoice Lines'!C1229</f>
        <v>PFG Louisville TN</v>
      </c>
      <c r="D1229" s="2" t="str">
        <f>'Posted Sales Invoice Lines'!E1229</f>
        <v>F53094</v>
      </c>
      <c r="E1229" s="2" t="str">
        <f>'Posted Sales Invoice Lines'!F1229</f>
        <v>Cs. 6" Italian 12-6pks</v>
      </c>
      <c r="F1229" s="3">
        <f>'Posted Sales Invoice Lines'!G1229</f>
        <v>46135</v>
      </c>
      <c r="G1229" s="9">
        <f>'Posted Sales Invoice Lines'!L1229</f>
        <v>28</v>
      </c>
      <c r="H1229" s="8">
        <f>'Posted Sales Invoice Lines'!N1229</f>
        <v>35</v>
      </c>
      <c r="I1229" s="8">
        <f>'Posted Sales Invoice Lines'!O1229</f>
        <v>980</v>
      </c>
    </row>
    <row r="1230" spans="1:9" x14ac:dyDescent="0.25">
      <c r="A1230" s="2" t="str">
        <f>'Posted Sales Invoice Lines'!A1230</f>
        <v>PS-INV209038</v>
      </c>
      <c r="B1230" s="2" t="str">
        <f>'Posted Sales Invoice Lines'!B1230</f>
        <v>10540-03</v>
      </c>
      <c r="C1230" s="2" t="str">
        <f>'Posted Sales Invoice Lines'!C1230</f>
        <v>PFG Louisville TN</v>
      </c>
      <c r="D1230" s="2" t="str">
        <f>'Posted Sales Invoice Lines'!E1230</f>
        <v>F51030</v>
      </c>
      <c r="E1230" s="2" t="str">
        <f>'Posted Sales Invoice Lines'!F1230</f>
        <v>Cs. Sour Dough Hearth 8lvs</v>
      </c>
      <c r="F1230" s="3">
        <f>'Posted Sales Invoice Lines'!G1230</f>
        <v>46135</v>
      </c>
      <c r="G1230" s="9">
        <f>'Posted Sales Invoice Lines'!L1230</f>
        <v>8</v>
      </c>
      <c r="H1230" s="8">
        <f>'Posted Sales Invoice Lines'!N1230</f>
        <v>43.82</v>
      </c>
      <c r="I1230" s="8">
        <f>'Posted Sales Invoice Lines'!O1230</f>
        <v>350.56</v>
      </c>
    </row>
    <row r="1231" spans="1:9" x14ac:dyDescent="0.25">
      <c r="A1231" s="2" t="str">
        <f>'Posted Sales Invoice Lines'!A1231</f>
        <v>PS-INV209038</v>
      </c>
      <c r="B1231" s="2" t="str">
        <f>'Posted Sales Invoice Lines'!B1231</f>
        <v>10540-03</v>
      </c>
      <c r="C1231" s="2" t="str">
        <f>'Posted Sales Invoice Lines'!C1231</f>
        <v>PFG Louisville TN</v>
      </c>
      <c r="D1231" s="2" t="str">
        <f>'Posted Sales Invoice Lines'!E1231</f>
        <v>F53100</v>
      </c>
      <c r="E1231" s="2" t="str">
        <f>'Posted Sales Invoice Lines'!F1231</f>
        <v>Cs. Hot Dog pl/sl 12-8pk</v>
      </c>
      <c r="F1231" s="3">
        <f>'Posted Sales Invoice Lines'!G1231</f>
        <v>46135</v>
      </c>
      <c r="G1231" s="9">
        <f>'Posted Sales Invoice Lines'!L1231</f>
        <v>30</v>
      </c>
      <c r="H1231" s="8">
        <f>'Posted Sales Invoice Lines'!N1231</f>
        <v>36.18</v>
      </c>
      <c r="I1231" s="8">
        <f>'Posted Sales Invoice Lines'!O1231</f>
        <v>1085.4000000000001</v>
      </c>
    </row>
    <row r="1232" spans="1:9" x14ac:dyDescent="0.25">
      <c r="A1232" s="2" t="str">
        <f>'Posted Sales Invoice Lines'!A1232</f>
        <v>PS-INV209038</v>
      </c>
      <c r="B1232" s="2" t="str">
        <f>'Posted Sales Invoice Lines'!B1232</f>
        <v>10540-03</v>
      </c>
      <c r="C1232" s="2" t="str">
        <f>'Posted Sales Invoice Lines'!C1232</f>
        <v>PFG Louisville TN</v>
      </c>
      <c r="D1232" s="2" t="str">
        <f>'Posted Sales Invoice Lines'!E1232</f>
        <v>F53106</v>
      </c>
      <c r="E1232" s="2" t="str">
        <f>'Posted Sales Invoice Lines'!F1232</f>
        <v>Cs. Large Hot Dog 12-6pk</v>
      </c>
      <c r="F1232" s="3">
        <f>'Posted Sales Invoice Lines'!G1232</f>
        <v>46135</v>
      </c>
      <c r="G1232" s="9">
        <f>'Posted Sales Invoice Lines'!L1232</f>
        <v>4</v>
      </c>
      <c r="H1232" s="8">
        <f>'Posted Sales Invoice Lines'!N1232</f>
        <v>36.07</v>
      </c>
      <c r="I1232" s="8">
        <f>'Posted Sales Invoice Lines'!O1232</f>
        <v>144.28</v>
      </c>
    </row>
    <row r="1233" spans="1:9" x14ac:dyDescent="0.25">
      <c r="A1233" s="2" t="str">
        <f>'Posted Sales Invoice Lines'!A1233</f>
        <v>PS-INV209038</v>
      </c>
      <c r="B1233" s="2" t="str">
        <f>'Posted Sales Invoice Lines'!B1233</f>
        <v>10540-03</v>
      </c>
      <c r="C1233" s="2" t="str">
        <f>'Posted Sales Invoice Lines'!C1233</f>
        <v>PFG Louisville TN</v>
      </c>
      <c r="D1233" s="2" t="str">
        <f>'Posted Sales Invoice Lines'!E1233</f>
        <v>F51034</v>
      </c>
      <c r="E1233" s="2" t="str">
        <f>'Posted Sales Invoice Lines'!F1233</f>
        <v>Cs. Sour Dough Hearth 5/8" 8lvs</v>
      </c>
      <c r="F1233" s="3">
        <f>'Posted Sales Invoice Lines'!G1233</f>
        <v>46135</v>
      </c>
      <c r="G1233" s="9">
        <f>'Posted Sales Invoice Lines'!L1233</f>
        <v>56</v>
      </c>
      <c r="H1233" s="8">
        <f>'Posted Sales Invoice Lines'!N1233</f>
        <v>43.82</v>
      </c>
      <c r="I1233" s="8">
        <f>'Posted Sales Invoice Lines'!O1233</f>
        <v>2453.92</v>
      </c>
    </row>
    <row r="1234" spans="1:9" x14ac:dyDescent="0.25">
      <c r="A1234" s="2" t="str">
        <f>'Posted Sales Invoice Lines'!A1234</f>
        <v>PS-INV209038</v>
      </c>
      <c r="B1234" s="2" t="str">
        <f>'Posted Sales Invoice Lines'!B1234</f>
        <v>10540-03</v>
      </c>
      <c r="C1234" s="2" t="str">
        <f>'Posted Sales Invoice Lines'!C1234</f>
        <v>PFG Louisville TN</v>
      </c>
      <c r="D1234" s="2" t="str">
        <f>'Posted Sales Invoice Lines'!E1234</f>
        <v>F52552</v>
      </c>
      <c r="E1234" s="2" t="str">
        <f>'Posted Sales Invoice Lines'!F1234</f>
        <v>Cs. Multigrain Batard Unsliced 8lvs</v>
      </c>
      <c r="F1234" s="3">
        <f>'Posted Sales Invoice Lines'!G1234</f>
        <v>46135</v>
      </c>
      <c r="G1234" s="9">
        <f>'Posted Sales Invoice Lines'!L1234</f>
        <v>8</v>
      </c>
      <c r="H1234" s="8">
        <f>'Posted Sales Invoice Lines'!N1234</f>
        <v>64</v>
      </c>
      <c r="I1234" s="8">
        <f>'Posted Sales Invoice Lines'!O1234</f>
        <v>512</v>
      </c>
    </row>
    <row r="1235" spans="1:9" x14ac:dyDescent="0.25">
      <c r="A1235" s="2" t="str">
        <f>'Posted Sales Invoice Lines'!A1235</f>
        <v>PS-INV209038</v>
      </c>
      <c r="B1235" s="2" t="str">
        <f>'Posted Sales Invoice Lines'!B1235</f>
        <v>10540-03</v>
      </c>
      <c r="C1235" s="2" t="str">
        <f>'Posted Sales Invoice Lines'!C1235</f>
        <v>PFG Louisville TN</v>
      </c>
      <c r="D1235" s="2" t="str">
        <f>'Posted Sales Invoice Lines'!E1235</f>
        <v>F530421</v>
      </c>
      <c r="E1235" s="2" t="str">
        <f>'Posted Sales Invoice Lines'!F1235</f>
        <v>Cs. 4.5" Challah Buns 6-12pk.</v>
      </c>
      <c r="F1235" s="3">
        <f>'Posted Sales Invoice Lines'!G1235</f>
        <v>46135</v>
      </c>
      <c r="G1235" s="9">
        <f>'Posted Sales Invoice Lines'!L1235</f>
        <v>28</v>
      </c>
      <c r="H1235" s="8">
        <f>'Posted Sales Invoice Lines'!N1235</f>
        <v>38.299999999999997</v>
      </c>
      <c r="I1235" s="8">
        <f>'Posted Sales Invoice Lines'!O1235</f>
        <v>1072.4000000000001</v>
      </c>
    </row>
    <row r="1236" spans="1:9" x14ac:dyDescent="0.25">
      <c r="A1236" s="2" t="str">
        <f>'Posted Sales Invoice Lines'!A1236</f>
        <v>PS-INV209038</v>
      </c>
      <c r="B1236" s="2" t="str">
        <f>'Posted Sales Invoice Lines'!B1236</f>
        <v>10540-03</v>
      </c>
      <c r="C1236" s="2" t="str">
        <f>'Posted Sales Invoice Lines'!C1236</f>
        <v>PFG Louisville TN</v>
      </c>
      <c r="D1236" s="2" t="str">
        <f>'Posted Sales Invoice Lines'!E1236</f>
        <v>F51080</v>
      </c>
      <c r="E1236" s="2" t="str">
        <f>'Posted Sales Invoice Lines'!F1236</f>
        <v>Cs. Wheatberry Hearth 1/2" 8lvs</v>
      </c>
      <c r="F1236" s="3">
        <f>'Posted Sales Invoice Lines'!G1236</f>
        <v>46135</v>
      </c>
      <c r="G1236" s="9">
        <f>'Posted Sales Invoice Lines'!L1236</f>
        <v>8</v>
      </c>
      <c r="H1236" s="8">
        <f>'Posted Sales Invoice Lines'!N1236</f>
        <v>49</v>
      </c>
      <c r="I1236" s="8">
        <f>'Posted Sales Invoice Lines'!O1236</f>
        <v>392</v>
      </c>
    </row>
    <row r="1237" spans="1:9" x14ac:dyDescent="0.25">
      <c r="A1237" s="2" t="str">
        <f>'Posted Sales Invoice Lines'!A1237</f>
        <v>PS-INV209038</v>
      </c>
      <c r="B1237" s="2" t="str">
        <f>'Posted Sales Invoice Lines'!B1237</f>
        <v>10540-03</v>
      </c>
      <c r="C1237" s="2" t="str">
        <f>'Posted Sales Invoice Lines'!C1237</f>
        <v>PFG Louisville TN</v>
      </c>
      <c r="D1237" s="2" t="str">
        <f>'Posted Sales Invoice Lines'!E1237</f>
        <v>F52007</v>
      </c>
      <c r="E1237" s="2" t="str">
        <f>'Posted Sales Invoice Lines'!F1237</f>
        <v>Cs. 22" 17oz French 10-2pk</v>
      </c>
      <c r="F1237" s="3">
        <f>'Posted Sales Invoice Lines'!G1237</f>
        <v>46135</v>
      </c>
      <c r="G1237" s="9">
        <f>'Posted Sales Invoice Lines'!L1237</f>
        <v>28</v>
      </c>
      <c r="H1237" s="8">
        <f>'Posted Sales Invoice Lines'!N1237</f>
        <v>42</v>
      </c>
      <c r="I1237" s="8">
        <f>'Posted Sales Invoice Lines'!O1237</f>
        <v>1176</v>
      </c>
    </row>
    <row r="1238" spans="1:9" x14ac:dyDescent="0.25">
      <c r="A1238" s="2" t="str">
        <f>'Posted Sales Invoice Lines'!A1238</f>
        <v>PS-INV209038</v>
      </c>
      <c r="B1238" s="2" t="str">
        <f>'Posted Sales Invoice Lines'!B1238</f>
        <v>10540-03</v>
      </c>
      <c r="C1238" s="2" t="str">
        <f>'Posted Sales Invoice Lines'!C1238</f>
        <v>PFG Louisville TN</v>
      </c>
      <c r="D1238" s="2" t="str">
        <f>'Posted Sales Invoice Lines'!E1238</f>
        <v>F51026</v>
      </c>
      <c r="E1238" s="2" t="str">
        <f>'Posted Sales Invoice Lines'!F1238</f>
        <v>Cs. Marble Rye 3/4" 8lvs</v>
      </c>
      <c r="F1238" s="3">
        <f>'Posted Sales Invoice Lines'!G1238</f>
        <v>46135</v>
      </c>
      <c r="G1238" s="9">
        <f>'Posted Sales Invoice Lines'!L1238</f>
        <v>28</v>
      </c>
      <c r="H1238" s="8">
        <f>'Posted Sales Invoice Lines'!N1238</f>
        <v>54</v>
      </c>
      <c r="I1238" s="8">
        <f>'Posted Sales Invoice Lines'!O1238</f>
        <v>1512</v>
      </c>
    </row>
    <row r="1239" spans="1:9" x14ac:dyDescent="0.25">
      <c r="A1239" s="2" t="str">
        <f>'Posted Sales Invoice Lines'!A1239</f>
        <v>PS-INV209045</v>
      </c>
      <c r="B1239" s="2" t="str">
        <f>'Posted Sales Invoice Lines'!B1239</f>
        <v>12988</v>
      </c>
      <c r="C1239" s="2" t="str">
        <f>'Posted Sales Invoice Lines'!C1239</f>
        <v>Sysco Norman OK</v>
      </c>
      <c r="D1239" s="2" t="str">
        <f>'Posted Sales Invoice Lines'!E1239</f>
        <v>F53001</v>
      </c>
      <c r="E1239" s="2" t="str">
        <f>'Posted Sales Invoice Lines'!F1239</f>
        <v>Cs. 4" Brioche Bun 8-12pk</v>
      </c>
      <c r="F1239" s="3">
        <f>'Posted Sales Invoice Lines'!G1239</f>
        <v>46142</v>
      </c>
      <c r="G1239" s="9">
        <f>'Posted Sales Invoice Lines'!L1239</f>
        <v>532</v>
      </c>
      <c r="H1239" s="8">
        <f>'Posted Sales Invoice Lines'!N1239</f>
        <v>46</v>
      </c>
      <c r="I1239" s="8">
        <f>'Posted Sales Invoice Lines'!O1239</f>
        <v>24472</v>
      </c>
    </row>
    <row r="1240" spans="1:9" x14ac:dyDescent="0.25">
      <c r="A1240" s="2" t="str">
        <f>'Posted Sales Invoice Lines'!A1240</f>
        <v>PS-INV209734</v>
      </c>
      <c r="B1240" s="2" t="str">
        <f>'Posted Sales Invoice Lines'!B1240</f>
        <v>10540-02</v>
      </c>
      <c r="C1240" s="2" t="str">
        <f>'Posted Sales Invoice Lines'!C1240</f>
        <v>PFG Valdosta GA</v>
      </c>
      <c r="D1240" s="2" t="str">
        <f>'Posted Sales Invoice Lines'!E1240</f>
        <v>F53001</v>
      </c>
      <c r="E1240" s="2" t="str">
        <f>'Posted Sales Invoice Lines'!F1240</f>
        <v>Cs. 4" Brioche Bun 8-12pk</v>
      </c>
      <c r="F1240" s="3">
        <f>'Posted Sales Invoice Lines'!G1240</f>
        <v>46139</v>
      </c>
      <c r="G1240" s="9">
        <f>'Posted Sales Invoice Lines'!L1240</f>
        <v>152</v>
      </c>
      <c r="H1240" s="8">
        <f>'Posted Sales Invoice Lines'!N1240</f>
        <v>42.6</v>
      </c>
      <c r="I1240" s="8">
        <f>'Posted Sales Invoice Lines'!O1240</f>
        <v>6475.2</v>
      </c>
    </row>
    <row r="1241" spans="1:9" x14ac:dyDescent="0.25">
      <c r="A1241" s="2" t="str">
        <f>'Posted Sales Invoice Lines'!A1241</f>
        <v>PS-INV209734</v>
      </c>
      <c r="B1241" s="2" t="str">
        <f>'Posted Sales Invoice Lines'!B1241</f>
        <v>10540-02</v>
      </c>
      <c r="C1241" s="2" t="str">
        <f>'Posted Sales Invoice Lines'!C1241</f>
        <v>PFG Valdosta GA</v>
      </c>
      <c r="D1241" s="2" t="str">
        <f>'Posted Sales Invoice Lines'!E1241</f>
        <v>F54301</v>
      </c>
      <c r="E1241" s="2" t="str">
        <f>'Posted Sales Invoice Lines'!F1241</f>
        <v>Cs. Potato Roll Sliced 12-16pk</v>
      </c>
      <c r="F1241" s="3">
        <f>'Posted Sales Invoice Lines'!G1241</f>
        <v>46139</v>
      </c>
      <c r="G1241" s="9">
        <f>'Posted Sales Invoice Lines'!L1241</f>
        <v>8</v>
      </c>
      <c r="H1241" s="8">
        <f>'Posted Sales Invoice Lines'!N1241</f>
        <v>41.15</v>
      </c>
      <c r="I1241" s="8">
        <f>'Posted Sales Invoice Lines'!O1241</f>
        <v>329.2</v>
      </c>
    </row>
    <row r="1242" spans="1:9" x14ac:dyDescent="0.25">
      <c r="A1242" s="2" t="str">
        <f>'Posted Sales Invoice Lines'!A1242</f>
        <v>PS-INV209734</v>
      </c>
      <c r="B1242" s="2" t="str">
        <f>'Posted Sales Invoice Lines'!B1242</f>
        <v>10540-02</v>
      </c>
      <c r="C1242" s="2" t="str">
        <f>'Posted Sales Invoice Lines'!C1242</f>
        <v>PFG Valdosta GA</v>
      </c>
      <c r="D1242" s="2" t="str">
        <f>'Posted Sales Invoice Lines'!E1242</f>
        <v>F53105</v>
      </c>
      <c r="E1242" s="2" t="str">
        <f>'Posted Sales Invoice Lines'!F1242</f>
        <v>Cs. 6" White Hot Dog 16-8pk</v>
      </c>
      <c r="F1242" s="3">
        <f>'Posted Sales Invoice Lines'!G1242</f>
        <v>46139</v>
      </c>
      <c r="G1242" s="9">
        <f>'Posted Sales Invoice Lines'!L1242</f>
        <v>112</v>
      </c>
      <c r="H1242" s="8">
        <f>'Posted Sales Invoice Lines'!N1242</f>
        <v>34.5</v>
      </c>
      <c r="I1242" s="8">
        <f>'Posted Sales Invoice Lines'!O1242</f>
        <v>3864</v>
      </c>
    </row>
    <row r="1243" spans="1:9" x14ac:dyDescent="0.25">
      <c r="A1243" s="2" t="str">
        <f>'Posted Sales Invoice Lines'!A1243</f>
        <v>PS-INV209739</v>
      </c>
      <c r="B1243" s="2" t="str">
        <f>'Posted Sales Invoice Lines'!B1243</f>
        <v>12707</v>
      </c>
      <c r="C1243" s="2" t="str">
        <f>'Posted Sales Invoice Lines'!C1243</f>
        <v>PFG Florence SC</v>
      </c>
      <c r="D1243" s="2" t="str">
        <f>'Posted Sales Invoice Lines'!E1243</f>
        <v>F53001</v>
      </c>
      <c r="E1243" s="2" t="str">
        <f>'Posted Sales Invoice Lines'!F1243</f>
        <v>Cs. 4" Brioche Bun 8-12pk</v>
      </c>
      <c r="F1243" s="3">
        <f>'Posted Sales Invoice Lines'!G1243</f>
        <v>46146</v>
      </c>
      <c r="G1243" s="9">
        <f>'Posted Sales Invoice Lines'!L1243</f>
        <v>168</v>
      </c>
      <c r="H1243" s="8">
        <f>'Posted Sales Invoice Lines'!N1243</f>
        <v>46.6</v>
      </c>
      <c r="I1243" s="8">
        <f>'Posted Sales Invoice Lines'!O1243</f>
        <v>7828.8</v>
      </c>
    </row>
    <row r="1244" spans="1:9" x14ac:dyDescent="0.25">
      <c r="A1244" s="2" t="str">
        <f>'Posted Sales Invoice Lines'!A1244</f>
        <v>PS-INV209742</v>
      </c>
      <c r="B1244" s="2" t="str">
        <f>'Posted Sales Invoice Lines'!B1244</f>
        <v>10899</v>
      </c>
      <c r="C1244" s="2" t="str">
        <f>'Posted Sales Invoice Lines'!C1244</f>
        <v>Wood Fruitticher Grocery Co.</v>
      </c>
      <c r="D1244" s="2" t="str">
        <f>'Posted Sales Invoice Lines'!E1244</f>
        <v>F53003</v>
      </c>
      <c r="E1244" s="2" t="str">
        <f>'Posted Sales Invoice Lines'!F1244</f>
        <v>Cs. 4" Unseeded Challah Bun 8-12pk</v>
      </c>
      <c r="F1244" s="3">
        <f>'Posted Sales Invoice Lines'!G1244</f>
        <v>46139</v>
      </c>
      <c r="G1244" s="9">
        <f>'Posted Sales Invoice Lines'!L1244</f>
        <v>120</v>
      </c>
      <c r="H1244" s="8">
        <f>'Posted Sales Invoice Lines'!N1244</f>
        <v>35.479999999999997</v>
      </c>
      <c r="I1244" s="8">
        <f>'Posted Sales Invoice Lines'!O1244</f>
        <v>4257.6000000000004</v>
      </c>
    </row>
    <row r="1245" spans="1:9" x14ac:dyDescent="0.25">
      <c r="A1245" s="2" t="str">
        <f>'Posted Sales Invoice Lines'!A1245</f>
        <v>PS-INV209742</v>
      </c>
      <c r="B1245" s="2" t="str">
        <f>'Posted Sales Invoice Lines'!B1245</f>
        <v>10899</v>
      </c>
      <c r="C1245" s="2" t="str">
        <f>'Posted Sales Invoice Lines'!C1245</f>
        <v>Wood Fruitticher Grocery Co.</v>
      </c>
      <c r="D1245" s="2" t="str">
        <f>'Posted Sales Invoice Lines'!E1245</f>
        <v>F53070</v>
      </c>
      <c r="E1245" s="2" t="str">
        <f>'Posted Sales Invoice Lines'!F1245</f>
        <v xml:space="preserve">Cs. 5" Challah Sesame Buns </v>
      </c>
      <c r="F1245" s="3">
        <f>'Posted Sales Invoice Lines'!G1245</f>
        <v>46139</v>
      </c>
      <c r="G1245" s="9">
        <f>'Posted Sales Invoice Lines'!L1245</f>
        <v>128</v>
      </c>
      <c r="H1245" s="8">
        <f>'Posted Sales Invoice Lines'!N1245</f>
        <v>32.89</v>
      </c>
      <c r="I1245" s="8">
        <f>'Posted Sales Invoice Lines'!O1245</f>
        <v>4209.92</v>
      </c>
    </row>
    <row r="1246" spans="1:9" x14ac:dyDescent="0.25">
      <c r="A1246" s="2" t="str">
        <f>'Posted Sales Invoice Lines'!A1246</f>
        <v>PS-INV209742</v>
      </c>
      <c r="B1246" s="2" t="str">
        <f>'Posted Sales Invoice Lines'!B1246</f>
        <v>10899</v>
      </c>
      <c r="C1246" s="2" t="str">
        <f>'Posted Sales Invoice Lines'!C1246</f>
        <v>Wood Fruitticher Grocery Co.</v>
      </c>
      <c r="D1246" s="2" t="str">
        <f>'Posted Sales Invoice Lines'!E1246</f>
        <v>F53000</v>
      </c>
      <c r="E1246" s="2" t="str">
        <f>'Posted Sales Invoice Lines'!F1246</f>
        <v>Cs. 4" Hamburger Bun 8-12pk</v>
      </c>
      <c r="F1246" s="3">
        <f>'Posted Sales Invoice Lines'!G1246</f>
        <v>46139</v>
      </c>
      <c r="G1246" s="9">
        <f>'Posted Sales Invoice Lines'!L1246</f>
        <v>252</v>
      </c>
      <c r="H1246" s="8">
        <f>'Posted Sales Invoice Lines'!N1246</f>
        <v>28.33</v>
      </c>
      <c r="I1246" s="8">
        <f>'Posted Sales Invoice Lines'!O1246</f>
        <v>7139.16</v>
      </c>
    </row>
    <row r="1247" spans="1:9" x14ac:dyDescent="0.25">
      <c r="A1247" s="2" t="str">
        <f>'Posted Sales Invoice Lines'!A1247</f>
        <v>PS-INV209742</v>
      </c>
      <c r="B1247" s="2" t="str">
        <f>'Posted Sales Invoice Lines'!B1247</f>
        <v>10899</v>
      </c>
      <c r="C1247" s="2" t="str">
        <f>'Posted Sales Invoice Lines'!C1247</f>
        <v>Wood Fruitticher Grocery Co.</v>
      </c>
      <c r="D1247" s="2" t="str">
        <f>'Posted Sales Invoice Lines'!E1247</f>
        <v>F51137</v>
      </c>
      <c r="E1247" s="2" t="str">
        <f>'Posted Sales Invoice Lines'!F1247</f>
        <v>Cs. Texas Toast 3/4" 12lvs</v>
      </c>
      <c r="F1247" s="3">
        <f>'Posted Sales Invoice Lines'!G1247</f>
        <v>46139</v>
      </c>
      <c r="G1247" s="9">
        <f>'Posted Sales Invoice Lines'!L1247</f>
        <v>240</v>
      </c>
      <c r="H1247" s="8">
        <f>'Posted Sales Invoice Lines'!N1247</f>
        <v>28.49</v>
      </c>
      <c r="I1247" s="8">
        <f>'Posted Sales Invoice Lines'!O1247</f>
        <v>6837.6</v>
      </c>
    </row>
    <row r="1248" spans="1:9" x14ac:dyDescent="0.25">
      <c r="A1248" s="2" t="str">
        <f>'Posted Sales Invoice Lines'!A1248</f>
        <v>PS-INV209742</v>
      </c>
      <c r="B1248" s="2" t="str">
        <f>'Posted Sales Invoice Lines'!B1248</f>
        <v>10899</v>
      </c>
      <c r="C1248" s="2" t="str">
        <f>'Posted Sales Invoice Lines'!C1248</f>
        <v>Wood Fruitticher Grocery Co.</v>
      </c>
      <c r="D1248" s="2" t="str">
        <f>'Posted Sales Invoice Lines'!E1248</f>
        <v>F51136</v>
      </c>
      <c r="E1248" s="2" t="str">
        <f>'Posted Sales Invoice Lines'!F1248</f>
        <v>Cs. Texas Toast 1" 12lvs</v>
      </c>
      <c r="F1248" s="3">
        <f>'Posted Sales Invoice Lines'!G1248</f>
        <v>46139</v>
      </c>
      <c r="G1248" s="9">
        <f>'Posted Sales Invoice Lines'!L1248</f>
        <v>56</v>
      </c>
      <c r="H1248" s="8">
        <f>'Posted Sales Invoice Lines'!N1248</f>
        <v>28.49</v>
      </c>
      <c r="I1248" s="8">
        <f>'Posted Sales Invoice Lines'!O1248</f>
        <v>1595.44</v>
      </c>
    </row>
    <row r="1249" spans="1:9" x14ac:dyDescent="0.25">
      <c r="A1249" s="2" t="str">
        <f>'Posted Sales Invoice Lines'!A1249</f>
        <v>PS-INV209742</v>
      </c>
      <c r="B1249" s="2" t="str">
        <f>'Posted Sales Invoice Lines'!B1249</f>
        <v>10899</v>
      </c>
      <c r="C1249" s="2" t="str">
        <f>'Posted Sales Invoice Lines'!C1249</f>
        <v>Wood Fruitticher Grocery Co.</v>
      </c>
      <c r="D1249" s="2" t="str">
        <f>'Posted Sales Invoice Lines'!E1249</f>
        <v>F530441</v>
      </c>
      <c r="E1249" s="2" t="str">
        <f>'Posted Sales Invoice Lines'!F1249</f>
        <v>Cs. 4.5"Onion Roll</v>
      </c>
      <c r="F1249" s="3">
        <f>'Posted Sales Invoice Lines'!G1249</f>
        <v>46139</v>
      </c>
      <c r="G1249" s="9">
        <f>'Posted Sales Invoice Lines'!L1249</f>
        <v>48</v>
      </c>
      <c r="H1249" s="8">
        <f>'Posted Sales Invoice Lines'!N1249</f>
        <v>43.34</v>
      </c>
      <c r="I1249" s="8">
        <f>'Posted Sales Invoice Lines'!O1249</f>
        <v>2080.3200000000002</v>
      </c>
    </row>
    <row r="1250" spans="1:9" x14ac:dyDescent="0.25">
      <c r="A1250" s="2" t="str">
        <f>'Posted Sales Invoice Lines'!A1250</f>
        <v>PS-INV210106</v>
      </c>
      <c r="B1250" s="2" t="str">
        <f>'Posted Sales Invoice Lines'!B1250</f>
        <v>1-4</v>
      </c>
      <c r="C1250" s="2" t="str">
        <f>'Posted Sales Invoice Lines'!C1250</f>
        <v>Heath West</v>
      </c>
      <c r="D1250" s="2" t="str">
        <f>'Posted Sales Invoice Lines'!E1250</f>
        <v>F53032</v>
      </c>
      <c r="E1250" s="2" t="str">
        <f>'Posted Sales Invoice Lines'!F1250</f>
        <v>Cs. 4" Potato Bun 8-12pk</v>
      </c>
      <c r="F1250" s="3">
        <f>'Posted Sales Invoice Lines'!G1250</f>
        <v>46126</v>
      </c>
      <c r="G1250" s="9">
        <f>'Posted Sales Invoice Lines'!L1250</f>
        <v>1</v>
      </c>
      <c r="H1250" s="8">
        <f>'Posted Sales Invoice Lines'!N1250</f>
        <v>0</v>
      </c>
      <c r="I1250" s="8">
        <f>'Posted Sales Invoice Lines'!O1250</f>
        <v>0</v>
      </c>
    </row>
    <row r="1251" spans="1:9" x14ac:dyDescent="0.25">
      <c r="A1251" s="2" t="str">
        <f>'Posted Sales Invoice Lines'!A1251</f>
        <v>PS-INV210147</v>
      </c>
      <c r="B1251" s="2" t="str">
        <f>'Posted Sales Invoice Lines'!B1251</f>
        <v>13260</v>
      </c>
      <c r="C1251" s="2" t="str">
        <f>'Posted Sales Invoice Lines'!C1251</f>
        <v>Tankersley Food Service</v>
      </c>
      <c r="D1251" s="2" t="str">
        <f>'Posted Sales Invoice Lines'!E1251</f>
        <v>F530491</v>
      </c>
      <c r="E1251" s="2" t="str">
        <f>'Posted Sales Invoice Lines'!F1251</f>
        <v>Cs. 4.5 Brioche Bun 6-12pk</v>
      </c>
      <c r="F1251" s="3">
        <f>'Posted Sales Invoice Lines'!G1251</f>
        <v>46132</v>
      </c>
      <c r="G1251" s="9">
        <f>'Posted Sales Invoice Lines'!L1251</f>
        <v>252</v>
      </c>
      <c r="H1251" s="8">
        <f>'Posted Sales Invoice Lines'!N1251</f>
        <v>38.880000000000003</v>
      </c>
      <c r="I1251" s="8">
        <f>'Posted Sales Invoice Lines'!O1251</f>
        <v>9797.76</v>
      </c>
    </row>
    <row r="1252" spans="1:9" x14ac:dyDescent="0.25">
      <c r="A1252" s="2" t="str">
        <f>'Posted Sales Invoice Lines'!A1252</f>
        <v>PS-INV210167</v>
      </c>
      <c r="B1252" s="2" t="str">
        <f>'Posted Sales Invoice Lines'!B1252</f>
        <v>10719-9</v>
      </c>
      <c r="C1252" s="2" t="str">
        <f>'Posted Sales Invoice Lines'!C1252</f>
        <v>US Foods -Carolinas/Ft.Mill</v>
      </c>
      <c r="D1252" s="2" t="str">
        <f>'Posted Sales Invoice Lines'!E1252</f>
        <v>F53002</v>
      </c>
      <c r="E1252" s="2" t="str">
        <f>'Posted Sales Invoice Lines'!F1252</f>
        <v>Cs. 4" Challah Sesame Bun 8-12pk</v>
      </c>
      <c r="F1252" s="3">
        <f>'Posted Sales Invoice Lines'!G1252</f>
        <v>46146</v>
      </c>
      <c r="G1252" s="9">
        <f>'Posted Sales Invoice Lines'!L1252</f>
        <v>140</v>
      </c>
      <c r="H1252" s="8">
        <f>'Posted Sales Invoice Lines'!N1252</f>
        <v>37.659999999999997</v>
      </c>
      <c r="I1252" s="8">
        <f>'Posted Sales Invoice Lines'!O1252</f>
        <v>5272.4</v>
      </c>
    </row>
    <row r="1253" spans="1:9" x14ac:dyDescent="0.25">
      <c r="A1253" s="2" t="str">
        <f>'Posted Sales Invoice Lines'!A1253</f>
        <v>PS-INV210167</v>
      </c>
      <c r="B1253" s="2" t="str">
        <f>'Posted Sales Invoice Lines'!B1253</f>
        <v>10719-9</v>
      </c>
      <c r="C1253" s="2" t="str">
        <f>'Posted Sales Invoice Lines'!C1253</f>
        <v>US Foods -Carolinas/Ft.Mill</v>
      </c>
      <c r="D1253" s="2" t="str">
        <f>'Posted Sales Invoice Lines'!E1253</f>
        <v>F52902</v>
      </c>
      <c r="E1253" s="2" t="str">
        <f>'Posted Sales Invoice Lines'!F1253</f>
        <v>Cs. 22" Rye Baguette 10-2pk</v>
      </c>
      <c r="F1253" s="3">
        <f>'Posted Sales Invoice Lines'!G1253</f>
        <v>46146</v>
      </c>
      <c r="G1253" s="9">
        <f>'Posted Sales Invoice Lines'!L1253</f>
        <v>4</v>
      </c>
      <c r="H1253" s="8">
        <f>'Posted Sales Invoice Lines'!N1253</f>
        <v>42.53</v>
      </c>
      <c r="I1253" s="8">
        <f>'Posted Sales Invoice Lines'!O1253</f>
        <v>170.12</v>
      </c>
    </row>
    <row r="1254" spans="1:9" x14ac:dyDescent="0.25">
      <c r="A1254" s="2" t="str">
        <f>'Posted Sales Invoice Lines'!A1254</f>
        <v>PS-INV210167</v>
      </c>
      <c r="B1254" s="2" t="str">
        <f>'Posted Sales Invoice Lines'!B1254</f>
        <v>10719-9</v>
      </c>
      <c r="C1254" s="2" t="str">
        <f>'Posted Sales Invoice Lines'!C1254</f>
        <v>US Foods -Carolinas/Ft.Mill</v>
      </c>
      <c r="D1254" s="2" t="str">
        <f>'Posted Sales Invoice Lines'!E1254</f>
        <v>F51137</v>
      </c>
      <c r="E1254" s="2" t="str">
        <f>'Posted Sales Invoice Lines'!F1254</f>
        <v>Cs. Texas Toast 3/4" 12lvs</v>
      </c>
      <c r="F1254" s="3">
        <f>'Posted Sales Invoice Lines'!G1254</f>
        <v>46146</v>
      </c>
      <c r="G1254" s="9">
        <f>'Posted Sales Invoice Lines'!L1254</f>
        <v>124</v>
      </c>
      <c r="H1254" s="8">
        <f>'Posted Sales Invoice Lines'!N1254</f>
        <v>40</v>
      </c>
      <c r="I1254" s="8">
        <f>'Posted Sales Invoice Lines'!O1254</f>
        <v>4960</v>
      </c>
    </row>
    <row r="1255" spans="1:9" x14ac:dyDescent="0.25">
      <c r="A1255" s="2" t="str">
        <f>'Posted Sales Invoice Lines'!A1255</f>
        <v>PS-INV210167</v>
      </c>
      <c r="B1255" s="2" t="str">
        <f>'Posted Sales Invoice Lines'!B1255</f>
        <v>10719-9</v>
      </c>
      <c r="C1255" s="2" t="str">
        <f>'Posted Sales Invoice Lines'!C1255</f>
        <v>US Foods -Carolinas/Ft.Mill</v>
      </c>
      <c r="D1255" s="2" t="str">
        <f>'Posted Sales Invoice Lines'!E1255</f>
        <v>F53122</v>
      </c>
      <c r="E1255" s="2" t="str">
        <f>'Posted Sales Invoice Lines'!F1255</f>
        <v>Cs. 8" Italian Hinged 12-6pk</v>
      </c>
      <c r="F1255" s="3">
        <f>'Posted Sales Invoice Lines'!G1255</f>
        <v>46146</v>
      </c>
      <c r="G1255" s="9">
        <f>'Posted Sales Invoice Lines'!L1255</f>
        <v>16</v>
      </c>
      <c r="H1255" s="8">
        <f>'Posted Sales Invoice Lines'!N1255</f>
        <v>39</v>
      </c>
      <c r="I1255" s="8">
        <f>'Posted Sales Invoice Lines'!O1255</f>
        <v>624</v>
      </c>
    </row>
    <row r="1256" spans="1:9" x14ac:dyDescent="0.25">
      <c r="A1256" s="2" t="str">
        <f>'Posted Sales Invoice Lines'!A1256</f>
        <v>PS-INV210167</v>
      </c>
      <c r="B1256" s="2" t="str">
        <f>'Posted Sales Invoice Lines'!B1256</f>
        <v>10719-9</v>
      </c>
      <c r="C1256" s="2" t="str">
        <f>'Posted Sales Invoice Lines'!C1256</f>
        <v>US Foods -Carolinas/Ft.Mill</v>
      </c>
      <c r="D1256" s="2" t="str">
        <f>'Posted Sales Invoice Lines'!E1256</f>
        <v>F53001</v>
      </c>
      <c r="E1256" s="2" t="str">
        <f>'Posted Sales Invoice Lines'!F1256</f>
        <v>Cs. 4" Brioche Bun 8-12pk</v>
      </c>
      <c r="F1256" s="3">
        <f>'Posted Sales Invoice Lines'!G1256</f>
        <v>46146</v>
      </c>
      <c r="G1256" s="9">
        <f>'Posted Sales Invoice Lines'!L1256</f>
        <v>164</v>
      </c>
      <c r="H1256" s="8">
        <f>'Posted Sales Invoice Lines'!N1256</f>
        <v>44</v>
      </c>
      <c r="I1256" s="8">
        <f>'Posted Sales Invoice Lines'!O1256</f>
        <v>7216</v>
      </c>
    </row>
    <row r="1257" spans="1:9" x14ac:dyDescent="0.25">
      <c r="A1257" s="2" t="str">
        <f>'Posted Sales Invoice Lines'!A1257</f>
        <v>PS-INV210167</v>
      </c>
      <c r="B1257" s="2" t="str">
        <f>'Posted Sales Invoice Lines'!B1257</f>
        <v>10719-9</v>
      </c>
      <c r="C1257" s="2" t="str">
        <f>'Posted Sales Invoice Lines'!C1257</f>
        <v>US Foods -Carolinas/Ft.Mill</v>
      </c>
      <c r="D1257" s="2" t="str">
        <f>'Posted Sales Invoice Lines'!E1257</f>
        <v>F53100</v>
      </c>
      <c r="E1257" s="2" t="str">
        <f>'Posted Sales Invoice Lines'!F1257</f>
        <v>Cs. Hot Dog pl/sl 12-8pk</v>
      </c>
      <c r="F1257" s="3">
        <f>'Posted Sales Invoice Lines'!G1257</f>
        <v>46146</v>
      </c>
      <c r="G1257" s="9">
        <f>'Posted Sales Invoice Lines'!L1257</f>
        <v>8</v>
      </c>
      <c r="H1257" s="8">
        <f>'Posted Sales Invoice Lines'!N1257</f>
        <v>37</v>
      </c>
      <c r="I1257" s="8">
        <f>'Posted Sales Invoice Lines'!O1257</f>
        <v>296</v>
      </c>
    </row>
    <row r="1258" spans="1:9" x14ac:dyDescent="0.25">
      <c r="A1258" s="2" t="str">
        <f>'Posted Sales Invoice Lines'!A1258</f>
        <v>PS-INV210167</v>
      </c>
      <c r="B1258" s="2" t="str">
        <f>'Posted Sales Invoice Lines'!B1258</f>
        <v>10719-9</v>
      </c>
      <c r="C1258" s="2" t="str">
        <f>'Posted Sales Invoice Lines'!C1258</f>
        <v>US Foods -Carolinas/Ft.Mill</v>
      </c>
      <c r="D1258" s="2" t="str">
        <f>'Posted Sales Invoice Lines'!E1258</f>
        <v>F53003</v>
      </c>
      <c r="E1258" s="2" t="str">
        <f>'Posted Sales Invoice Lines'!F1258</f>
        <v>Cs. 4" Unseeded Challah Bun 8-12pk</v>
      </c>
      <c r="F1258" s="3">
        <f>'Posted Sales Invoice Lines'!G1258</f>
        <v>46146</v>
      </c>
      <c r="G1258" s="9">
        <f>'Posted Sales Invoice Lines'!L1258</f>
        <v>80</v>
      </c>
      <c r="H1258" s="8">
        <f>'Posted Sales Invoice Lines'!N1258</f>
        <v>39</v>
      </c>
      <c r="I1258" s="8">
        <f>'Posted Sales Invoice Lines'!O1258</f>
        <v>3120</v>
      </c>
    </row>
    <row r="1259" spans="1:9" x14ac:dyDescent="0.25">
      <c r="A1259" s="2" t="str">
        <f>'Posted Sales Invoice Lines'!A1259</f>
        <v>PS-INV210532</v>
      </c>
      <c r="B1259" s="2" t="str">
        <f>'Posted Sales Invoice Lines'!B1259</f>
        <v>10719-6</v>
      </c>
      <c r="C1259" s="2" t="str">
        <f>'Posted Sales Invoice Lines'!C1259</f>
        <v>US Foods - Alcoa TN.</v>
      </c>
      <c r="D1259" s="2" t="str">
        <f>'Posted Sales Invoice Lines'!E1259</f>
        <v>F53094</v>
      </c>
      <c r="E1259" s="2" t="str">
        <f>'Posted Sales Invoice Lines'!F1259</f>
        <v>Cs. 6" Italian 12-6pks</v>
      </c>
      <c r="F1259" s="3">
        <f>'Posted Sales Invoice Lines'!G1259</f>
        <v>46147</v>
      </c>
      <c r="G1259" s="9">
        <f>'Posted Sales Invoice Lines'!L1259</f>
        <v>28</v>
      </c>
      <c r="H1259" s="8">
        <f>'Posted Sales Invoice Lines'!N1259</f>
        <v>35</v>
      </c>
      <c r="I1259" s="8">
        <f>'Posted Sales Invoice Lines'!O1259</f>
        <v>980</v>
      </c>
    </row>
    <row r="1260" spans="1:9" x14ac:dyDescent="0.25">
      <c r="A1260" s="2" t="str">
        <f>'Posted Sales Invoice Lines'!A1260</f>
        <v>PS-INV210532</v>
      </c>
      <c r="B1260" s="2" t="str">
        <f>'Posted Sales Invoice Lines'!B1260</f>
        <v>10719-6</v>
      </c>
      <c r="C1260" s="2" t="str">
        <f>'Posted Sales Invoice Lines'!C1260</f>
        <v>US Foods - Alcoa TN.</v>
      </c>
      <c r="D1260" s="2" t="str">
        <f>'Posted Sales Invoice Lines'!E1260</f>
        <v>F51136</v>
      </c>
      <c r="E1260" s="2" t="str">
        <f>'Posted Sales Invoice Lines'!F1260</f>
        <v>Cs. Texas Toast 1" 12lvs</v>
      </c>
      <c r="F1260" s="3">
        <f>'Posted Sales Invoice Lines'!G1260</f>
        <v>46147</v>
      </c>
      <c r="G1260" s="9">
        <f>'Posted Sales Invoice Lines'!L1260</f>
        <v>20</v>
      </c>
      <c r="H1260" s="8">
        <f>'Posted Sales Invoice Lines'!N1260</f>
        <v>40.119999999999997</v>
      </c>
      <c r="I1260" s="8">
        <f>'Posted Sales Invoice Lines'!O1260</f>
        <v>802.4</v>
      </c>
    </row>
    <row r="1261" spans="1:9" x14ac:dyDescent="0.25">
      <c r="A1261" s="2" t="str">
        <f>'Posted Sales Invoice Lines'!A1261</f>
        <v>PS-INV210532</v>
      </c>
      <c r="B1261" s="2" t="str">
        <f>'Posted Sales Invoice Lines'!B1261</f>
        <v>10719-6</v>
      </c>
      <c r="C1261" s="2" t="str">
        <f>'Posted Sales Invoice Lines'!C1261</f>
        <v>US Foods - Alcoa TN.</v>
      </c>
      <c r="D1261" s="2" t="str">
        <f>'Posted Sales Invoice Lines'!E1261</f>
        <v>F51004</v>
      </c>
      <c r="E1261" s="2" t="str">
        <f>'Posted Sales Invoice Lines'!F1261</f>
        <v>Cs. Rye 5/8" 8lvs</v>
      </c>
      <c r="F1261" s="3">
        <f>'Posted Sales Invoice Lines'!G1261</f>
        <v>46147</v>
      </c>
      <c r="G1261" s="9">
        <f>'Posted Sales Invoice Lines'!L1261</f>
        <v>12</v>
      </c>
      <c r="H1261" s="8">
        <f>'Posted Sales Invoice Lines'!N1261</f>
        <v>42.03</v>
      </c>
      <c r="I1261" s="8">
        <f>'Posted Sales Invoice Lines'!O1261</f>
        <v>504.36</v>
      </c>
    </row>
    <row r="1262" spans="1:9" x14ac:dyDescent="0.25">
      <c r="A1262" s="2" t="str">
        <f>'Posted Sales Invoice Lines'!A1262</f>
        <v>PS-INV210532</v>
      </c>
      <c r="B1262" s="2" t="str">
        <f>'Posted Sales Invoice Lines'!B1262</f>
        <v>10719-6</v>
      </c>
      <c r="C1262" s="2" t="str">
        <f>'Posted Sales Invoice Lines'!C1262</f>
        <v>US Foods - Alcoa TN.</v>
      </c>
      <c r="D1262" s="2" t="str">
        <f>'Posted Sales Invoice Lines'!E1262</f>
        <v>F53025</v>
      </c>
      <c r="E1262" s="2" t="str">
        <f>'Posted Sales Invoice Lines'!F1262</f>
        <v>Cs. Sesame Challah Kaiser 8-12pk</v>
      </c>
      <c r="F1262" s="3">
        <f>'Posted Sales Invoice Lines'!G1262</f>
        <v>46147</v>
      </c>
      <c r="G1262" s="9">
        <f>'Posted Sales Invoice Lines'!L1262</f>
        <v>136</v>
      </c>
      <c r="H1262" s="8">
        <f>'Posted Sales Invoice Lines'!N1262</f>
        <v>39</v>
      </c>
      <c r="I1262" s="8">
        <f>'Posted Sales Invoice Lines'!O1262</f>
        <v>5304</v>
      </c>
    </row>
    <row r="1263" spans="1:9" x14ac:dyDescent="0.25">
      <c r="A1263" s="2" t="str">
        <f>'Posted Sales Invoice Lines'!A1263</f>
        <v>PS-INV210532</v>
      </c>
      <c r="B1263" s="2" t="str">
        <f>'Posted Sales Invoice Lines'!B1263</f>
        <v>10719-6</v>
      </c>
      <c r="C1263" s="2" t="str">
        <f>'Posted Sales Invoice Lines'!C1263</f>
        <v>US Foods - Alcoa TN.</v>
      </c>
      <c r="D1263" s="2" t="str">
        <f>'Posted Sales Invoice Lines'!E1263</f>
        <v>F53087</v>
      </c>
      <c r="E1263" s="2" t="str">
        <f>'Posted Sales Invoice Lines'!F1263</f>
        <v>Cs. 3.5" Challah Bun 8-12 pk</v>
      </c>
      <c r="F1263" s="3">
        <f>'Posted Sales Invoice Lines'!G1263</f>
        <v>46147</v>
      </c>
      <c r="G1263" s="9">
        <f>'Posted Sales Invoice Lines'!L1263</f>
        <v>44</v>
      </c>
      <c r="H1263" s="8">
        <f>'Posted Sales Invoice Lines'!N1263</f>
        <v>36.24</v>
      </c>
      <c r="I1263" s="8">
        <f>'Posted Sales Invoice Lines'!O1263</f>
        <v>1594.56</v>
      </c>
    </row>
    <row r="1264" spans="1:9" x14ac:dyDescent="0.25">
      <c r="A1264" s="2" t="str">
        <f>'Posted Sales Invoice Lines'!A1264</f>
        <v>PS-INV210532</v>
      </c>
      <c r="B1264" s="2" t="str">
        <f>'Posted Sales Invoice Lines'!B1264</f>
        <v>10719-6</v>
      </c>
      <c r="C1264" s="2" t="str">
        <f>'Posted Sales Invoice Lines'!C1264</f>
        <v>US Foods - Alcoa TN.</v>
      </c>
      <c r="D1264" s="2" t="str">
        <f>'Posted Sales Invoice Lines'!E1264</f>
        <v>F56251</v>
      </c>
      <c r="E1264" s="2" t="str">
        <f>'Posted Sales Invoice Lines'!F1264</f>
        <v>Cs. Challah Sliders Sliced 18-12pks</v>
      </c>
      <c r="F1264" s="3">
        <f>'Posted Sales Invoice Lines'!G1264</f>
        <v>46147</v>
      </c>
      <c r="G1264" s="9">
        <f>'Posted Sales Invoice Lines'!L1264</f>
        <v>44</v>
      </c>
      <c r="H1264" s="8">
        <f>'Posted Sales Invoice Lines'!N1264</f>
        <v>41.5</v>
      </c>
      <c r="I1264" s="8">
        <f>'Posted Sales Invoice Lines'!O1264</f>
        <v>1826</v>
      </c>
    </row>
    <row r="1265" spans="1:9" x14ac:dyDescent="0.25">
      <c r="A1265" s="2" t="str">
        <f>'Posted Sales Invoice Lines'!A1265</f>
        <v>PS-INV210532</v>
      </c>
      <c r="B1265" s="2" t="str">
        <f>'Posted Sales Invoice Lines'!B1265</f>
        <v>10719-6</v>
      </c>
      <c r="C1265" s="2" t="str">
        <f>'Posted Sales Invoice Lines'!C1265</f>
        <v>US Foods - Alcoa TN.</v>
      </c>
      <c r="D1265" s="2" t="str">
        <f>'Posted Sales Invoice Lines'!E1265</f>
        <v>F51066</v>
      </c>
      <c r="E1265" s="2" t="str">
        <f>'Posted Sales Invoice Lines'!F1265</f>
        <v>Cs. Honey Wheat 3/4" 8lvs</v>
      </c>
      <c r="F1265" s="3">
        <f>'Posted Sales Invoice Lines'!G1265</f>
        <v>46147</v>
      </c>
      <c r="G1265" s="9">
        <f>'Posted Sales Invoice Lines'!L1265</f>
        <v>8</v>
      </c>
      <c r="H1265" s="8">
        <f>'Posted Sales Invoice Lines'!N1265</f>
        <v>35.21</v>
      </c>
      <c r="I1265" s="8">
        <f>'Posted Sales Invoice Lines'!O1265</f>
        <v>281.68</v>
      </c>
    </row>
    <row r="1266" spans="1:9" x14ac:dyDescent="0.25">
      <c r="A1266" s="2" t="str">
        <f>'Posted Sales Invoice Lines'!A1266</f>
        <v>PS-INV210532</v>
      </c>
      <c r="B1266" s="2" t="str">
        <f>'Posted Sales Invoice Lines'!B1266</f>
        <v>10719-6</v>
      </c>
      <c r="C1266" s="2" t="str">
        <f>'Posted Sales Invoice Lines'!C1266</f>
        <v>US Foods - Alcoa TN.</v>
      </c>
      <c r="D1266" s="2" t="str">
        <f>'Posted Sales Invoice Lines'!E1266</f>
        <v>F53001</v>
      </c>
      <c r="E1266" s="2" t="str">
        <f>'Posted Sales Invoice Lines'!F1266</f>
        <v>Cs. 4" Brioche Bun 8-12pk</v>
      </c>
      <c r="F1266" s="3">
        <f>'Posted Sales Invoice Lines'!G1266</f>
        <v>46147</v>
      </c>
      <c r="G1266" s="9">
        <f>'Posted Sales Invoice Lines'!L1266</f>
        <v>248</v>
      </c>
      <c r="H1266" s="8">
        <f>'Posted Sales Invoice Lines'!N1266</f>
        <v>45.49</v>
      </c>
      <c r="I1266" s="8">
        <f>'Posted Sales Invoice Lines'!O1266</f>
        <v>11281.52</v>
      </c>
    </row>
    <row r="1267" spans="1:9" x14ac:dyDescent="0.25">
      <c r="A1267" s="2" t="str">
        <f>'Posted Sales Invoice Lines'!A1267</f>
        <v>PS-INV210532</v>
      </c>
      <c r="B1267" s="2" t="str">
        <f>'Posted Sales Invoice Lines'!B1267</f>
        <v>10719-6</v>
      </c>
      <c r="C1267" s="2" t="str">
        <f>'Posted Sales Invoice Lines'!C1267</f>
        <v>US Foods - Alcoa TN.</v>
      </c>
      <c r="D1267" s="2" t="str">
        <f>'Posted Sales Invoice Lines'!E1267</f>
        <v>F530501</v>
      </c>
      <c r="E1267" s="2" t="str">
        <f>'Posted Sales Invoice Lines'!F1267</f>
        <v>Cs. 4.5" Challah Kaiser 6-12pk</v>
      </c>
      <c r="F1267" s="3">
        <f>'Posted Sales Invoice Lines'!G1267</f>
        <v>46147</v>
      </c>
      <c r="G1267" s="9">
        <f>'Posted Sales Invoice Lines'!L1267</f>
        <v>12</v>
      </c>
      <c r="H1267" s="8">
        <f>'Posted Sales Invoice Lines'!N1267</f>
        <v>37.020000000000003</v>
      </c>
      <c r="I1267" s="8">
        <f>'Posted Sales Invoice Lines'!O1267</f>
        <v>444.24</v>
      </c>
    </row>
    <row r="1268" spans="1:9" x14ac:dyDescent="0.25">
      <c r="A1268" s="2" t="str">
        <f>'Posted Sales Invoice Lines'!A1268</f>
        <v>PS-INV210532</v>
      </c>
      <c r="B1268" s="2" t="str">
        <f>'Posted Sales Invoice Lines'!B1268</f>
        <v>10719-6</v>
      </c>
      <c r="C1268" s="2" t="str">
        <f>'Posted Sales Invoice Lines'!C1268</f>
        <v>US Foods - Alcoa TN.</v>
      </c>
      <c r="D1268" s="2" t="str">
        <f>'Posted Sales Invoice Lines'!E1268</f>
        <v>F51084</v>
      </c>
      <c r="E1268" s="2" t="str">
        <f>'Posted Sales Invoice Lines'!F1268</f>
        <v>Cs. Wheatberry Hearth</v>
      </c>
      <c r="F1268" s="3">
        <f>'Posted Sales Invoice Lines'!G1268</f>
        <v>46147</v>
      </c>
      <c r="G1268" s="9">
        <f>'Posted Sales Invoice Lines'!L1268</f>
        <v>4</v>
      </c>
      <c r="H1268" s="8">
        <f>'Posted Sales Invoice Lines'!N1268</f>
        <v>52.47</v>
      </c>
      <c r="I1268" s="8">
        <f>'Posted Sales Invoice Lines'!O1268</f>
        <v>209.88</v>
      </c>
    </row>
    <row r="1269" spans="1:9" x14ac:dyDescent="0.25">
      <c r="A1269" s="2" t="str">
        <f>'Posted Sales Invoice Lines'!A1269</f>
        <v>PS-INV210532</v>
      </c>
      <c r="B1269" s="2" t="str">
        <f>'Posted Sales Invoice Lines'!B1269</f>
        <v>10719-6</v>
      </c>
      <c r="C1269" s="2" t="str">
        <f>'Posted Sales Invoice Lines'!C1269</f>
        <v>US Foods - Alcoa TN.</v>
      </c>
      <c r="D1269" s="2" t="str">
        <f>'Posted Sales Invoice Lines'!E1269</f>
        <v>F51024</v>
      </c>
      <c r="E1269" s="2" t="str">
        <f>'Posted Sales Invoice Lines'!F1269</f>
        <v>Cs. Marble Rye 5/8" 8lvs</v>
      </c>
      <c r="F1269" s="3">
        <f>'Posted Sales Invoice Lines'!G1269</f>
        <v>46147</v>
      </c>
      <c r="G1269" s="9">
        <f>'Posted Sales Invoice Lines'!L1269</f>
        <v>12</v>
      </c>
      <c r="H1269" s="8">
        <f>'Posted Sales Invoice Lines'!N1269</f>
        <v>54</v>
      </c>
      <c r="I1269" s="8">
        <f>'Posted Sales Invoice Lines'!O1269</f>
        <v>648</v>
      </c>
    </row>
    <row r="1270" spans="1:9" x14ac:dyDescent="0.25">
      <c r="A1270" s="2" t="str">
        <f>'Posted Sales Invoice Lines'!A1270</f>
        <v>PS-INV210532</v>
      </c>
      <c r="B1270" s="2" t="str">
        <f>'Posted Sales Invoice Lines'!B1270</f>
        <v>10719-6</v>
      </c>
      <c r="C1270" s="2" t="str">
        <f>'Posted Sales Invoice Lines'!C1270</f>
        <v>US Foods - Alcoa TN.</v>
      </c>
      <c r="D1270" s="2" t="str">
        <f>'Posted Sales Invoice Lines'!E1270</f>
        <v>F51034</v>
      </c>
      <c r="E1270" s="2" t="str">
        <f>'Posted Sales Invoice Lines'!F1270</f>
        <v>Cs. Sour Dough Hearth 5/8" 8lvs</v>
      </c>
      <c r="F1270" s="3">
        <f>'Posted Sales Invoice Lines'!G1270</f>
        <v>46147</v>
      </c>
      <c r="G1270" s="9">
        <f>'Posted Sales Invoice Lines'!L1270</f>
        <v>12</v>
      </c>
      <c r="H1270" s="8">
        <f>'Posted Sales Invoice Lines'!N1270</f>
        <v>43.2</v>
      </c>
      <c r="I1270" s="8">
        <f>'Posted Sales Invoice Lines'!O1270</f>
        <v>518.4</v>
      </c>
    </row>
    <row r="1271" spans="1:9" x14ac:dyDescent="0.25">
      <c r="A1271" s="2" t="str">
        <f>'Posted Sales Invoice Lines'!A1271</f>
        <v>PS-INV210532</v>
      </c>
      <c r="B1271" s="2" t="str">
        <f>'Posted Sales Invoice Lines'!B1271</f>
        <v>10719-6</v>
      </c>
      <c r="C1271" s="2" t="str">
        <f>'Posted Sales Invoice Lines'!C1271</f>
        <v>US Foods - Alcoa TN.</v>
      </c>
      <c r="D1271" s="2" t="str">
        <f>'Posted Sales Invoice Lines'!E1271</f>
        <v>F51157</v>
      </c>
      <c r="E1271" s="2" t="str">
        <f>'Posted Sales Invoice Lines'!F1271</f>
        <v>Cs. Challah Hearth 7/8" 8lvs</v>
      </c>
      <c r="F1271" s="3">
        <f>'Posted Sales Invoice Lines'!G1271</f>
        <v>46147</v>
      </c>
      <c r="G1271" s="9">
        <f>'Posted Sales Invoice Lines'!L1271</f>
        <v>28</v>
      </c>
      <c r="H1271" s="8">
        <f>'Posted Sales Invoice Lines'!N1271</f>
        <v>44.15</v>
      </c>
      <c r="I1271" s="8">
        <f>'Posted Sales Invoice Lines'!O1271</f>
        <v>1236.2</v>
      </c>
    </row>
    <row r="1272" spans="1:9" x14ac:dyDescent="0.25">
      <c r="A1272" s="2" t="str">
        <f>'Posted Sales Invoice Lines'!A1272</f>
        <v>PS-INV210532</v>
      </c>
      <c r="B1272" s="2" t="str">
        <f>'Posted Sales Invoice Lines'!B1272</f>
        <v>10719-6</v>
      </c>
      <c r="C1272" s="2" t="str">
        <f>'Posted Sales Invoice Lines'!C1272</f>
        <v>US Foods - Alcoa TN.</v>
      </c>
      <c r="D1272" s="2" t="str">
        <f>'Posted Sales Invoice Lines'!E1272</f>
        <v>F53028</v>
      </c>
      <c r="E1272" s="2" t="str">
        <f>'Posted Sales Invoice Lines'!F1272</f>
        <v>Cs. 4" Sour Dough Bun 8-12pk</v>
      </c>
      <c r="F1272" s="3">
        <f>'Posted Sales Invoice Lines'!G1272</f>
        <v>46147</v>
      </c>
      <c r="G1272" s="9">
        <f>'Posted Sales Invoice Lines'!L1272</f>
        <v>4</v>
      </c>
      <c r="H1272" s="8">
        <f>'Posted Sales Invoice Lines'!N1272</f>
        <v>47.4</v>
      </c>
      <c r="I1272" s="8">
        <f>'Posted Sales Invoice Lines'!O1272</f>
        <v>189.6</v>
      </c>
    </row>
    <row r="1273" spans="1:9" x14ac:dyDescent="0.25">
      <c r="A1273" s="2" t="str">
        <f>'Posted Sales Invoice Lines'!A1273</f>
        <v>PS-INV210532</v>
      </c>
      <c r="B1273" s="2" t="str">
        <f>'Posted Sales Invoice Lines'!B1273</f>
        <v>10719-6</v>
      </c>
      <c r="C1273" s="2" t="str">
        <f>'Posted Sales Invoice Lines'!C1273</f>
        <v>US Foods - Alcoa TN.</v>
      </c>
      <c r="D1273" s="2" t="str">
        <f>'Posted Sales Invoice Lines'!E1273</f>
        <v>F53100</v>
      </c>
      <c r="E1273" s="2" t="str">
        <f>'Posted Sales Invoice Lines'!F1273</f>
        <v>Cs. Hot Dog pl/sl 12-8pk</v>
      </c>
      <c r="F1273" s="3">
        <f>'Posted Sales Invoice Lines'!G1273</f>
        <v>46147</v>
      </c>
      <c r="G1273" s="9">
        <f>'Posted Sales Invoice Lines'!L1273</f>
        <v>4</v>
      </c>
      <c r="H1273" s="8">
        <f>'Posted Sales Invoice Lines'!N1273</f>
        <v>36.6</v>
      </c>
      <c r="I1273" s="8">
        <f>'Posted Sales Invoice Lines'!O1273</f>
        <v>146.4</v>
      </c>
    </row>
    <row r="1274" spans="1:9" x14ac:dyDescent="0.25">
      <c r="A1274" s="2" t="str">
        <f>'Posted Sales Invoice Lines'!A1274</f>
        <v>PS-INV210532</v>
      </c>
      <c r="B1274" s="2" t="str">
        <f>'Posted Sales Invoice Lines'!B1274</f>
        <v>10719-6</v>
      </c>
      <c r="C1274" s="2" t="str">
        <f>'Posted Sales Invoice Lines'!C1274</f>
        <v>US Foods - Alcoa TN.</v>
      </c>
      <c r="D1274" s="2" t="str">
        <f>'Posted Sales Invoice Lines'!E1274</f>
        <v>F53006</v>
      </c>
      <c r="E1274" s="2" t="str">
        <f>'Posted Sales Invoice Lines'!F1274</f>
        <v>Cs. 4" Wheat Bun 8-12pk</v>
      </c>
      <c r="F1274" s="3">
        <f>'Posted Sales Invoice Lines'!G1274</f>
        <v>46147</v>
      </c>
      <c r="G1274" s="9">
        <f>'Posted Sales Invoice Lines'!L1274</f>
        <v>8</v>
      </c>
      <c r="H1274" s="8">
        <f>'Posted Sales Invoice Lines'!N1274</f>
        <v>40.22</v>
      </c>
      <c r="I1274" s="8">
        <f>'Posted Sales Invoice Lines'!O1274</f>
        <v>321.76</v>
      </c>
    </row>
    <row r="1275" spans="1:9" x14ac:dyDescent="0.25">
      <c r="A1275" s="2" t="str">
        <f>'Posted Sales Invoice Lines'!A1275</f>
        <v>PS-INV210532</v>
      </c>
      <c r="B1275" s="2" t="str">
        <f>'Posted Sales Invoice Lines'!B1275</f>
        <v>10719-6</v>
      </c>
      <c r="C1275" s="2" t="str">
        <f>'Posted Sales Invoice Lines'!C1275</f>
        <v>US Foods - Alcoa TN.</v>
      </c>
      <c r="D1275" s="2" t="str">
        <f>'Posted Sales Invoice Lines'!E1275</f>
        <v>F53127</v>
      </c>
      <c r="E1275" s="2" t="str">
        <f>'Posted Sales Invoice Lines'!F1275</f>
        <v>Cs. 8" Philly 10-6pks</v>
      </c>
      <c r="F1275" s="3">
        <f>'Posted Sales Invoice Lines'!G1275</f>
        <v>46147</v>
      </c>
      <c r="G1275" s="9">
        <f>'Posted Sales Invoice Lines'!L1275</f>
        <v>72</v>
      </c>
      <c r="H1275" s="8">
        <f>'Posted Sales Invoice Lines'!N1275</f>
        <v>42.37</v>
      </c>
      <c r="I1275" s="8">
        <f>'Posted Sales Invoice Lines'!O1275</f>
        <v>3050.64</v>
      </c>
    </row>
    <row r="1276" spans="1:9" x14ac:dyDescent="0.25">
      <c r="A1276" s="2" t="str">
        <f>'Posted Sales Invoice Lines'!A1276</f>
        <v>PS-INV210532</v>
      </c>
      <c r="B1276" s="2" t="str">
        <f>'Posted Sales Invoice Lines'!B1276</f>
        <v>10719-6</v>
      </c>
      <c r="C1276" s="2" t="str">
        <f>'Posted Sales Invoice Lines'!C1276</f>
        <v>US Foods - Alcoa TN.</v>
      </c>
      <c r="D1276" s="2" t="str">
        <f>'Posted Sales Invoice Lines'!E1276</f>
        <v>F51343</v>
      </c>
      <c r="E1276" s="2" t="str">
        <f>'Posted Sales Invoice Lines'!F1276</f>
        <v>Cs. White Bread Pullman 3/4" 10lvs</v>
      </c>
      <c r="F1276" s="3">
        <f>'Posted Sales Invoice Lines'!G1276</f>
        <v>46147</v>
      </c>
      <c r="G1276" s="9">
        <f>'Posted Sales Invoice Lines'!L1276</f>
        <v>16</v>
      </c>
      <c r="H1276" s="8">
        <f>'Posted Sales Invoice Lines'!N1276</f>
        <v>42.22</v>
      </c>
      <c r="I1276" s="8">
        <f>'Posted Sales Invoice Lines'!O1276</f>
        <v>675.52</v>
      </c>
    </row>
    <row r="1277" spans="1:9" x14ac:dyDescent="0.25">
      <c r="A1277" s="2" t="str">
        <f>'Posted Sales Invoice Lines'!A1277</f>
        <v>PS-INV210532</v>
      </c>
      <c r="B1277" s="2" t="str">
        <f>'Posted Sales Invoice Lines'!B1277</f>
        <v>10719-6</v>
      </c>
      <c r="C1277" s="2" t="str">
        <f>'Posted Sales Invoice Lines'!C1277</f>
        <v>US Foods - Alcoa TN.</v>
      </c>
      <c r="D1277" s="2" t="str">
        <f>'Posted Sales Invoice Lines'!E1277</f>
        <v>F53086</v>
      </c>
      <c r="E1277" s="2" t="str">
        <f>'Posted Sales Invoice Lines'!F1277</f>
        <v>Cs. 3.5" Plain Hamburger Bun 8-12pk</v>
      </c>
      <c r="F1277" s="3">
        <f>'Posted Sales Invoice Lines'!G1277</f>
        <v>46147</v>
      </c>
      <c r="G1277" s="9">
        <f>'Posted Sales Invoice Lines'!L1277</f>
        <v>8</v>
      </c>
      <c r="H1277" s="8">
        <f>'Posted Sales Invoice Lines'!N1277</f>
        <v>36.24</v>
      </c>
      <c r="I1277" s="8">
        <f>'Posted Sales Invoice Lines'!O1277</f>
        <v>289.92</v>
      </c>
    </row>
    <row r="1278" spans="1:9" x14ac:dyDescent="0.25">
      <c r="A1278" s="2" t="str">
        <f>'Posted Sales Invoice Lines'!A1278</f>
        <v>PS-INV210532</v>
      </c>
      <c r="B1278" s="2" t="str">
        <f>'Posted Sales Invoice Lines'!B1278</f>
        <v>10719-6</v>
      </c>
      <c r="C1278" s="2" t="str">
        <f>'Posted Sales Invoice Lines'!C1278</f>
        <v>US Foods - Alcoa TN.</v>
      </c>
      <c r="D1278" s="2" t="str">
        <f>'Posted Sales Invoice Lines'!E1278</f>
        <v>F52035</v>
      </c>
      <c r="E1278" s="2" t="str">
        <f>'Posted Sales Invoice Lines'!F1278</f>
        <v>Cs. French Boule 12-2pk</v>
      </c>
      <c r="F1278" s="3">
        <f>'Posted Sales Invoice Lines'!G1278</f>
        <v>46147</v>
      </c>
      <c r="G1278" s="9">
        <f>'Posted Sales Invoice Lines'!L1278</f>
        <v>56</v>
      </c>
      <c r="H1278" s="8">
        <f>'Posted Sales Invoice Lines'!N1278</f>
        <v>32.549999999999997</v>
      </c>
      <c r="I1278" s="8">
        <f>'Posted Sales Invoice Lines'!O1278</f>
        <v>1822.8</v>
      </c>
    </row>
    <row r="1279" spans="1:9" x14ac:dyDescent="0.25">
      <c r="A1279" s="2" t="str">
        <f>'Posted Sales Invoice Lines'!A1279</f>
        <v>PS-INV210532</v>
      </c>
      <c r="B1279" s="2" t="str">
        <f>'Posted Sales Invoice Lines'!B1279</f>
        <v>10719-6</v>
      </c>
      <c r="C1279" s="2" t="str">
        <f>'Posted Sales Invoice Lines'!C1279</f>
        <v>US Foods - Alcoa TN.</v>
      </c>
      <c r="D1279" s="2" t="str">
        <f>'Posted Sales Invoice Lines'!E1279</f>
        <v>F53106</v>
      </c>
      <c r="E1279" s="2" t="str">
        <f>'Posted Sales Invoice Lines'!F1279</f>
        <v>Cs. Large Hot Dog 12-6pk</v>
      </c>
      <c r="F1279" s="3">
        <f>'Posted Sales Invoice Lines'!G1279</f>
        <v>46147</v>
      </c>
      <c r="G1279" s="9">
        <f>'Posted Sales Invoice Lines'!L1279</f>
        <v>8</v>
      </c>
      <c r="H1279" s="8">
        <f>'Posted Sales Invoice Lines'!N1279</f>
        <v>35.57</v>
      </c>
      <c r="I1279" s="8">
        <f>'Posted Sales Invoice Lines'!O1279</f>
        <v>284.56</v>
      </c>
    </row>
    <row r="1280" spans="1:9" x14ac:dyDescent="0.25">
      <c r="A1280" s="2" t="str">
        <f>'Posted Sales Invoice Lines'!A1280</f>
        <v>PS-INV210532</v>
      </c>
      <c r="B1280" s="2" t="str">
        <f>'Posted Sales Invoice Lines'!B1280</f>
        <v>10719-6</v>
      </c>
      <c r="C1280" s="2" t="str">
        <f>'Posted Sales Invoice Lines'!C1280</f>
        <v>US Foods - Alcoa TN.</v>
      </c>
      <c r="D1280" s="2" t="str">
        <f>'Posted Sales Invoice Lines'!E1280</f>
        <v>F52032</v>
      </c>
      <c r="E1280" s="2" t="str">
        <f>'Posted Sales Invoice Lines'!F1280</f>
        <v>Cs. 8oz Sour Dough Boule 12-2pk</v>
      </c>
      <c r="F1280" s="3">
        <f>'Posted Sales Invoice Lines'!G1280</f>
        <v>46147</v>
      </c>
      <c r="G1280" s="9">
        <f>'Posted Sales Invoice Lines'!L1280</f>
        <v>28</v>
      </c>
      <c r="H1280" s="8">
        <f>'Posted Sales Invoice Lines'!N1280</f>
        <v>41.25</v>
      </c>
      <c r="I1280" s="8">
        <f>'Posted Sales Invoice Lines'!O1280</f>
        <v>1155</v>
      </c>
    </row>
    <row r="1281" spans="1:9" x14ac:dyDescent="0.25">
      <c r="A1281" s="2" t="str">
        <f>'Posted Sales Invoice Lines'!A1281</f>
        <v>PS-INV210532</v>
      </c>
      <c r="B1281" s="2" t="str">
        <f>'Posted Sales Invoice Lines'!B1281</f>
        <v>10719-6</v>
      </c>
      <c r="C1281" s="2" t="str">
        <f>'Posted Sales Invoice Lines'!C1281</f>
        <v>US Foods - Alcoa TN.</v>
      </c>
      <c r="D1281" s="2" t="str">
        <f>'Posted Sales Invoice Lines'!E1281</f>
        <v>F53024</v>
      </c>
      <c r="E1281" s="2" t="str">
        <f>'Posted Sales Invoice Lines'!F1281</f>
        <v>Cs. 4" Challah Kaiser 8-12pk</v>
      </c>
      <c r="F1281" s="3">
        <f>'Posted Sales Invoice Lines'!G1281</f>
        <v>46147</v>
      </c>
      <c r="G1281" s="9">
        <f>'Posted Sales Invoice Lines'!L1281</f>
        <v>28</v>
      </c>
      <c r="H1281" s="8">
        <f>'Posted Sales Invoice Lines'!N1281</f>
        <v>40.22</v>
      </c>
      <c r="I1281" s="8">
        <f>'Posted Sales Invoice Lines'!O1281</f>
        <v>1126.1600000000001</v>
      </c>
    </row>
    <row r="1282" spans="1:9" x14ac:dyDescent="0.25">
      <c r="A1282" s="2" t="str">
        <f>'Posted Sales Invoice Lines'!A1282</f>
        <v>PS-INV210810</v>
      </c>
      <c r="B1282" s="2" t="str">
        <f>'Posted Sales Invoice Lines'!B1282</f>
        <v>20334</v>
      </c>
      <c r="C1282" s="2" t="str">
        <f>'Posted Sales Invoice Lines'!C1282</f>
        <v>Sysco Atlanta</v>
      </c>
      <c r="D1282" s="2" t="str">
        <f>'Posted Sales Invoice Lines'!E1282</f>
        <v>F53106</v>
      </c>
      <c r="E1282" s="2" t="str">
        <f>'Posted Sales Invoice Lines'!F1282</f>
        <v>Cs. Large Hot Dog 12-6pk</v>
      </c>
      <c r="F1282" s="3">
        <f>'Posted Sales Invoice Lines'!G1282</f>
        <v>46142</v>
      </c>
      <c r="G1282" s="9">
        <f>'Posted Sales Invoice Lines'!L1282</f>
        <v>12</v>
      </c>
      <c r="H1282" s="8">
        <f>'Posted Sales Invoice Lines'!N1282</f>
        <v>36.5</v>
      </c>
      <c r="I1282" s="8">
        <f>'Posted Sales Invoice Lines'!O1282</f>
        <v>438</v>
      </c>
    </row>
    <row r="1283" spans="1:9" x14ac:dyDescent="0.25">
      <c r="A1283" s="2" t="str">
        <f>'Posted Sales Invoice Lines'!A1283</f>
        <v>PS-INV210810</v>
      </c>
      <c r="B1283" s="2" t="str">
        <f>'Posted Sales Invoice Lines'!B1283</f>
        <v>20334</v>
      </c>
      <c r="C1283" s="2" t="str">
        <f>'Posted Sales Invoice Lines'!C1283</f>
        <v>Sysco Atlanta</v>
      </c>
      <c r="D1283" s="2" t="str">
        <f>'Posted Sales Invoice Lines'!E1283</f>
        <v>F53087</v>
      </c>
      <c r="E1283" s="2" t="str">
        <f>'Posted Sales Invoice Lines'!F1283</f>
        <v>Cs. 3.5" Challah Bun 8-12 pk</v>
      </c>
      <c r="F1283" s="3">
        <f>'Posted Sales Invoice Lines'!G1283</f>
        <v>46142</v>
      </c>
      <c r="G1283" s="9">
        <f>'Posted Sales Invoice Lines'!L1283</f>
        <v>252</v>
      </c>
      <c r="H1283" s="8">
        <f>'Posted Sales Invoice Lines'!N1283</f>
        <v>34</v>
      </c>
      <c r="I1283" s="8">
        <f>'Posted Sales Invoice Lines'!O1283</f>
        <v>8568</v>
      </c>
    </row>
    <row r="1284" spans="1:9" x14ac:dyDescent="0.25">
      <c r="A1284" s="2" t="str">
        <f>'Posted Sales Invoice Lines'!A1284</f>
        <v>PS-INV210810</v>
      </c>
      <c r="B1284" s="2" t="str">
        <f>'Posted Sales Invoice Lines'!B1284</f>
        <v>20334</v>
      </c>
      <c r="C1284" s="2" t="str">
        <f>'Posted Sales Invoice Lines'!C1284</f>
        <v>Sysco Atlanta</v>
      </c>
      <c r="D1284" s="2" t="str">
        <f>'Posted Sales Invoice Lines'!E1284</f>
        <v>F51024</v>
      </c>
      <c r="E1284" s="2" t="str">
        <f>'Posted Sales Invoice Lines'!F1284</f>
        <v>Cs. Marble Rye 5/8" 8lvs</v>
      </c>
      <c r="F1284" s="3">
        <f>'Posted Sales Invoice Lines'!G1284</f>
        <v>46142</v>
      </c>
      <c r="G1284" s="9">
        <f>'Posted Sales Invoice Lines'!L1284</f>
        <v>12</v>
      </c>
      <c r="H1284" s="8">
        <f>'Posted Sales Invoice Lines'!N1284</f>
        <v>43.26</v>
      </c>
      <c r="I1284" s="8">
        <f>'Posted Sales Invoice Lines'!O1284</f>
        <v>519.12</v>
      </c>
    </row>
    <row r="1285" spans="1:9" x14ac:dyDescent="0.25">
      <c r="A1285" s="2" t="str">
        <f>'Posted Sales Invoice Lines'!A1285</f>
        <v>PS-INV210810</v>
      </c>
      <c r="B1285" s="2" t="str">
        <f>'Posted Sales Invoice Lines'!B1285</f>
        <v>20334</v>
      </c>
      <c r="C1285" s="2" t="str">
        <f>'Posted Sales Invoice Lines'!C1285</f>
        <v>Sysco Atlanta</v>
      </c>
      <c r="D1285" s="2" t="str">
        <f>'Posted Sales Invoice Lines'!E1285</f>
        <v>F53004</v>
      </c>
      <c r="E1285" s="2" t="str">
        <f>'Posted Sales Invoice Lines'!F1285</f>
        <v>Cs. 4" Sesame Brioche 8-12pk</v>
      </c>
      <c r="F1285" s="3">
        <f>'Posted Sales Invoice Lines'!G1285</f>
        <v>46142</v>
      </c>
      <c r="G1285" s="9">
        <f>'Posted Sales Invoice Lines'!L1285</f>
        <v>5</v>
      </c>
      <c r="H1285" s="8">
        <f>'Posted Sales Invoice Lines'!N1285</f>
        <v>44.77</v>
      </c>
      <c r="I1285" s="8">
        <f>'Posted Sales Invoice Lines'!O1285</f>
        <v>223.85</v>
      </c>
    </row>
    <row r="1286" spans="1:9" x14ac:dyDescent="0.25">
      <c r="A1286" s="2" t="str">
        <f>'Posted Sales Invoice Lines'!A1286</f>
        <v>PS-INV210810</v>
      </c>
      <c r="B1286" s="2" t="str">
        <f>'Posted Sales Invoice Lines'!B1286</f>
        <v>20334</v>
      </c>
      <c r="C1286" s="2" t="str">
        <f>'Posted Sales Invoice Lines'!C1286</f>
        <v>Sysco Atlanta</v>
      </c>
      <c r="D1286" s="2" t="str">
        <f>'Posted Sales Invoice Lines'!E1286</f>
        <v>F53140</v>
      </c>
      <c r="E1286" s="2" t="str">
        <f>'Posted Sales Invoice Lines'!F1286</f>
        <v>Cs. Knuckies 8" White 12-6pk</v>
      </c>
      <c r="F1286" s="3">
        <f>'Posted Sales Invoice Lines'!G1286</f>
        <v>46142</v>
      </c>
      <c r="G1286" s="9">
        <f>'Posted Sales Invoice Lines'!L1286</f>
        <v>20</v>
      </c>
      <c r="H1286" s="8">
        <f>'Posted Sales Invoice Lines'!N1286</f>
        <v>41</v>
      </c>
      <c r="I1286" s="8">
        <f>'Posted Sales Invoice Lines'!O1286</f>
        <v>820</v>
      </c>
    </row>
    <row r="1287" spans="1:9" x14ac:dyDescent="0.25">
      <c r="A1287" s="2" t="str">
        <f>'Posted Sales Invoice Lines'!A1287</f>
        <v>PS-INV210816</v>
      </c>
      <c r="B1287" s="2" t="str">
        <f>'Posted Sales Invoice Lines'!B1287</f>
        <v>12358</v>
      </c>
      <c r="C1287" s="2" t="str">
        <f>'Posted Sales Invoice Lines'!C1287</f>
        <v>PFG Powell GA</v>
      </c>
      <c r="D1287" s="2" t="str">
        <f>'Posted Sales Invoice Lines'!E1287</f>
        <v>F51024</v>
      </c>
      <c r="E1287" s="2" t="str">
        <f>'Posted Sales Invoice Lines'!F1287</f>
        <v>Cs. Marble Rye 5/8" 8lvs</v>
      </c>
      <c r="F1287" s="3">
        <f>'Posted Sales Invoice Lines'!G1287</f>
        <v>46141</v>
      </c>
      <c r="G1287" s="9">
        <f>'Posted Sales Invoice Lines'!L1287</f>
        <v>12</v>
      </c>
      <c r="H1287" s="8">
        <f>'Posted Sales Invoice Lines'!N1287</f>
        <v>45</v>
      </c>
      <c r="I1287" s="8">
        <f>'Posted Sales Invoice Lines'!O1287</f>
        <v>540</v>
      </c>
    </row>
    <row r="1288" spans="1:9" x14ac:dyDescent="0.25">
      <c r="A1288" s="2" t="str">
        <f>'Posted Sales Invoice Lines'!A1288</f>
        <v>PS-INV210816</v>
      </c>
      <c r="B1288" s="2" t="str">
        <f>'Posted Sales Invoice Lines'!B1288</f>
        <v>12358</v>
      </c>
      <c r="C1288" s="2" t="str">
        <f>'Posted Sales Invoice Lines'!C1288</f>
        <v>PFG Powell GA</v>
      </c>
      <c r="D1288" s="2" t="str">
        <f>'Posted Sales Invoice Lines'!E1288</f>
        <v>F53001</v>
      </c>
      <c r="E1288" s="2" t="str">
        <f>'Posted Sales Invoice Lines'!F1288</f>
        <v>Cs. 4" Brioche Bun 8-12pk</v>
      </c>
      <c r="F1288" s="3">
        <f>'Posted Sales Invoice Lines'!G1288</f>
        <v>46141</v>
      </c>
      <c r="G1288" s="9">
        <f>'Posted Sales Invoice Lines'!L1288</f>
        <v>96</v>
      </c>
      <c r="H1288" s="8">
        <f>'Posted Sales Invoice Lines'!N1288</f>
        <v>42.6</v>
      </c>
      <c r="I1288" s="8">
        <f>'Posted Sales Invoice Lines'!O1288</f>
        <v>4089.6</v>
      </c>
    </row>
    <row r="1289" spans="1:9" x14ac:dyDescent="0.25">
      <c r="A1289" s="2" t="str">
        <f>'Posted Sales Invoice Lines'!A1289</f>
        <v>PS-INV210816</v>
      </c>
      <c r="B1289" s="2" t="str">
        <f>'Posted Sales Invoice Lines'!B1289</f>
        <v>12358</v>
      </c>
      <c r="C1289" s="2" t="str">
        <f>'Posted Sales Invoice Lines'!C1289</f>
        <v>PFG Powell GA</v>
      </c>
      <c r="D1289" s="2" t="str">
        <f>'Posted Sales Invoice Lines'!E1289</f>
        <v>F53003</v>
      </c>
      <c r="E1289" s="2" t="str">
        <f>'Posted Sales Invoice Lines'!F1289</f>
        <v>Cs. 4" Unseeded Challah Bun 8-12pk</v>
      </c>
      <c r="F1289" s="3">
        <f>'Posted Sales Invoice Lines'!G1289</f>
        <v>46141</v>
      </c>
      <c r="G1289" s="9">
        <f>'Posted Sales Invoice Lines'!L1289</f>
        <v>180</v>
      </c>
      <c r="H1289" s="8">
        <f>'Posted Sales Invoice Lines'!N1289</f>
        <v>40</v>
      </c>
      <c r="I1289" s="8">
        <f>'Posted Sales Invoice Lines'!O1289</f>
        <v>7200</v>
      </c>
    </row>
    <row r="1290" spans="1:9" x14ac:dyDescent="0.25">
      <c r="A1290" s="2" t="str">
        <f>'Posted Sales Invoice Lines'!A1290</f>
        <v>PS-INV210818</v>
      </c>
      <c r="B1290" s="2" t="str">
        <f>'Posted Sales Invoice Lines'!B1290</f>
        <v>10719-13</v>
      </c>
      <c r="C1290" s="2" t="str">
        <f>'Posted Sales Invoice Lines'!C1290</f>
        <v>US Foods - Montgomery</v>
      </c>
      <c r="D1290" s="2" t="str">
        <f>'Posted Sales Invoice Lines'!E1290</f>
        <v>F53005</v>
      </c>
      <c r="E1290" s="2" t="str">
        <f>'Posted Sales Invoice Lines'!F1290</f>
        <v>Cs. 4" Gourmet PDS Bun 8-12pk</v>
      </c>
      <c r="F1290" s="3">
        <f>'Posted Sales Invoice Lines'!G1290</f>
        <v>46153</v>
      </c>
      <c r="G1290" s="9">
        <f>'Posted Sales Invoice Lines'!L1290</f>
        <v>84</v>
      </c>
      <c r="H1290" s="8">
        <f>'Posted Sales Invoice Lines'!N1290</f>
        <v>37</v>
      </c>
      <c r="I1290" s="8">
        <f>'Posted Sales Invoice Lines'!O1290</f>
        <v>3108</v>
      </c>
    </row>
    <row r="1291" spans="1:9" x14ac:dyDescent="0.25">
      <c r="A1291" s="2" t="str">
        <f>'Posted Sales Invoice Lines'!A1291</f>
        <v>PS-INV210818</v>
      </c>
      <c r="B1291" s="2" t="str">
        <f>'Posted Sales Invoice Lines'!B1291</f>
        <v>10719-13</v>
      </c>
      <c r="C1291" s="2" t="str">
        <f>'Posted Sales Invoice Lines'!C1291</f>
        <v>US Foods - Montgomery</v>
      </c>
      <c r="D1291" s="2" t="str">
        <f>'Posted Sales Invoice Lines'!E1291</f>
        <v>F53010</v>
      </c>
      <c r="E1291" s="2" t="str">
        <f>'Posted Sales Invoice Lines'!F1291</f>
        <v>Cs. Onion Roll 8-12pk</v>
      </c>
      <c r="F1291" s="3">
        <f>'Posted Sales Invoice Lines'!G1291</f>
        <v>46153</v>
      </c>
      <c r="G1291" s="9">
        <f>'Posted Sales Invoice Lines'!L1291</f>
        <v>112</v>
      </c>
      <c r="H1291" s="8">
        <f>'Posted Sales Invoice Lines'!N1291</f>
        <v>42</v>
      </c>
      <c r="I1291" s="8">
        <f>'Posted Sales Invoice Lines'!O1291</f>
        <v>4704</v>
      </c>
    </row>
    <row r="1292" spans="1:9" x14ac:dyDescent="0.25">
      <c r="A1292" s="2" t="str">
        <f>'Posted Sales Invoice Lines'!A1292</f>
        <v>PS-INV210818</v>
      </c>
      <c r="B1292" s="2" t="str">
        <f>'Posted Sales Invoice Lines'!B1292</f>
        <v>10719-13</v>
      </c>
      <c r="C1292" s="2" t="str">
        <f>'Posted Sales Invoice Lines'!C1292</f>
        <v>US Foods - Montgomery</v>
      </c>
      <c r="D1292" s="2" t="str">
        <f>'Posted Sales Invoice Lines'!E1292</f>
        <v>F53001</v>
      </c>
      <c r="E1292" s="2" t="str">
        <f>'Posted Sales Invoice Lines'!F1292</f>
        <v>Cs. 4" Brioche Bun 8-12pk</v>
      </c>
      <c r="F1292" s="3">
        <f>'Posted Sales Invoice Lines'!G1292</f>
        <v>46153</v>
      </c>
      <c r="G1292" s="9">
        <f>'Posted Sales Invoice Lines'!L1292</f>
        <v>140</v>
      </c>
      <c r="H1292" s="8">
        <f>'Posted Sales Invoice Lines'!N1292</f>
        <v>42</v>
      </c>
      <c r="I1292" s="8">
        <f>'Posted Sales Invoice Lines'!O1292</f>
        <v>5880</v>
      </c>
    </row>
    <row r="1293" spans="1:9" x14ac:dyDescent="0.25">
      <c r="A1293" s="2" t="str">
        <f>'Posted Sales Invoice Lines'!A1293</f>
        <v>PS-INV210818</v>
      </c>
      <c r="B1293" s="2" t="str">
        <f>'Posted Sales Invoice Lines'!B1293</f>
        <v>10719-13</v>
      </c>
      <c r="C1293" s="2" t="str">
        <f>'Posted Sales Invoice Lines'!C1293</f>
        <v>US Foods - Montgomery</v>
      </c>
      <c r="D1293" s="2" t="str">
        <f>'Posted Sales Invoice Lines'!E1293</f>
        <v>F53003</v>
      </c>
      <c r="E1293" s="2" t="str">
        <f>'Posted Sales Invoice Lines'!F1293</f>
        <v>Cs. 4" Unseeded Challah Bun 8-12pk</v>
      </c>
      <c r="F1293" s="3">
        <f>'Posted Sales Invoice Lines'!G1293</f>
        <v>46153</v>
      </c>
      <c r="G1293" s="9">
        <f>'Posted Sales Invoice Lines'!L1293</f>
        <v>224</v>
      </c>
      <c r="H1293" s="8">
        <f>'Posted Sales Invoice Lines'!N1293</f>
        <v>38.08</v>
      </c>
      <c r="I1293" s="8">
        <f>'Posted Sales Invoice Lines'!O1293</f>
        <v>8529.92</v>
      </c>
    </row>
    <row r="1294" spans="1:9" x14ac:dyDescent="0.25">
      <c r="A1294" s="2" t="str">
        <f>'Posted Sales Invoice Lines'!A1294</f>
        <v>PS-INV210832</v>
      </c>
      <c r="B1294" s="2" t="str">
        <f>'Posted Sales Invoice Lines'!B1294</f>
        <v>10805</v>
      </c>
      <c r="C1294" s="2" t="str">
        <f>'Posted Sales Invoice Lines'!C1294</f>
        <v>Sysco Jacksonville</v>
      </c>
      <c r="D1294" s="2" t="str">
        <f>'Posted Sales Invoice Lines'!E1294</f>
        <v>F53100</v>
      </c>
      <c r="E1294" s="2" t="str">
        <f>'Posted Sales Invoice Lines'!F1294</f>
        <v>Cs. Hot Dog pl/sl 12-8pk</v>
      </c>
      <c r="F1294" s="3">
        <f>'Posted Sales Invoice Lines'!G1294</f>
        <v>46148</v>
      </c>
      <c r="G1294" s="9">
        <f>'Posted Sales Invoice Lines'!L1294</f>
        <v>12</v>
      </c>
      <c r="H1294" s="8">
        <f>'Posted Sales Invoice Lines'!N1294</f>
        <v>36.6</v>
      </c>
      <c r="I1294" s="8">
        <f>'Posted Sales Invoice Lines'!O1294</f>
        <v>439.2</v>
      </c>
    </row>
    <row r="1295" spans="1:9" x14ac:dyDescent="0.25">
      <c r="A1295" s="2" t="str">
        <f>'Posted Sales Invoice Lines'!A1295</f>
        <v>PS-INV210832</v>
      </c>
      <c r="B1295" s="2" t="str">
        <f>'Posted Sales Invoice Lines'!B1295</f>
        <v>10805</v>
      </c>
      <c r="C1295" s="2" t="str">
        <f>'Posted Sales Invoice Lines'!C1295</f>
        <v>Sysco Jacksonville</v>
      </c>
      <c r="D1295" s="2" t="str">
        <f>'Posted Sales Invoice Lines'!E1295</f>
        <v>F51024</v>
      </c>
      <c r="E1295" s="2" t="str">
        <f>'Posted Sales Invoice Lines'!F1295</f>
        <v>Cs. Marble Rye 5/8" 8lvs</v>
      </c>
      <c r="F1295" s="3">
        <f>'Posted Sales Invoice Lines'!G1295</f>
        <v>46148</v>
      </c>
      <c r="G1295" s="9">
        <f>'Posted Sales Invoice Lines'!L1295</f>
        <v>56</v>
      </c>
      <c r="H1295" s="8">
        <f>'Posted Sales Invoice Lines'!N1295</f>
        <v>54</v>
      </c>
      <c r="I1295" s="8">
        <f>'Posted Sales Invoice Lines'!O1295</f>
        <v>3024</v>
      </c>
    </row>
    <row r="1296" spans="1:9" x14ac:dyDescent="0.25">
      <c r="A1296" s="2" t="str">
        <f>'Posted Sales Invoice Lines'!A1296</f>
        <v>PS-INV210832</v>
      </c>
      <c r="B1296" s="2" t="str">
        <f>'Posted Sales Invoice Lines'!B1296</f>
        <v>10805</v>
      </c>
      <c r="C1296" s="2" t="str">
        <f>'Posted Sales Invoice Lines'!C1296</f>
        <v>Sysco Jacksonville</v>
      </c>
      <c r="D1296" s="2" t="str">
        <f>'Posted Sales Invoice Lines'!E1296</f>
        <v>F53001</v>
      </c>
      <c r="E1296" s="2" t="str">
        <f>'Posted Sales Invoice Lines'!F1296</f>
        <v>Cs. 4" Brioche Bun 8-12pk</v>
      </c>
      <c r="F1296" s="3">
        <f>'Posted Sales Invoice Lines'!G1296</f>
        <v>46148</v>
      </c>
      <c r="G1296" s="9">
        <f>'Posted Sales Invoice Lines'!L1296</f>
        <v>112</v>
      </c>
      <c r="H1296" s="8">
        <f>'Posted Sales Invoice Lines'!N1296</f>
        <v>50.6</v>
      </c>
      <c r="I1296" s="8">
        <f>'Posted Sales Invoice Lines'!O1296</f>
        <v>5667.2</v>
      </c>
    </row>
    <row r="1297" spans="1:9" x14ac:dyDescent="0.25">
      <c r="A1297" s="2" t="str">
        <f>'Posted Sales Invoice Lines'!A1297</f>
        <v>PS-INV210832</v>
      </c>
      <c r="B1297" s="2" t="str">
        <f>'Posted Sales Invoice Lines'!B1297</f>
        <v>10805</v>
      </c>
      <c r="C1297" s="2" t="str">
        <f>'Posted Sales Invoice Lines'!C1297</f>
        <v>Sysco Jacksonville</v>
      </c>
      <c r="D1297" s="2" t="str">
        <f>'Posted Sales Invoice Lines'!E1297</f>
        <v>F53003</v>
      </c>
      <c r="E1297" s="2" t="str">
        <f>'Posted Sales Invoice Lines'!F1297</f>
        <v>Cs. 4" Unseeded Challah Bun 8-12pk</v>
      </c>
      <c r="F1297" s="3">
        <f>'Posted Sales Invoice Lines'!G1297</f>
        <v>46148</v>
      </c>
      <c r="G1297" s="9">
        <f>'Posted Sales Invoice Lines'!L1297</f>
        <v>196</v>
      </c>
      <c r="H1297" s="8">
        <f>'Posted Sales Invoice Lines'!N1297</f>
        <v>40.799999999999997</v>
      </c>
      <c r="I1297" s="8">
        <f>'Posted Sales Invoice Lines'!O1297</f>
        <v>7996.8</v>
      </c>
    </row>
    <row r="1298" spans="1:9" x14ac:dyDescent="0.25">
      <c r="A1298" s="2" t="str">
        <f>'Posted Sales Invoice Lines'!A1298</f>
        <v>PS-INV210832</v>
      </c>
      <c r="B1298" s="2" t="str">
        <f>'Posted Sales Invoice Lines'!B1298</f>
        <v>10805</v>
      </c>
      <c r="C1298" s="2" t="str">
        <f>'Posted Sales Invoice Lines'!C1298</f>
        <v>Sysco Jacksonville</v>
      </c>
      <c r="D1298" s="2" t="str">
        <f>'Posted Sales Invoice Lines'!E1298</f>
        <v>F51137</v>
      </c>
      <c r="E1298" s="2" t="str">
        <f>'Posted Sales Invoice Lines'!F1298</f>
        <v>Cs. Texas Toast 3/4" 12lvs</v>
      </c>
      <c r="F1298" s="3">
        <f>'Posted Sales Invoice Lines'!G1298</f>
        <v>46148</v>
      </c>
      <c r="G1298" s="9">
        <f>'Posted Sales Invoice Lines'!L1298</f>
        <v>84</v>
      </c>
      <c r="H1298" s="8">
        <f>'Posted Sales Invoice Lines'!N1298</f>
        <v>39.9</v>
      </c>
      <c r="I1298" s="8">
        <f>'Posted Sales Invoice Lines'!O1298</f>
        <v>3351.6</v>
      </c>
    </row>
    <row r="1299" spans="1:9" x14ac:dyDescent="0.25">
      <c r="A1299" s="2" t="str">
        <f>'Posted Sales Invoice Lines'!A1299</f>
        <v>PS-INV211228</v>
      </c>
      <c r="B1299" s="2" t="str">
        <f>'Posted Sales Invoice Lines'!B1299</f>
        <v>12988</v>
      </c>
      <c r="C1299" s="2" t="str">
        <f>'Posted Sales Invoice Lines'!C1299</f>
        <v>Sysco Norman OK</v>
      </c>
      <c r="D1299" s="2" t="str">
        <f>'Posted Sales Invoice Lines'!E1299</f>
        <v>F53001</v>
      </c>
      <c r="E1299" s="2" t="str">
        <f>'Posted Sales Invoice Lines'!F1299</f>
        <v>Cs. 4" Brioche Bun 8-12pk</v>
      </c>
      <c r="F1299" s="3">
        <f>'Posted Sales Invoice Lines'!G1299</f>
        <v>46148</v>
      </c>
      <c r="G1299" s="9">
        <f>'Posted Sales Invoice Lines'!L1299</f>
        <v>364</v>
      </c>
      <c r="H1299" s="8">
        <f>'Posted Sales Invoice Lines'!N1299</f>
        <v>46</v>
      </c>
      <c r="I1299" s="8">
        <f>'Posted Sales Invoice Lines'!O1299</f>
        <v>16744</v>
      </c>
    </row>
    <row r="1300" spans="1:9" x14ac:dyDescent="0.25">
      <c r="A1300" s="2" t="str">
        <f>'Posted Sales Invoice Lines'!A1300</f>
        <v>PS-INV211228</v>
      </c>
      <c r="B1300" s="2" t="str">
        <f>'Posted Sales Invoice Lines'!B1300</f>
        <v>12988</v>
      </c>
      <c r="C1300" s="2" t="str">
        <f>'Posted Sales Invoice Lines'!C1300</f>
        <v>Sysco Norman OK</v>
      </c>
      <c r="D1300" s="2" t="str">
        <f>'Posted Sales Invoice Lines'!E1300</f>
        <v>F530491</v>
      </c>
      <c r="E1300" s="2" t="str">
        <f>'Posted Sales Invoice Lines'!F1300</f>
        <v>Cs. 4.5 Brioche Bun 6-12pk</v>
      </c>
      <c r="F1300" s="3">
        <f>'Posted Sales Invoice Lines'!G1300</f>
        <v>46148</v>
      </c>
      <c r="G1300" s="9">
        <f>'Posted Sales Invoice Lines'!L1300</f>
        <v>49</v>
      </c>
      <c r="H1300" s="8">
        <f>'Posted Sales Invoice Lines'!N1300</f>
        <v>40</v>
      </c>
      <c r="I1300" s="8">
        <f>'Posted Sales Invoice Lines'!O1300</f>
        <v>1960</v>
      </c>
    </row>
    <row r="1301" spans="1:9" x14ac:dyDescent="0.25">
      <c r="A1301" s="2" t="str">
        <f>'Posted Sales Invoice Lines'!A1301</f>
        <v>PS-INV211228</v>
      </c>
      <c r="B1301" s="2" t="str">
        <f>'Posted Sales Invoice Lines'!B1301</f>
        <v>12988</v>
      </c>
      <c r="C1301" s="2" t="str">
        <f>'Posted Sales Invoice Lines'!C1301</f>
        <v>Sysco Norman OK</v>
      </c>
      <c r="D1301" s="2" t="str">
        <f>'Posted Sales Invoice Lines'!E1301</f>
        <v>F53106</v>
      </c>
      <c r="E1301" s="2" t="str">
        <f>'Posted Sales Invoice Lines'!F1301</f>
        <v>Cs. Large Hot Dog 12-6pk</v>
      </c>
      <c r="F1301" s="3">
        <f>'Posted Sales Invoice Lines'!G1301</f>
        <v>46148</v>
      </c>
      <c r="G1301" s="9">
        <f>'Posted Sales Invoice Lines'!L1301</f>
        <v>28</v>
      </c>
      <c r="H1301" s="8">
        <f>'Posted Sales Invoice Lines'!N1301</f>
        <v>38</v>
      </c>
      <c r="I1301" s="8">
        <f>'Posted Sales Invoice Lines'!O1301</f>
        <v>1064</v>
      </c>
    </row>
    <row r="1302" spans="1:9" x14ac:dyDescent="0.25">
      <c r="A1302" s="2" t="str">
        <f>'Posted Sales Invoice Lines'!A1302</f>
        <v>PS-INV211268</v>
      </c>
      <c r="B1302" s="2" t="str">
        <f>'Posted Sales Invoice Lines'!B1302</f>
        <v>12431</v>
      </c>
      <c r="C1302" s="2" t="str">
        <f>'Posted Sales Invoice Lines'!C1302</f>
        <v>Ben E Keith - New Brockton</v>
      </c>
      <c r="D1302" s="2" t="str">
        <f>'Posted Sales Invoice Lines'!E1302</f>
        <v>F54301</v>
      </c>
      <c r="E1302" s="2" t="str">
        <f>'Posted Sales Invoice Lines'!F1302</f>
        <v>Cs. Potato Roll Sliced 12-16pk</v>
      </c>
      <c r="F1302" s="3">
        <f>'Posted Sales Invoice Lines'!G1302</f>
        <v>46142</v>
      </c>
      <c r="G1302" s="9">
        <f>'Posted Sales Invoice Lines'!L1302</f>
        <v>28</v>
      </c>
      <c r="H1302" s="8">
        <f>'Posted Sales Invoice Lines'!N1302</f>
        <v>50.05</v>
      </c>
      <c r="I1302" s="8">
        <f>'Posted Sales Invoice Lines'!O1302</f>
        <v>1401.4</v>
      </c>
    </row>
    <row r="1303" spans="1:9" x14ac:dyDescent="0.25">
      <c r="A1303" s="2" t="str">
        <f>'Posted Sales Invoice Lines'!A1303</f>
        <v>PS-INV211268</v>
      </c>
      <c r="B1303" s="2" t="str">
        <f>'Posted Sales Invoice Lines'!B1303</f>
        <v>12431</v>
      </c>
      <c r="C1303" s="2" t="str">
        <f>'Posted Sales Invoice Lines'!C1303</f>
        <v>Ben E Keith - New Brockton</v>
      </c>
      <c r="D1303" s="2" t="str">
        <f>'Posted Sales Invoice Lines'!E1303</f>
        <v>F51137</v>
      </c>
      <c r="E1303" s="2" t="str">
        <f>'Posted Sales Invoice Lines'!F1303</f>
        <v>Cs. Texas Toast 3/4" 12lvs</v>
      </c>
      <c r="F1303" s="3">
        <f>'Posted Sales Invoice Lines'!G1303</f>
        <v>46142</v>
      </c>
      <c r="G1303" s="9">
        <f>'Posted Sales Invoice Lines'!L1303</f>
        <v>364</v>
      </c>
      <c r="H1303" s="8">
        <f>'Posted Sales Invoice Lines'!N1303</f>
        <v>36</v>
      </c>
      <c r="I1303" s="8">
        <f>'Posted Sales Invoice Lines'!O1303</f>
        <v>13104</v>
      </c>
    </row>
    <row r="1304" spans="1:9" x14ac:dyDescent="0.25">
      <c r="A1304" s="2" t="str">
        <f>'Posted Sales Invoice Lines'!A1304</f>
        <v>PS-INV211268</v>
      </c>
      <c r="B1304" s="2" t="str">
        <f>'Posted Sales Invoice Lines'!B1304</f>
        <v>12431</v>
      </c>
      <c r="C1304" s="2" t="str">
        <f>'Posted Sales Invoice Lines'!C1304</f>
        <v>Ben E Keith - New Brockton</v>
      </c>
      <c r="D1304" s="2" t="str">
        <f>'Posted Sales Invoice Lines'!E1304</f>
        <v>F53122</v>
      </c>
      <c r="E1304" s="2" t="str">
        <f>'Posted Sales Invoice Lines'!F1304</f>
        <v>Cs. 8" Italian Hinged 12-6pk</v>
      </c>
      <c r="F1304" s="3">
        <f>'Posted Sales Invoice Lines'!G1304</f>
        <v>46142</v>
      </c>
      <c r="G1304" s="9">
        <f>'Posted Sales Invoice Lines'!L1304</f>
        <v>56</v>
      </c>
      <c r="H1304" s="8">
        <f>'Posted Sales Invoice Lines'!N1304</f>
        <v>30</v>
      </c>
      <c r="I1304" s="8">
        <f>'Posted Sales Invoice Lines'!O1304</f>
        <v>1680</v>
      </c>
    </row>
    <row r="1305" spans="1:9" x14ac:dyDescent="0.25">
      <c r="A1305" s="2" t="str">
        <f>'Posted Sales Invoice Lines'!A1305</f>
        <v>PS-INV211268</v>
      </c>
      <c r="B1305" s="2" t="str">
        <f>'Posted Sales Invoice Lines'!B1305</f>
        <v>12431</v>
      </c>
      <c r="C1305" s="2" t="str">
        <f>'Posted Sales Invoice Lines'!C1305</f>
        <v>Ben E Keith - New Brockton</v>
      </c>
      <c r="D1305" s="2" t="str">
        <f>'Posted Sales Invoice Lines'!E1305</f>
        <v>F53087</v>
      </c>
      <c r="E1305" s="2" t="str">
        <f>'Posted Sales Invoice Lines'!F1305</f>
        <v>Cs. 3.5" Challah Bun 8-12 pk</v>
      </c>
      <c r="F1305" s="3">
        <f>'Posted Sales Invoice Lines'!G1305</f>
        <v>46142</v>
      </c>
      <c r="G1305" s="9">
        <f>'Posted Sales Invoice Lines'!L1305</f>
        <v>56</v>
      </c>
      <c r="H1305" s="8">
        <f>'Posted Sales Invoice Lines'!N1305</f>
        <v>40</v>
      </c>
      <c r="I1305" s="8">
        <f>'Posted Sales Invoice Lines'!O1305</f>
        <v>2240</v>
      </c>
    </row>
    <row r="1306" spans="1:9" x14ac:dyDescent="0.25">
      <c r="A1306" s="2" t="str">
        <f>'Posted Sales Invoice Lines'!A1306</f>
        <v>PS-INV211490</v>
      </c>
      <c r="B1306" s="2" t="str">
        <f>'Posted Sales Invoice Lines'!B1306</f>
        <v>10540-03</v>
      </c>
      <c r="C1306" s="2" t="str">
        <f>'Posted Sales Invoice Lines'!C1306</f>
        <v>PFG Louisville TN</v>
      </c>
      <c r="D1306" s="2" t="str">
        <f>'Posted Sales Invoice Lines'!E1306</f>
        <v>F53001</v>
      </c>
      <c r="E1306" s="2" t="str">
        <f>'Posted Sales Invoice Lines'!F1306</f>
        <v>Cs. 4" Brioche Bun 8-12pk</v>
      </c>
      <c r="F1306" s="3">
        <f>'Posted Sales Invoice Lines'!G1306</f>
        <v>46142</v>
      </c>
      <c r="G1306" s="9">
        <f>'Posted Sales Invoice Lines'!L1306</f>
        <v>504</v>
      </c>
      <c r="H1306" s="8">
        <f>'Posted Sales Invoice Lines'!N1306</f>
        <v>42.6</v>
      </c>
      <c r="I1306" s="8">
        <f>'Posted Sales Invoice Lines'!O1306</f>
        <v>21470.400000000001</v>
      </c>
    </row>
    <row r="1307" spans="1:9" x14ac:dyDescent="0.25">
      <c r="A1307" s="2" t="str">
        <f>'Posted Sales Invoice Lines'!A1307</f>
        <v>PS-INV211490</v>
      </c>
      <c r="B1307" s="2" t="str">
        <f>'Posted Sales Invoice Lines'!B1307</f>
        <v>10540-03</v>
      </c>
      <c r="C1307" s="2" t="str">
        <f>'Posted Sales Invoice Lines'!C1307</f>
        <v>PFG Louisville TN</v>
      </c>
      <c r="D1307" s="2" t="str">
        <f>'Posted Sales Invoice Lines'!E1307</f>
        <v>F53180</v>
      </c>
      <c r="E1307" s="2" t="str">
        <f>'Posted Sales Invoice Lines'!F1307</f>
        <v>Cs. Large Pumpernickel Sub 6-6pk</v>
      </c>
      <c r="F1307" s="3">
        <f>'Posted Sales Invoice Lines'!G1307</f>
        <v>46142</v>
      </c>
      <c r="G1307" s="9">
        <f>'Posted Sales Invoice Lines'!L1307</f>
        <v>4</v>
      </c>
      <c r="H1307" s="8">
        <f>'Posted Sales Invoice Lines'!N1307</f>
        <v>35.65</v>
      </c>
      <c r="I1307" s="8">
        <f>'Posted Sales Invoice Lines'!O1307</f>
        <v>142.6</v>
      </c>
    </row>
    <row r="1308" spans="1:9" x14ac:dyDescent="0.25">
      <c r="A1308" s="2" t="str">
        <f>'Posted Sales Invoice Lines'!A1308</f>
        <v>PS-INV211490</v>
      </c>
      <c r="B1308" s="2" t="str">
        <f>'Posted Sales Invoice Lines'!B1308</f>
        <v>10540-03</v>
      </c>
      <c r="C1308" s="2" t="str">
        <f>'Posted Sales Invoice Lines'!C1308</f>
        <v>PFG Louisville TN</v>
      </c>
      <c r="D1308" s="2" t="str">
        <f>'Posted Sales Invoice Lines'!E1308</f>
        <v>F530501</v>
      </c>
      <c r="E1308" s="2" t="str">
        <f>'Posted Sales Invoice Lines'!F1308</f>
        <v>Cs. 4.5" Challah Kaiser 6-12pk</v>
      </c>
      <c r="F1308" s="3">
        <f>'Posted Sales Invoice Lines'!G1308</f>
        <v>46142</v>
      </c>
      <c r="G1308" s="9">
        <f>'Posted Sales Invoice Lines'!L1308</f>
        <v>8</v>
      </c>
      <c r="H1308" s="8">
        <f>'Posted Sales Invoice Lines'!N1308</f>
        <v>38.299999999999997</v>
      </c>
      <c r="I1308" s="8">
        <f>'Posted Sales Invoice Lines'!O1308</f>
        <v>306.39999999999998</v>
      </c>
    </row>
    <row r="1309" spans="1:9" x14ac:dyDescent="0.25">
      <c r="A1309" s="2" t="str">
        <f>'Posted Sales Invoice Lines'!A1309</f>
        <v>PS-INV211490</v>
      </c>
      <c r="B1309" s="2" t="str">
        <f>'Posted Sales Invoice Lines'!B1309</f>
        <v>10540-03</v>
      </c>
      <c r="C1309" s="2" t="str">
        <f>'Posted Sales Invoice Lines'!C1309</f>
        <v>PFG Louisville TN</v>
      </c>
      <c r="D1309" s="2" t="str">
        <f>'Posted Sales Invoice Lines'!E1309</f>
        <v>F51137</v>
      </c>
      <c r="E1309" s="2" t="str">
        <f>'Posted Sales Invoice Lines'!F1309</f>
        <v>Cs. Texas Toast 3/4" 12lvs</v>
      </c>
      <c r="F1309" s="3">
        <f>'Posted Sales Invoice Lines'!G1309</f>
        <v>46142</v>
      </c>
      <c r="G1309" s="9">
        <f>'Posted Sales Invoice Lines'!L1309</f>
        <v>32</v>
      </c>
      <c r="H1309" s="8">
        <f>'Posted Sales Invoice Lines'!N1309</f>
        <v>40.619999999999997</v>
      </c>
      <c r="I1309" s="8">
        <f>'Posted Sales Invoice Lines'!O1309</f>
        <v>1299.8399999999999</v>
      </c>
    </row>
    <row r="1310" spans="1:9" x14ac:dyDescent="0.25">
      <c r="A1310" s="2" t="str">
        <f>'Posted Sales Invoice Lines'!A1310</f>
        <v>PS-INV211490</v>
      </c>
      <c r="B1310" s="2" t="str">
        <f>'Posted Sales Invoice Lines'!B1310</f>
        <v>10540-03</v>
      </c>
      <c r="C1310" s="2" t="str">
        <f>'Posted Sales Invoice Lines'!C1310</f>
        <v>PFG Louisville TN</v>
      </c>
      <c r="D1310" s="2" t="str">
        <f>'Posted Sales Invoice Lines'!E1310</f>
        <v>F53091</v>
      </c>
      <c r="E1310" s="2" t="str">
        <f>'Posted Sales Invoice Lines'!F1310</f>
        <v>Cs. 6" Hoagie Slab Cut</v>
      </c>
      <c r="F1310" s="3">
        <f>'Posted Sales Invoice Lines'!G1310</f>
        <v>46142</v>
      </c>
      <c r="G1310" s="9">
        <f>'Posted Sales Invoice Lines'!L1310</f>
        <v>4</v>
      </c>
      <c r="H1310" s="8">
        <f>'Posted Sales Invoice Lines'!N1310</f>
        <v>35</v>
      </c>
      <c r="I1310" s="8">
        <f>'Posted Sales Invoice Lines'!O1310</f>
        <v>140</v>
      </c>
    </row>
    <row r="1311" spans="1:9" x14ac:dyDescent="0.25">
      <c r="A1311" s="2" t="str">
        <f>'Posted Sales Invoice Lines'!A1311</f>
        <v>PS-INV211490</v>
      </c>
      <c r="B1311" s="2" t="str">
        <f>'Posted Sales Invoice Lines'!B1311</f>
        <v>10540-03</v>
      </c>
      <c r="C1311" s="2" t="str">
        <f>'Posted Sales Invoice Lines'!C1311</f>
        <v>PFG Louisville TN</v>
      </c>
      <c r="D1311" s="2" t="str">
        <f>'Posted Sales Invoice Lines'!E1311</f>
        <v>F53110</v>
      </c>
      <c r="E1311" s="2" t="str">
        <f>'Posted Sales Invoice Lines'!F1311</f>
        <v>Cs. Foot Long Challah Hot Dog Buns 10-6pk</v>
      </c>
      <c r="F1311" s="3">
        <f>'Posted Sales Invoice Lines'!G1311</f>
        <v>46142</v>
      </c>
      <c r="G1311" s="9">
        <f>'Posted Sales Invoice Lines'!L1311</f>
        <v>56</v>
      </c>
      <c r="H1311" s="8">
        <f>'Posted Sales Invoice Lines'!N1311</f>
        <v>39.25</v>
      </c>
      <c r="I1311" s="8">
        <f>'Posted Sales Invoice Lines'!O1311</f>
        <v>2198</v>
      </c>
    </row>
    <row r="1312" spans="1:9" x14ac:dyDescent="0.25">
      <c r="A1312" s="2" t="str">
        <f>'Posted Sales Invoice Lines'!A1312</f>
        <v>PS-INV211490</v>
      </c>
      <c r="B1312" s="2" t="str">
        <f>'Posted Sales Invoice Lines'!B1312</f>
        <v>10540-03</v>
      </c>
      <c r="C1312" s="2" t="str">
        <f>'Posted Sales Invoice Lines'!C1312</f>
        <v>PFG Louisville TN</v>
      </c>
      <c r="D1312" s="2" t="str">
        <f>'Posted Sales Invoice Lines'!E1312</f>
        <v>F53105</v>
      </c>
      <c r="E1312" s="2" t="str">
        <f>'Posted Sales Invoice Lines'!F1312</f>
        <v>Cs. 6" White Hot Dog 16-8pk</v>
      </c>
      <c r="F1312" s="3">
        <f>'Posted Sales Invoice Lines'!G1312</f>
        <v>46142</v>
      </c>
      <c r="G1312" s="9">
        <f>'Posted Sales Invoice Lines'!L1312</f>
        <v>0</v>
      </c>
      <c r="H1312" s="8">
        <f>'Posted Sales Invoice Lines'!N1312</f>
        <v>34.5</v>
      </c>
      <c r="I1312" s="8">
        <f>'Posted Sales Invoice Lines'!O1312</f>
        <v>0</v>
      </c>
    </row>
    <row r="1313" spans="1:9" x14ac:dyDescent="0.25">
      <c r="A1313" s="2" t="str">
        <f>'Posted Sales Invoice Lines'!A1313</f>
        <v>PS-INV211490</v>
      </c>
      <c r="B1313" s="2" t="str">
        <f>'Posted Sales Invoice Lines'!B1313</f>
        <v>10540-03</v>
      </c>
      <c r="C1313" s="2" t="str">
        <f>'Posted Sales Invoice Lines'!C1313</f>
        <v>PFG Louisville TN</v>
      </c>
      <c r="D1313" s="2" t="str">
        <f>'Posted Sales Invoice Lines'!E1313</f>
        <v>F53094</v>
      </c>
      <c r="E1313" s="2" t="str">
        <f>'Posted Sales Invoice Lines'!F1313</f>
        <v>Cs. 6" Italian 12-6pks</v>
      </c>
      <c r="F1313" s="3">
        <f>'Posted Sales Invoice Lines'!G1313</f>
        <v>46142</v>
      </c>
      <c r="G1313" s="9">
        <f>'Posted Sales Invoice Lines'!L1313</f>
        <v>28</v>
      </c>
      <c r="H1313" s="8">
        <f>'Posted Sales Invoice Lines'!N1313</f>
        <v>35</v>
      </c>
      <c r="I1313" s="8">
        <f>'Posted Sales Invoice Lines'!O1313</f>
        <v>980</v>
      </c>
    </row>
    <row r="1314" spans="1:9" x14ac:dyDescent="0.25">
      <c r="A1314" s="2" t="str">
        <f>'Posted Sales Invoice Lines'!A1314</f>
        <v>PS-INV211490</v>
      </c>
      <c r="B1314" s="2" t="str">
        <f>'Posted Sales Invoice Lines'!B1314</f>
        <v>10540-03</v>
      </c>
      <c r="C1314" s="2" t="str">
        <f>'Posted Sales Invoice Lines'!C1314</f>
        <v>PFG Louisville TN</v>
      </c>
      <c r="D1314" s="2" t="str">
        <f>'Posted Sales Invoice Lines'!E1314</f>
        <v>F51030</v>
      </c>
      <c r="E1314" s="2" t="str">
        <f>'Posted Sales Invoice Lines'!F1314</f>
        <v>Cs. Sour Dough Hearth 8lvs</v>
      </c>
      <c r="F1314" s="3">
        <f>'Posted Sales Invoice Lines'!G1314</f>
        <v>46142</v>
      </c>
      <c r="G1314" s="9">
        <f>'Posted Sales Invoice Lines'!L1314</f>
        <v>16</v>
      </c>
      <c r="H1314" s="8">
        <f>'Posted Sales Invoice Lines'!N1314</f>
        <v>43.82</v>
      </c>
      <c r="I1314" s="8">
        <f>'Posted Sales Invoice Lines'!O1314</f>
        <v>701.12</v>
      </c>
    </row>
    <row r="1315" spans="1:9" x14ac:dyDescent="0.25">
      <c r="A1315" s="2" t="str">
        <f>'Posted Sales Invoice Lines'!A1315</f>
        <v>PS-INV211490</v>
      </c>
      <c r="B1315" s="2" t="str">
        <f>'Posted Sales Invoice Lines'!B1315</f>
        <v>10540-03</v>
      </c>
      <c r="C1315" s="2" t="str">
        <f>'Posted Sales Invoice Lines'!C1315</f>
        <v>PFG Louisville TN</v>
      </c>
      <c r="D1315" s="2" t="str">
        <f>'Posted Sales Invoice Lines'!E1315</f>
        <v>F53072</v>
      </c>
      <c r="E1315" s="2" t="str">
        <f>'Posted Sales Invoice Lines'!F1315</f>
        <v>Cs. 5" Challah Bun 8-8pk</v>
      </c>
      <c r="F1315" s="3">
        <f>'Posted Sales Invoice Lines'!G1315</f>
        <v>46142</v>
      </c>
      <c r="G1315" s="9">
        <f>'Posted Sales Invoice Lines'!L1315</f>
        <v>4</v>
      </c>
      <c r="H1315" s="8">
        <f>'Posted Sales Invoice Lines'!N1315</f>
        <v>38.07</v>
      </c>
      <c r="I1315" s="8">
        <f>'Posted Sales Invoice Lines'!O1315</f>
        <v>152.28</v>
      </c>
    </row>
    <row r="1316" spans="1:9" x14ac:dyDescent="0.25">
      <c r="A1316" s="2" t="str">
        <f>'Posted Sales Invoice Lines'!A1316</f>
        <v>PS-INV211490</v>
      </c>
      <c r="B1316" s="2" t="str">
        <f>'Posted Sales Invoice Lines'!B1316</f>
        <v>10540-03</v>
      </c>
      <c r="C1316" s="2" t="str">
        <f>'Posted Sales Invoice Lines'!C1316</f>
        <v>PFG Louisville TN</v>
      </c>
      <c r="D1316" s="2" t="str">
        <f>'Posted Sales Invoice Lines'!E1316</f>
        <v>F53100</v>
      </c>
      <c r="E1316" s="2" t="str">
        <f>'Posted Sales Invoice Lines'!F1316</f>
        <v>Cs. Hot Dog pl/sl 12-8pk</v>
      </c>
      <c r="F1316" s="3">
        <f>'Posted Sales Invoice Lines'!G1316</f>
        <v>46142</v>
      </c>
      <c r="G1316" s="9">
        <f>'Posted Sales Invoice Lines'!L1316</f>
        <v>10</v>
      </c>
      <c r="H1316" s="8">
        <f>'Posted Sales Invoice Lines'!N1316</f>
        <v>36.18</v>
      </c>
      <c r="I1316" s="8">
        <f>'Posted Sales Invoice Lines'!O1316</f>
        <v>361.8</v>
      </c>
    </row>
    <row r="1317" spans="1:9" x14ac:dyDescent="0.25">
      <c r="A1317" s="2" t="str">
        <f>'Posted Sales Invoice Lines'!A1317</f>
        <v>PS-INV211490</v>
      </c>
      <c r="B1317" s="2" t="str">
        <f>'Posted Sales Invoice Lines'!B1317</f>
        <v>10540-03</v>
      </c>
      <c r="C1317" s="2" t="str">
        <f>'Posted Sales Invoice Lines'!C1317</f>
        <v>PFG Louisville TN</v>
      </c>
      <c r="D1317" s="2" t="str">
        <f>'Posted Sales Invoice Lines'!E1317</f>
        <v>F53106</v>
      </c>
      <c r="E1317" s="2" t="str">
        <f>'Posted Sales Invoice Lines'!F1317</f>
        <v>Cs. Large Hot Dog 12-6pk</v>
      </c>
      <c r="F1317" s="3">
        <f>'Posted Sales Invoice Lines'!G1317</f>
        <v>46142</v>
      </c>
      <c r="G1317" s="9">
        <f>'Posted Sales Invoice Lines'!L1317</f>
        <v>4</v>
      </c>
      <c r="H1317" s="8">
        <f>'Posted Sales Invoice Lines'!N1317</f>
        <v>36.07</v>
      </c>
      <c r="I1317" s="8">
        <f>'Posted Sales Invoice Lines'!O1317</f>
        <v>144.28</v>
      </c>
    </row>
    <row r="1318" spans="1:9" x14ac:dyDescent="0.25">
      <c r="A1318" s="2" t="str">
        <f>'Posted Sales Invoice Lines'!A1318</f>
        <v>PS-INV211490</v>
      </c>
      <c r="B1318" s="2" t="str">
        <f>'Posted Sales Invoice Lines'!B1318</f>
        <v>10540-03</v>
      </c>
      <c r="C1318" s="2" t="str">
        <f>'Posted Sales Invoice Lines'!C1318</f>
        <v>PFG Louisville TN</v>
      </c>
      <c r="D1318" s="2" t="str">
        <f>'Posted Sales Invoice Lines'!E1318</f>
        <v>F51034</v>
      </c>
      <c r="E1318" s="2" t="str">
        <f>'Posted Sales Invoice Lines'!F1318</f>
        <v>Cs. Sour Dough Hearth 5/8" 8lvs</v>
      </c>
      <c r="F1318" s="3">
        <f>'Posted Sales Invoice Lines'!G1318</f>
        <v>46142</v>
      </c>
      <c r="G1318" s="9">
        <f>'Posted Sales Invoice Lines'!L1318</f>
        <v>32</v>
      </c>
      <c r="H1318" s="8">
        <f>'Posted Sales Invoice Lines'!N1318</f>
        <v>43.82</v>
      </c>
      <c r="I1318" s="8">
        <f>'Posted Sales Invoice Lines'!O1318</f>
        <v>1402.24</v>
      </c>
    </row>
    <row r="1319" spans="1:9" x14ac:dyDescent="0.25">
      <c r="A1319" s="2" t="str">
        <f>'Posted Sales Invoice Lines'!A1319</f>
        <v>PS-INV211490</v>
      </c>
      <c r="B1319" s="2" t="str">
        <f>'Posted Sales Invoice Lines'!B1319</f>
        <v>10540-03</v>
      </c>
      <c r="C1319" s="2" t="str">
        <f>'Posted Sales Invoice Lines'!C1319</f>
        <v>PFG Louisville TN</v>
      </c>
      <c r="D1319" s="2" t="str">
        <f>'Posted Sales Invoice Lines'!E1319</f>
        <v>F51080</v>
      </c>
      <c r="E1319" s="2" t="str">
        <f>'Posted Sales Invoice Lines'!F1319</f>
        <v>Cs. Wheatberry Hearth 1/2" 8lvs</v>
      </c>
      <c r="F1319" s="3">
        <f>'Posted Sales Invoice Lines'!G1319</f>
        <v>46142</v>
      </c>
      <c r="G1319" s="9">
        <f>'Posted Sales Invoice Lines'!L1319</f>
        <v>16</v>
      </c>
      <c r="H1319" s="8">
        <f>'Posted Sales Invoice Lines'!N1319</f>
        <v>49</v>
      </c>
      <c r="I1319" s="8">
        <f>'Posted Sales Invoice Lines'!O1319</f>
        <v>784</v>
      </c>
    </row>
    <row r="1320" spans="1:9" x14ac:dyDescent="0.25">
      <c r="A1320" s="2" t="str">
        <f>'Posted Sales Invoice Lines'!A1320</f>
        <v>PS-INV211906</v>
      </c>
      <c r="B1320" s="2" t="str">
        <f>'Posted Sales Invoice Lines'!B1320</f>
        <v>12989</v>
      </c>
      <c r="C1320" s="2" t="str">
        <f>'Posted Sales Invoice Lines'!C1320</f>
        <v>Sysco Little Rock Arkansas</v>
      </c>
      <c r="D1320" s="2" t="str">
        <f>'Posted Sales Invoice Lines'!E1320</f>
        <v>F53116</v>
      </c>
      <c r="E1320" s="2" t="str">
        <f>'Posted Sales Invoice Lines'!F1320</f>
        <v>Cs. 7" French Hinged 12</v>
      </c>
      <c r="F1320" s="3">
        <f>'Posted Sales Invoice Lines'!G1320</f>
        <v>46149</v>
      </c>
      <c r="G1320" s="9">
        <f>'Posted Sales Invoice Lines'!L1320</f>
        <v>28</v>
      </c>
      <c r="H1320" s="8">
        <f>'Posted Sales Invoice Lines'!N1320</f>
        <v>35.75</v>
      </c>
      <c r="I1320" s="8">
        <f>'Posted Sales Invoice Lines'!O1320</f>
        <v>1001</v>
      </c>
    </row>
    <row r="1321" spans="1:9" x14ac:dyDescent="0.25">
      <c r="A1321" s="2" t="str">
        <f>'Posted Sales Invoice Lines'!A1321</f>
        <v>PS-INV211906</v>
      </c>
      <c r="B1321" s="2" t="str">
        <f>'Posted Sales Invoice Lines'!B1321</f>
        <v>12989</v>
      </c>
      <c r="C1321" s="2" t="str">
        <f>'Posted Sales Invoice Lines'!C1321</f>
        <v>Sysco Little Rock Arkansas</v>
      </c>
      <c r="D1321" s="2" t="str">
        <f>'Posted Sales Invoice Lines'!E1321</f>
        <v>F53001</v>
      </c>
      <c r="E1321" s="2" t="str">
        <f>'Posted Sales Invoice Lines'!F1321</f>
        <v>Cs. 4" Brioche Bun 8-12pk</v>
      </c>
      <c r="F1321" s="3">
        <f>'Posted Sales Invoice Lines'!G1321</f>
        <v>46149</v>
      </c>
      <c r="G1321" s="9">
        <f>'Posted Sales Invoice Lines'!L1321</f>
        <v>56</v>
      </c>
      <c r="H1321" s="8">
        <f>'Posted Sales Invoice Lines'!N1321</f>
        <v>50.6</v>
      </c>
      <c r="I1321" s="8">
        <f>'Posted Sales Invoice Lines'!O1321</f>
        <v>2833.6</v>
      </c>
    </row>
    <row r="1322" spans="1:9" x14ac:dyDescent="0.25">
      <c r="A1322" s="2" t="str">
        <f>'Posted Sales Invoice Lines'!A1322</f>
        <v>PS-INV211906</v>
      </c>
      <c r="B1322" s="2" t="str">
        <f>'Posted Sales Invoice Lines'!B1322</f>
        <v>12989</v>
      </c>
      <c r="C1322" s="2" t="str">
        <f>'Posted Sales Invoice Lines'!C1322</f>
        <v>Sysco Little Rock Arkansas</v>
      </c>
      <c r="D1322" s="2" t="str">
        <f>'Posted Sales Invoice Lines'!E1322</f>
        <v>F53115</v>
      </c>
      <c r="E1322" s="2" t="str">
        <f>'Posted Sales Invoice Lines'!F1322</f>
        <v>Cs. 7" French Unsliced 12-6pk</v>
      </c>
      <c r="F1322" s="3">
        <f>'Posted Sales Invoice Lines'!G1322</f>
        <v>46149</v>
      </c>
      <c r="G1322" s="9">
        <f>'Posted Sales Invoice Lines'!L1322</f>
        <v>196</v>
      </c>
      <c r="H1322" s="8">
        <f>'Posted Sales Invoice Lines'!N1322</f>
        <v>35</v>
      </c>
      <c r="I1322" s="8">
        <f>'Posted Sales Invoice Lines'!O1322</f>
        <v>6860</v>
      </c>
    </row>
    <row r="1323" spans="1:9" x14ac:dyDescent="0.25">
      <c r="A1323" s="2" t="str">
        <f>'Posted Sales Invoice Lines'!A1323</f>
        <v>PS-INV212205</v>
      </c>
      <c r="B1323" s="2" t="str">
        <f>'Posted Sales Invoice Lines'!B1323</f>
        <v>10899</v>
      </c>
      <c r="C1323" s="2" t="str">
        <f>'Posted Sales Invoice Lines'!C1323</f>
        <v>Wood Fruitticher Grocery Co.</v>
      </c>
      <c r="D1323" s="2" t="str">
        <f>'Posted Sales Invoice Lines'!E1323</f>
        <v>F53000</v>
      </c>
      <c r="E1323" s="2" t="str">
        <f>'Posted Sales Invoice Lines'!F1323</f>
        <v>Cs. 4" Hamburger Bun 8-12pk</v>
      </c>
      <c r="F1323" s="3">
        <f>'Posted Sales Invoice Lines'!G1323</f>
        <v>46141</v>
      </c>
      <c r="G1323" s="9">
        <f>'Posted Sales Invoice Lines'!L1323</f>
        <v>252</v>
      </c>
      <c r="H1323" s="8">
        <f>'Posted Sales Invoice Lines'!N1323</f>
        <v>28.33</v>
      </c>
      <c r="I1323" s="8">
        <f>'Posted Sales Invoice Lines'!O1323</f>
        <v>7139.16</v>
      </c>
    </row>
    <row r="1324" spans="1:9" x14ac:dyDescent="0.25">
      <c r="A1324" s="2" t="str">
        <f>'Posted Sales Invoice Lines'!A1324</f>
        <v>PS-INV212205</v>
      </c>
      <c r="B1324" s="2" t="str">
        <f>'Posted Sales Invoice Lines'!B1324</f>
        <v>10899</v>
      </c>
      <c r="C1324" s="2" t="str">
        <f>'Posted Sales Invoice Lines'!C1324</f>
        <v>Wood Fruitticher Grocery Co.</v>
      </c>
      <c r="D1324" s="2" t="str">
        <f>'Posted Sales Invoice Lines'!E1324</f>
        <v>F51136</v>
      </c>
      <c r="E1324" s="2" t="str">
        <f>'Posted Sales Invoice Lines'!F1324</f>
        <v>Cs. Texas Toast 1" 12lvs</v>
      </c>
      <c r="F1324" s="3">
        <f>'Posted Sales Invoice Lines'!G1324</f>
        <v>46141</v>
      </c>
      <c r="G1324" s="9">
        <f>'Posted Sales Invoice Lines'!L1324</f>
        <v>84</v>
      </c>
      <c r="H1324" s="8">
        <f>'Posted Sales Invoice Lines'!N1324</f>
        <v>28.49</v>
      </c>
      <c r="I1324" s="8">
        <f>'Posted Sales Invoice Lines'!O1324</f>
        <v>2393.16</v>
      </c>
    </row>
    <row r="1325" spans="1:9" x14ac:dyDescent="0.25">
      <c r="A1325" s="2" t="str">
        <f>'Posted Sales Invoice Lines'!A1325</f>
        <v>PS-INV212205</v>
      </c>
      <c r="B1325" s="2" t="str">
        <f>'Posted Sales Invoice Lines'!B1325</f>
        <v>10899</v>
      </c>
      <c r="C1325" s="2" t="str">
        <f>'Posted Sales Invoice Lines'!C1325</f>
        <v>Wood Fruitticher Grocery Co.</v>
      </c>
      <c r="D1325" s="2" t="str">
        <f>'Posted Sales Invoice Lines'!E1325</f>
        <v>F51130</v>
      </c>
      <c r="E1325" s="2" t="str">
        <f>'Posted Sales Invoice Lines'!F1325</f>
        <v>Cs. Club White 12lvs</v>
      </c>
      <c r="F1325" s="3">
        <f>'Posted Sales Invoice Lines'!G1325</f>
        <v>46141</v>
      </c>
      <c r="G1325" s="9">
        <f>'Posted Sales Invoice Lines'!L1325</f>
        <v>160</v>
      </c>
      <c r="H1325" s="8">
        <f>'Posted Sales Invoice Lines'!N1325</f>
        <v>28.49</v>
      </c>
      <c r="I1325" s="8">
        <f>'Posted Sales Invoice Lines'!O1325</f>
        <v>4558.3999999999996</v>
      </c>
    </row>
    <row r="1326" spans="1:9" x14ac:dyDescent="0.25">
      <c r="A1326" s="2" t="str">
        <f>'Posted Sales Invoice Lines'!A1326</f>
        <v>PS-INV212205</v>
      </c>
      <c r="B1326" s="2" t="str">
        <f>'Posted Sales Invoice Lines'!B1326</f>
        <v>10899</v>
      </c>
      <c r="C1326" s="2" t="str">
        <f>'Posted Sales Invoice Lines'!C1326</f>
        <v>Wood Fruitticher Grocery Co.</v>
      </c>
      <c r="D1326" s="2" t="str">
        <f>'Posted Sales Invoice Lines'!E1326</f>
        <v>F53094</v>
      </c>
      <c r="E1326" s="2" t="str">
        <f>'Posted Sales Invoice Lines'!F1326</f>
        <v>Cs. 6" Italian 12-6pks</v>
      </c>
      <c r="F1326" s="3">
        <f>'Posted Sales Invoice Lines'!G1326</f>
        <v>46141</v>
      </c>
      <c r="G1326" s="9">
        <f>'Posted Sales Invoice Lines'!L1326</f>
        <v>140</v>
      </c>
      <c r="H1326" s="8">
        <f>'Posted Sales Invoice Lines'!N1326</f>
        <v>25.25</v>
      </c>
      <c r="I1326" s="8">
        <f>'Posted Sales Invoice Lines'!O1326</f>
        <v>3535</v>
      </c>
    </row>
    <row r="1327" spans="1:9" x14ac:dyDescent="0.25">
      <c r="A1327" s="2" t="str">
        <f>'Posted Sales Invoice Lines'!A1327</f>
        <v>PS-INV212205</v>
      </c>
      <c r="B1327" s="2" t="str">
        <f>'Posted Sales Invoice Lines'!B1327</f>
        <v>10899</v>
      </c>
      <c r="C1327" s="2" t="str">
        <f>'Posted Sales Invoice Lines'!C1327</f>
        <v>Wood Fruitticher Grocery Co.</v>
      </c>
      <c r="D1327" s="2" t="str">
        <f>'Posted Sales Invoice Lines'!E1327</f>
        <v>F51006</v>
      </c>
      <c r="E1327" s="2" t="str">
        <f>'Posted Sales Invoice Lines'!F1327</f>
        <v>Cs. Rye 3/4" 8lvs</v>
      </c>
      <c r="F1327" s="3">
        <f>'Posted Sales Invoice Lines'!G1327</f>
        <v>46141</v>
      </c>
      <c r="G1327" s="9">
        <f>'Posted Sales Invoice Lines'!L1327</f>
        <v>32</v>
      </c>
      <c r="H1327" s="8">
        <f>'Posted Sales Invoice Lines'!N1327</f>
        <v>36.630000000000003</v>
      </c>
      <c r="I1327" s="8">
        <f>'Posted Sales Invoice Lines'!O1327</f>
        <v>1172.1600000000001</v>
      </c>
    </row>
    <row r="1328" spans="1:9" x14ac:dyDescent="0.25">
      <c r="A1328" s="2" t="str">
        <f>'Posted Sales Invoice Lines'!A1328</f>
        <v>PS-INV212205</v>
      </c>
      <c r="B1328" s="2" t="str">
        <f>'Posted Sales Invoice Lines'!B1328</f>
        <v>10899</v>
      </c>
      <c r="C1328" s="2" t="str">
        <f>'Posted Sales Invoice Lines'!C1328</f>
        <v>Wood Fruitticher Grocery Co.</v>
      </c>
      <c r="D1328" s="2" t="str">
        <f>'Posted Sales Invoice Lines'!E1328</f>
        <v>F51034</v>
      </c>
      <c r="E1328" s="2" t="str">
        <f>'Posted Sales Invoice Lines'!F1328</f>
        <v>Cs. Sour Dough Hearth 5/8" 8lvs</v>
      </c>
      <c r="F1328" s="3">
        <f>'Posted Sales Invoice Lines'!G1328</f>
        <v>46141</v>
      </c>
      <c r="G1328" s="9">
        <f>'Posted Sales Invoice Lines'!L1328</f>
        <v>60</v>
      </c>
      <c r="H1328" s="8">
        <f>'Posted Sales Invoice Lines'!N1328</f>
        <v>37.950000000000003</v>
      </c>
      <c r="I1328" s="8">
        <f>'Posted Sales Invoice Lines'!O1328</f>
        <v>2277</v>
      </c>
    </row>
    <row r="1329" spans="1:9" x14ac:dyDescent="0.25">
      <c r="A1329" s="2" t="str">
        <f>'Posted Sales Invoice Lines'!A1329</f>
        <v>PS-INV212205</v>
      </c>
      <c r="B1329" s="2" t="str">
        <f>'Posted Sales Invoice Lines'!B1329</f>
        <v>10899</v>
      </c>
      <c r="C1329" s="2" t="str">
        <f>'Posted Sales Invoice Lines'!C1329</f>
        <v>Wood Fruitticher Grocery Co.</v>
      </c>
      <c r="D1329" s="2" t="str">
        <f>'Posted Sales Invoice Lines'!E1329</f>
        <v>F53001</v>
      </c>
      <c r="E1329" s="2" t="str">
        <f>'Posted Sales Invoice Lines'!F1329</f>
        <v>Cs. 4" Brioche Bun 8-12pk</v>
      </c>
      <c r="F1329" s="3">
        <f>'Posted Sales Invoice Lines'!G1329</f>
        <v>46141</v>
      </c>
      <c r="G1329" s="9">
        <f>'Posted Sales Invoice Lines'!L1329</f>
        <v>112</v>
      </c>
      <c r="H1329" s="8">
        <f>'Posted Sales Invoice Lines'!N1329</f>
        <v>40.43</v>
      </c>
      <c r="I1329" s="8">
        <f>'Posted Sales Invoice Lines'!O1329</f>
        <v>4528.16</v>
      </c>
    </row>
    <row r="1330" spans="1:9" x14ac:dyDescent="0.25">
      <c r="A1330" s="2" t="str">
        <f>'Posted Sales Invoice Lines'!A1330</f>
        <v>PS-INV212327</v>
      </c>
      <c r="B1330" s="2" t="str">
        <f>'Posted Sales Invoice Lines'!B1330</f>
        <v>13128</v>
      </c>
      <c r="C1330" s="2" t="str">
        <f>'Posted Sales Invoice Lines'!C1330</f>
        <v>Gordon Food Service - Shepherdsville</v>
      </c>
      <c r="D1330" s="2" t="str">
        <f>'Posted Sales Invoice Lines'!E1330</f>
        <v>F53001</v>
      </c>
      <c r="E1330" s="2" t="str">
        <f>'Posted Sales Invoice Lines'!F1330</f>
        <v>Cs. 4" Brioche Bun 8-12pk</v>
      </c>
      <c r="F1330" s="3">
        <f>'Posted Sales Invoice Lines'!G1330</f>
        <v>46146</v>
      </c>
      <c r="G1330" s="9">
        <f>'Posted Sales Invoice Lines'!L1330</f>
        <v>144</v>
      </c>
      <c r="H1330" s="8">
        <f>'Posted Sales Invoice Lines'!N1330</f>
        <v>36.82</v>
      </c>
      <c r="I1330" s="8">
        <f>'Posted Sales Invoice Lines'!O1330</f>
        <v>5302.08</v>
      </c>
    </row>
    <row r="1331" spans="1:9" x14ac:dyDescent="0.25">
      <c r="A1331" s="2" t="str">
        <f>'Posted Sales Invoice Lines'!A1331</f>
        <v>PS-INV212327</v>
      </c>
      <c r="B1331" s="2" t="str">
        <f>'Posted Sales Invoice Lines'!B1331</f>
        <v>13128</v>
      </c>
      <c r="C1331" s="2" t="str">
        <f>'Posted Sales Invoice Lines'!C1331</f>
        <v>Gordon Food Service - Shepherdsville</v>
      </c>
      <c r="D1331" s="2" t="str">
        <f>'Posted Sales Invoice Lines'!E1331</f>
        <v>F51114</v>
      </c>
      <c r="E1331" s="2" t="str">
        <f>'Posted Sales Invoice Lines'!F1331</f>
        <v>Cs. Old Fashioned Hearth 5/8" 8lvs</v>
      </c>
      <c r="F1331" s="3">
        <f>'Posted Sales Invoice Lines'!G1331</f>
        <v>46146</v>
      </c>
      <c r="G1331" s="9">
        <f>'Posted Sales Invoice Lines'!L1331</f>
        <v>32</v>
      </c>
      <c r="H1331" s="8">
        <f>'Posted Sales Invoice Lines'!N1331</f>
        <v>39.700000000000003</v>
      </c>
      <c r="I1331" s="8">
        <f>'Posted Sales Invoice Lines'!O1331</f>
        <v>1270.4000000000001</v>
      </c>
    </row>
    <row r="1332" spans="1:9" x14ac:dyDescent="0.25">
      <c r="A1332" s="2" t="str">
        <f>'Posted Sales Invoice Lines'!A1332</f>
        <v>PS-INV212327</v>
      </c>
      <c r="B1332" s="2" t="str">
        <f>'Posted Sales Invoice Lines'!B1332</f>
        <v>13128</v>
      </c>
      <c r="C1332" s="2" t="str">
        <f>'Posted Sales Invoice Lines'!C1332</f>
        <v>Gordon Food Service - Shepherdsville</v>
      </c>
      <c r="D1332" s="2" t="str">
        <f>'Posted Sales Invoice Lines'!E1332</f>
        <v>F56251</v>
      </c>
      <c r="E1332" s="2" t="str">
        <f>'Posted Sales Invoice Lines'!F1332</f>
        <v>Cs. Challah Sliders Sliced 18-12pks</v>
      </c>
      <c r="F1332" s="3">
        <f>'Posted Sales Invoice Lines'!G1332</f>
        <v>46146</v>
      </c>
      <c r="G1332" s="9">
        <f>'Posted Sales Invoice Lines'!L1332</f>
        <v>672</v>
      </c>
      <c r="H1332" s="8">
        <f>'Posted Sales Invoice Lines'!N1332</f>
        <v>39.700000000000003</v>
      </c>
      <c r="I1332" s="8">
        <f>'Posted Sales Invoice Lines'!O1332</f>
        <v>26678.400000000001</v>
      </c>
    </row>
    <row r="1333" spans="1:9" x14ac:dyDescent="0.25">
      <c r="A1333" s="2" t="str">
        <f>'Posted Sales Invoice Lines'!A1333</f>
        <v>PS-INV212675</v>
      </c>
      <c r="B1333" s="2" t="str">
        <f>'Posted Sales Invoice Lines'!B1333</f>
        <v>1-1</v>
      </c>
      <c r="C1333" s="2" t="str">
        <f>'Posted Sales Invoice Lines'!C1333</f>
        <v>Lance Long</v>
      </c>
      <c r="D1333" s="2" t="str">
        <f>'Posted Sales Invoice Lines'!E1333</f>
        <v>F53001</v>
      </c>
      <c r="E1333" s="2" t="str">
        <f>'Posted Sales Invoice Lines'!F1333</f>
        <v>Cs. 4" Brioche Bun 8-12pk</v>
      </c>
      <c r="F1333" s="3">
        <f>'Posted Sales Invoice Lines'!G1333</f>
        <v>46136</v>
      </c>
      <c r="G1333" s="9">
        <f>'Posted Sales Invoice Lines'!L1333</f>
        <v>2</v>
      </c>
      <c r="H1333" s="8">
        <f>'Posted Sales Invoice Lines'!N1333</f>
        <v>0</v>
      </c>
      <c r="I1333" s="8">
        <f>'Posted Sales Invoice Lines'!O1333</f>
        <v>0</v>
      </c>
    </row>
    <row r="1334" spans="1:9" x14ac:dyDescent="0.25">
      <c r="A1334" s="2" t="str">
        <f>'Posted Sales Invoice Lines'!A1334</f>
        <v>PS-INV212675</v>
      </c>
      <c r="B1334" s="2" t="str">
        <f>'Posted Sales Invoice Lines'!B1334</f>
        <v>1-1</v>
      </c>
      <c r="C1334" s="2" t="str">
        <f>'Posted Sales Invoice Lines'!C1334</f>
        <v>Lance Long</v>
      </c>
      <c r="D1334" s="2" t="str">
        <f>'Posted Sales Invoice Lines'!E1334</f>
        <v>F53116</v>
      </c>
      <c r="E1334" s="2" t="str">
        <f>'Posted Sales Invoice Lines'!F1334</f>
        <v>Cs. 7" French Hinged 12</v>
      </c>
      <c r="F1334" s="3">
        <f>'Posted Sales Invoice Lines'!G1334</f>
        <v>46136</v>
      </c>
      <c r="G1334" s="9">
        <f>'Posted Sales Invoice Lines'!L1334</f>
        <v>2</v>
      </c>
      <c r="H1334" s="8">
        <f>'Posted Sales Invoice Lines'!N1334</f>
        <v>0</v>
      </c>
      <c r="I1334" s="8">
        <f>'Posted Sales Invoice Lines'!O1334</f>
        <v>0</v>
      </c>
    </row>
    <row r="1335" spans="1:9" x14ac:dyDescent="0.25">
      <c r="A1335" s="2" t="str">
        <f>'Posted Sales Invoice Lines'!A1335</f>
        <v>PS-INV212675</v>
      </c>
      <c r="B1335" s="2" t="str">
        <f>'Posted Sales Invoice Lines'!B1335</f>
        <v>1-1</v>
      </c>
      <c r="C1335" s="2" t="str">
        <f>'Posted Sales Invoice Lines'!C1335</f>
        <v>Lance Long</v>
      </c>
      <c r="D1335" s="2" t="str">
        <f>'Posted Sales Invoice Lines'!E1335</f>
        <v>F53122</v>
      </c>
      <c r="E1335" s="2" t="str">
        <f>'Posted Sales Invoice Lines'!F1335</f>
        <v>Cs. 8" Italian Hinged 12-6pk</v>
      </c>
      <c r="F1335" s="3">
        <f>'Posted Sales Invoice Lines'!G1335</f>
        <v>46136</v>
      </c>
      <c r="G1335" s="9">
        <f>'Posted Sales Invoice Lines'!L1335</f>
        <v>2</v>
      </c>
      <c r="H1335" s="8">
        <f>'Posted Sales Invoice Lines'!N1335</f>
        <v>0</v>
      </c>
      <c r="I1335" s="8">
        <f>'Posted Sales Invoice Lines'!O1335</f>
        <v>0</v>
      </c>
    </row>
    <row r="1336" spans="1:9" x14ac:dyDescent="0.25">
      <c r="A1336" s="2" t="str">
        <f>'Posted Sales Invoice Lines'!A1336</f>
        <v>PS-INV212693</v>
      </c>
      <c r="B1336" s="2" t="str">
        <f>'Posted Sales Invoice Lines'!B1336</f>
        <v>10511</v>
      </c>
      <c r="C1336" s="2" t="str">
        <f>'Posted Sales Invoice Lines'!C1336</f>
        <v>Sysco Nashville, LLC</v>
      </c>
      <c r="D1336" s="2" t="str">
        <f>'Posted Sales Invoice Lines'!E1336</f>
        <v>F53072</v>
      </c>
      <c r="E1336" s="2" t="str">
        <f>'Posted Sales Invoice Lines'!F1336</f>
        <v>Cs. 5" Challah Bun 8-8pk</v>
      </c>
      <c r="F1336" s="3">
        <f>'Posted Sales Invoice Lines'!G1336</f>
        <v>46147</v>
      </c>
      <c r="G1336" s="9">
        <f>'Posted Sales Invoice Lines'!L1336</f>
        <v>16</v>
      </c>
      <c r="H1336" s="8">
        <f>'Posted Sales Invoice Lines'!N1336</f>
        <v>37.049999999999997</v>
      </c>
      <c r="I1336" s="8">
        <f>'Posted Sales Invoice Lines'!O1336</f>
        <v>592.79999999999995</v>
      </c>
    </row>
    <row r="1337" spans="1:9" x14ac:dyDescent="0.25">
      <c r="A1337" s="2" t="str">
        <f>'Posted Sales Invoice Lines'!A1337</f>
        <v>PS-INV212693</v>
      </c>
      <c r="B1337" s="2" t="str">
        <f>'Posted Sales Invoice Lines'!B1337</f>
        <v>10511</v>
      </c>
      <c r="C1337" s="2" t="str">
        <f>'Posted Sales Invoice Lines'!C1337</f>
        <v>Sysco Nashville, LLC</v>
      </c>
      <c r="D1337" s="2" t="str">
        <f>'Posted Sales Invoice Lines'!E1337</f>
        <v>F51200</v>
      </c>
      <c r="E1337" s="2" t="str">
        <f>'Posted Sales Invoice Lines'!F1337</f>
        <v>Cs. Jalapeno Corn Hearth 5/8" 8lvs</v>
      </c>
      <c r="F1337" s="3">
        <f>'Posted Sales Invoice Lines'!G1337</f>
        <v>46147</v>
      </c>
      <c r="G1337" s="9">
        <f>'Posted Sales Invoice Lines'!L1337</f>
        <v>32</v>
      </c>
      <c r="H1337" s="8">
        <f>'Posted Sales Invoice Lines'!N1337</f>
        <v>60.07</v>
      </c>
      <c r="I1337" s="8">
        <f>'Posted Sales Invoice Lines'!O1337</f>
        <v>1922.24</v>
      </c>
    </row>
    <row r="1338" spans="1:9" x14ac:dyDescent="0.25">
      <c r="A1338" s="2" t="str">
        <f>'Posted Sales Invoice Lines'!A1338</f>
        <v>PS-INV212693</v>
      </c>
      <c r="B1338" s="2" t="str">
        <f>'Posted Sales Invoice Lines'!B1338</f>
        <v>10511</v>
      </c>
      <c r="C1338" s="2" t="str">
        <f>'Posted Sales Invoice Lines'!C1338</f>
        <v>Sysco Nashville, LLC</v>
      </c>
      <c r="D1338" s="2" t="str">
        <f>'Posted Sales Invoice Lines'!E1338</f>
        <v>F53001</v>
      </c>
      <c r="E1338" s="2" t="str">
        <f>'Posted Sales Invoice Lines'!F1338</f>
        <v>Cs. 4" Brioche Bun 8-12pk</v>
      </c>
      <c r="F1338" s="3">
        <f>'Posted Sales Invoice Lines'!G1338</f>
        <v>46147</v>
      </c>
      <c r="G1338" s="9">
        <f>'Posted Sales Invoice Lines'!L1338</f>
        <v>288</v>
      </c>
      <c r="H1338" s="8">
        <f>'Posted Sales Invoice Lines'!N1338</f>
        <v>46.1</v>
      </c>
      <c r="I1338" s="8">
        <f>'Posted Sales Invoice Lines'!O1338</f>
        <v>13276.8</v>
      </c>
    </row>
    <row r="1339" spans="1:9" x14ac:dyDescent="0.25">
      <c r="A1339" s="2" t="str">
        <f>'Posted Sales Invoice Lines'!A1339</f>
        <v>PS-INV212693</v>
      </c>
      <c r="B1339" s="2" t="str">
        <f>'Posted Sales Invoice Lines'!B1339</f>
        <v>10511</v>
      </c>
      <c r="C1339" s="2" t="str">
        <f>'Posted Sales Invoice Lines'!C1339</f>
        <v>Sysco Nashville, LLC</v>
      </c>
      <c r="D1339" s="2" t="str">
        <f>'Posted Sales Invoice Lines'!E1339</f>
        <v>F53116</v>
      </c>
      <c r="E1339" s="2" t="str">
        <f>'Posted Sales Invoice Lines'!F1339</f>
        <v>Cs. 7" French Hinged 12</v>
      </c>
      <c r="F1339" s="3">
        <f>'Posted Sales Invoice Lines'!G1339</f>
        <v>46147</v>
      </c>
      <c r="G1339" s="9">
        <f>'Posted Sales Invoice Lines'!L1339</f>
        <v>128</v>
      </c>
      <c r="H1339" s="8">
        <f>'Posted Sales Invoice Lines'!N1339</f>
        <v>38</v>
      </c>
      <c r="I1339" s="8">
        <f>'Posted Sales Invoice Lines'!O1339</f>
        <v>4864</v>
      </c>
    </row>
    <row r="1340" spans="1:9" x14ac:dyDescent="0.25">
      <c r="A1340" s="2" t="str">
        <f>'Posted Sales Invoice Lines'!A1340</f>
        <v>PS-INV212693</v>
      </c>
      <c r="B1340" s="2" t="str">
        <f>'Posted Sales Invoice Lines'!B1340</f>
        <v>10511</v>
      </c>
      <c r="C1340" s="2" t="str">
        <f>'Posted Sales Invoice Lines'!C1340</f>
        <v>Sysco Nashville, LLC</v>
      </c>
      <c r="D1340" s="2" t="str">
        <f>'Posted Sales Invoice Lines'!E1340</f>
        <v>F53128</v>
      </c>
      <c r="E1340" s="2" t="str">
        <f>'Posted Sales Invoice Lines'!F1340</f>
        <v>Cs. 8" Philly Unsliced 10-6pk</v>
      </c>
      <c r="F1340" s="3">
        <f>'Posted Sales Invoice Lines'!G1340</f>
        <v>46147</v>
      </c>
      <c r="G1340" s="9">
        <f>'Posted Sales Invoice Lines'!L1340</f>
        <v>112</v>
      </c>
      <c r="H1340" s="8">
        <f>'Posted Sales Invoice Lines'!N1340</f>
        <v>45</v>
      </c>
      <c r="I1340" s="8">
        <f>'Posted Sales Invoice Lines'!O1340</f>
        <v>5040</v>
      </c>
    </row>
    <row r="1341" spans="1:9" x14ac:dyDescent="0.25">
      <c r="A1341" s="2" t="str">
        <f>'Posted Sales Invoice Lines'!A1341</f>
        <v>PS-INV212713</v>
      </c>
      <c r="B1341" s="2" t="str">
        <f>'Posted Sales Invoice Lines'!B1341</f>
        <v>10719-4</v>
      </c>
      <c r="C1341" s="2" t="str">
        <f>'Posted Sales Invoice Lines'!C1341</f>
        <v>US Foods - Columbia/Lexington</v>
      </c>
      <c r="D1341" s="2" t="str">
        <f>'Posted Sales Invoice Lines'!E1341</f>
        <v>F51077</v>
      </c>
      <c r="E1341" s="2" t="str">
        <f>'Posted Sales Invoice Lines'!F1341</f>
        <v>Cs. Oatie Multigrain 5/8" 8lvs</v>
      </c>
      <c r="F1341" s="3">
        <f>'Posted Sales Invoice Lines'!G1341</f>
        <v>46148</v>
      </c>
      <c r="G1341" s="9">
        <f>'Posted Sales Invoice Lines'!L1341</f>
        <v>32</v>
      </c>
      <c r="H1341" s="8">
        <f>'Posted Sales Invoice Lines'!N1341</f>
        <v>56</v>
      </c>
      <c r="I1341" s="8">
        <f>'Posted Sales Invoice Lines'!O1341</f>
        <v>1792</v>
      </c>
    </row>
    <row r="1342" spans="1:9" x14ac:dyDescent="0.25">
      <c r="A1342" s="2" t="str">
        <f>'Posted Sales Invoice Lines'!A1342</f>
        <v>PS-INV212713</v>
      </c>
      <c r="B1342" s="2" t="str">
        <f>'Posted Sales Invoice Lines'!B1342</f>
        <v>10719-4</v>
      </c>
      <c r="C1342" s="2" t="str">
        <f>'Posted Sales Invoice Lines'!C1342</f>
        <v>US Foods - Columbia/Lexington</v>
      </c>
      <c r="D1342" s="2" t="str">
        <f>'Posted Sales Invoice Lines'!E1342</f>
        <v>F530041</v>
      </c>
      <c r="E1342" s="2" t="str">
        <f>'Posted Sales Invoice Lines'!F1342</f>
        <v>Cs. 4" S&amp;P Brioche Bun 8-12pk</v>
      </c>
      <c r="F1342" s="3">
        <f>'Posted Sales Invoice Lines'!G1342</f>
        <v>46148</v>
      </c>
      <c r="G1342" s="9">
        <f>'Posted Sales Invoice Lines'!L1342</f>
        <v>48</v>
      </c>
      <c r="H1342" s="8">
        <f>'Posted Sales Invoice Lines'!N1342</f>
        <v>46</v>
      </c>
      <c r="I1342" s="8">
        <f>'Posted Sales Invoice Lines'!O1342</f>
        <v>2208</v>
      </c>
    </row>
    <row r="1343" spans="1:9" x14ac:dyDescent="0.25">
      <c r="A1343" s="2" t="str">
        <f>'Posted Sales Invoice Lines'!A1343</f>
        <v>PS-INV212713</v>
      </c>
      <c r="B1343" s="2" t="str">
        <f>'Posted Sales Invoice Lines'!B1343</f>
        <v>10719-4</v>
      </c>
      <c r="C1343" s="2" t="str">
        <f>'Posted Sales Invoice Lines'!C1343</f>
        <v>US Foods - Columbia/Lexington</v>
      </c>
      <c r="D1343" s="2" t="str">
        <f>'Posted Sales Invoice Lines'!E1343</f>
        <v>F51044</v>
      </c>
      <c r="E1343" s="2" t="str">
        <f>'Posted Sales Invoice Lines'!F1343</f>
        <v>Cs. Vienna 5/8" 8lvs</v>
      </c>
      <c r="F1343" s="3">
        <f>'Posted Sales Invoice Lines'!G1343</f>
        <v>46148</v>
      </c>
      <c r="G1343" s="9">
        <f>'Posted Sales Invoice Lines'!L1343</f>
        <v>32</v>
      </c>
      <c r="H1343" s="8">
        <f>'Posted Sales Invoice Lines'!N1343</f>
        <v>40</v>
      </c>
      <c r="I1343" s="8">
        <f>'Posted Sales Invoice Lines'!O1343</f>
        <v>1280</v>
      </c>
    </row>
    <row r="1344" spans="1:9" x14ac:dyDescent="0.25">
      <c r="A1344" s="2" t="str">
        <f>'Posted Sales Invoice Lines'!A1344</f>
        <v>PS-INV212713</v>
      </c>
      <c r="B1344" s="2" t="str">
        <f>'Posted Sales Invoice Lines'!B1344</f>
        <v>10719-4</v>
      </c>
      <c r="C1344" s="2" t="str">
        <f>'Posted Sales Invoice Lines'!C1344</f>
        <v>US Foods - Columbia/Lexington</v>
      </c>
      <c r="D1344" s="2" t="str">
        <f>'Posted Sales Invoice Lines'!E1344</f>
        <v>F53093</v>
      </c>
      <c r="E1344" s="2" t="str">
        <f>'Posted Sales Invoice Lines'!F1344</f>
        <v>Cs. 6" Philly Unsliced 12-6pk</v>
      </c>
      <c r="F1344" s="3">
        <f>'Posted Sales Invoice Lines'!G1344</f>
        <v>46148</v>
      </c>
      <c r="G1344" s="9">
        <f>'Posted Sales Invoice Lines'!L1344</f>
        <v>4</v>
      </c>
      <c r="H1344" s="8">
        <f>'Posted Sales Invoice Lines'!N1344</f>
        <v>47.2</v>
      </c>
      <c r="I1344" s="8">
        <f>'Posted Sales Invoice Lines'!O1344</f>
        <v>188.8</v>
      </c>
    </row>
    <row r="1345" spans="1:9" x14ac:dyDescent="0.25">
      <c r="A1345" s="2" t="str">
        <f>'Posted Sales Invoice Lines'!A1345</f>
        <v>PS-INV212713</v>
      </c>
      <c r="B1345" s="2" t="str">
        <f>'Posted Sales Invoice Lines'!B1345</f>
        <v>10719-4</v>
      </c>
      <c r="C1345" s="2" t="str">
        <f>'Posted Sales Invoice Lines'!C1345</f>
        <v>US Foods - Columbia/Lexington</v>
      </c>
      <c r="D1345" s="2" t="str">
        <f>'Posted Sales Invoice Lines'!E1345</f>
        <v>F51026</v>
      </c>
      <c r="E1345" s="2" t="str">
        <f>'Posted Sales Invoice Lines'!F1345</f>
        <v>Cs. Marble Rye 3/4" 8lvs</v>
      </c>
      <c r="F1345" s="3">
        <f>'Posted Sales Invoice Lines'!G1345</f>
        <v>46148</v>
      </c>
      <c r="G1345" s="9">
        <f>'Posted Sales Invoice Lines'!L1345</f>
        <v>96</v>
      </c>
      <c r="H1345" s="8">
        <f>'Posted Sales Invoice Lines'!N1345</f>
        <v>52</v>
      </c>
      <c r="I1345" s="8">
        <f>'Posted Sales Invoice Lines'!O1345</f>
        <v>4992</v>
      </c>
    </row>
    <row r="1346" spans="1:9" x14ac:dyDescent="0.25">
      <c r="A1346" s="2" t="str">
        <f>'Posted Sales Invoice Lines'!A1346</f>
        <v>PS-INV212713</v>
      </c>
      <c r="B1346" s="2" t="str">
        <f>'Posted Sales Invoice Lines'!B1346</f>
        <v>10719-4</v>
      </c>
      <c r="C1346" s="2" t="str">
        <f>'Posted Sales Invoice Lines'!C1346</f>
        <v>US Foods - Columbia/Lexington</v>
      </c>
      <c r="D1346" s="2" t="str">
        <f>'Posted Sales Invoice Lines'!E1346</f>
        <v>F53122</v>
      </c>
      <c r="E1346" s="2" t="str">
        <f>'Posted Sales Invoice Lines'!F1346</f>
        <v>Cs. 8" Italian Hinged 12-6pk</v>
      </c>
      <c r="F1346" s="3">
        <f>'Posted Sales Invoice Lines'!G1346</f>
        <v>46148</v>
      </c>
      <c r="G1346" s="9">
        <f>'Posted Sales Invoice Lines'!L1346</f>
        <v>1</v>
      </c>
      <c r="H1346" s="8">
        <f>'Posted Sales Invoice Lines'!N1346</f>
        <v>38.9</v>
      </c>
      <c r="I1346" s="8">
        <f>'Posted Sales Invoice Lines'!O1346</f>
        <v>38.9</v>
      </c>
    </row>
    <row r="1347" spans="1:9" x14ac:dyDescent="0.25">
      <c r="A1347" s="2" t="str">
        <f>'Posted Sales Invoice Lines'!A1347</f>
        <v>PS-INV212713</v>
      </c>
      <c r="B1347" s="2" t="str">
        <f>'Posted Sales Invoice Lines'!B1347</f>
        <v>10719-4</v>
      </c>
      <c r="C1347" s="2" t="str">
        <f>'Posted Sales Invoice Lines'!C1347</f>
        <v>US Foods - Columbia/Lexington</v>
      </c>
      <c r="D1347" s="2" t="str">
        <f>'Posted Sales Invoice Lines'!E1347</f>
        <v>F53310</v>
      </c>
      <c r="E1347" s="2" t="str">
        <f>'Posted Sales Invoice Lines'!F1347</f>
        <v>Cs. LobsterRoll 12-12</v>
      </c>
      <c r="F1347" s="3">
        <f>'Posted Sales Invoice Lines'!G1347</f>
        <v>46148</v>
      </c>
      <c r="G1347" s="9">
        <f>'Posted Sales Invoice Lines'!L1347</f>
        <v>8</v>
      </c>
      <c r="H1347" s="8">
        <f>'Posted Sales Invoice Lines'!N1347</f>
        <v>48.06</v>
      </c>
      <c r="I1347" s="8">
        <f>'Posted Sales Invoice Lines'!O1347</f>
        <v>384.48</v>
      </c>
    </row>
    <row r="1348" spans="1:9" x14ac:dyDescent="0.25">
      <c r="A1348" s="2" t="str">
        <f>'Posted Sales Invoice Lines'!A1348</f>
        <v>PS-INV212713</v>
      </c>
      <c r="B1348" s="2" t="str">
        <f>'Posted Sales Invoice Lines'!B1348</f>
        <v>10719-4</v>
      </c>
      <c r="C1348" s="2" t="str">
        <f>'Posted Sales Invoice Lines'!C1348</f>
        <v>US Foods - Columbia/Lexington</v>
      </c>
      <c r="D1348" s="2" t="str">
        <f>'Posted Sales Invoice Lines'!E1348</f>
        <v>F51024</v>
      </c>
      <c r="E1348" s="2" t="str">
        <f>'Posted Sales Invoice Lines'!F1348</f>
        <v>Cs. Marble Rye 5/8" 8lvs</v>
      </c>
      <c r="F1348" s="3">
        <f>'Posted Sales Invoice Lines'!G1348</f>
        <v>46148</v>
      </c>
      <c r="G1348" s="9">
        <f>'Posted Sales Invoice Lines'!L1348</f>
        <v>1</v>
      </c>
      <c r="H1348" s="8">
        <f>'Posted Sales Invoice Lines'!N1348</f>
        <v>54</v>
      </c>
      <c r="I1348" s="8">
        <f>'Posted Sales Invoice Lines'!O1348</f>
        <v>54</v>
      </c>
    </row>
    <row r="1349" spans="1:9" x14ac:dyDescent="0.25">
      <c r="A1349" s="2" t="str">
        <f>'Posted Sales Invoice Lines'!A1349</f>
        <v>PS-INV212713</v>
      </c>
      <c r="B1349" s="2" t="str">
        <f>'Posted Sales Invoice Lines'!B1349</f>
        <v>10719-4</v>
      </c>
      <c r="C1349" s="2" t="str">
        <f>'Posted Sales Invoice Lines'!C1349</f>
        <v>US Foods - Columbia/Lexington</v>
      </c>
      <c r="D1349" s="2" t="str">
        <f>'Posted Sales Invoice Lines'!E1349</f>
        <v>F53003</v>
      </c>
      <c r="E1349" s="2" t="str">
        <f>'Posted Sales Invoice Lines'!F1349</f>
        <v>Cs. 4" Unseeded Challah Bun 8-12pk</v>
      </c>
      <c r="F1349" s="3">
        <f>'Posted Sales Invoice Lines'!G1349</f>
        <v>46148</v>
      </c>
      <c r="G1349" s="9">
        <f>'Posted Sales Invoice Lines'!L1349</f>
        <v>4</v>
      </c>
      <c r="H1349" s="8">
        <f>'Posted Sales Invoice Lines'!N1349</f>
        <v>38.08</v>
      </c>
      <c r="I1349" s="8">
        <f>'Posted Sales Invoice Lines'!O1349</f>
        <v>152.32</v>
      </c>
    </row>
    <row r="1350" spans="1:9" x14ac:dyDescent="0.25">
      <c r="A1350" s="2" t="str">
        <f>'Posted Sales Invoice Lines'!A1350</f>
        <v>PS-INV212713</v>
      </c>
      <c r="B1350" s="2" t="str">
        <f>'Posted Sales Invoice Lines'!B1350</f>
        <v>10719-4</v>
      </c>
      <c r="C1350" s="2" t="str">
        <f>'Posted Sales Invoice Lines'!C1350</f>
        <v>US Foods - Columbia/Lexington</v>
      </c>
      <c r="D1350" s="2" t="str">
        <f>'Posted Sales Invoice Lines'!E1350</f>
        <v>F51020</v>
      </c>
      <c r="E1350" s="2" t="str">
        <f>'Posted Sales Invoice Lines'!F1350</f>
        <v>Cs. Marble Rye 1/2" 8lvs</v>
      </c>
      <c r="F1350" s="3">
        <f>'Posted Sales Invoice Lines'!G1350</f>
        <v>46148</v>
      </c>
      <c r="G1350" s="9">
        <f>'Posted Sales Invoice Lines'!L1350</f>
        <v>24</v>
      </c>
      <c r="H1350" s="8">
        <f>'Posted Sales Invoice Lines'!N1350</f>
        <v>52</v>
      </c>
      <c r="I1350" s="8">
        <f>'Posted Sales Invoice Lines'!O1350</f>
        <v>1248</v>
      </c>
    </row>
    <row r="1351" spans="1:9" x14ac:dyDescent="0.25">
      <c r="A1351" s="2" t="str">
        <f>'Posted Sales Invoice Lines'!A1351</f>
        <v>PS-INV212713</v>
      </c>
      <c r="B1351" s="2" t="str">
        <f>'Posted Sales Invoice Lines'!B1351</f>
        <v>10719-4</v>
      </c>
      <c r="C1351" s="2" t="str">
        <f>'Posted Sales Invoice Lines'!C1351</f>
        <v>US Foods - Columbia/Lexington</v>
      </c>
      <c r="D1351" s="2" t="str">
        <f>'Posted Sales Invoice Lines'!E1351</f>
        <v>F53024</v>
      </c>
      <c r="E1351" s="2" t="str">
        <f>'Posted Sales Invoice Lines'!F1351</f>
        <v>Cs. 4" Challah Kaiser 8-12pk</v>
      </c>
      <c r="F1351" s="3">
        <f>'Posted Sales Invoice Lines'!G1351</f>
        <v>46148</v>
      </c>
      <c r="G1351" s="9">
        <f>'Posted Sales Invoice Lines'!L1351</f>
        <v>36</v>
      </c>
      <c r="H1351" s="8">
        <f>'Posted Sales Invoice Lines'!N1351</f>
        <v>38.25</v>
      </c>
      <c r="I1351" s="8">
        <f>'Posted Sales Invoice Lines'!O1351</f>
        <v>1377</v>
      </c>
    </row>
    <row r="1352" spans="1:9" x14ac:dyDescent="0.25">
      <c r="A1352" s="2" t="str">
        <f>'Posted Sales Invoice Lines'!A1352</f>
        <v>PS-INV212804</v>
      </c>
      <c r="B1352" s="2" t="str">
        <f>'Posted Sales Invoice Lines'!B1352</f>
        <v>10138-5</v>
      </c>
      <c r="C1352" s="2" t="str">
        <f>'Posted Sales Invoice Lines'!C1352</f>
        <v>Costco PriceSmart Export</v>
      </c>
      <c r="D1352" s="2" t="str">
        <f>'Posted Sales Invoice Lines'!E1352</f>
        <v>F53106</v>
      </c>
      <c r="E1352" s="2" t="str">
        <f>'Posted Sales Invoice Lines'!F1352</f>
        <v>Cs. Large Hot Dog 12-6pk</v>
      </c>
      <c r="F1352" s="3">
        <f>'Posted Sales Invoice Lines'!G1352</f>
        <v>46154</v>
      </c>
      <c r="G1352" s="9">
        <f>'Posted Sales Invoice Lines'!L1352</f>
        <v>960</v>
      </c>
      <c r="H1352" s="8">
        <f>'Posted Sales Invoice Lines'!N1352</f>
        <v>26.25</v>
      </c>
      <c r="I1352" s="8">
        <f>'Posted Sales Invoice Lines'!O1352</f>
        <v>25200</v>
      </c>
    </row>
    <row r="1353" spans="1:9" x14ac:dyDescent="0.25">
      <c r="A1353" s="2" t="str">
        <f>'Posted Sales Invoice Lines'!A1353</f>
        <v>PS-INV213718</v>
      </c>
      <c r="B1353" s="2" t="str">
        <f>'Posted Sales Invoice Lines'!B1353</f>
        <v>10540-03</v>
      </c>
      <c r="C1353" s="2" t="str">
        <f>'Posted Sales Invoice Lines'!C1353</f>
        <v>PFG Louisville TN</v>
      </c>
      <c r="D1353" s="2" t="str">
        <f>'Posted Sales Invoice Lines'!E1353</f>
        <v>F53001</v>
      </c>
      <c r="E1353" s="2" t="str">
        <f>'Posted Sales Invoice Lines'!F1353</f>
        <v>Cs. 4" Brioche Bun 8-12pk</v>
      </c>
      <c r="F1353" s="3">
        <f>'Posted Sales Invoice Lines'!G1353</f>
        <v>46149</v>
      </c>
      <c r="G1353" s="9">
        <f>'Posted Sales Invoice Lines'!L1353</f>
        <v>196</v>
      </c>
      <c r="H1353" s="8">
        <f>'Posted Sales Invoice Lines'!N1353</f>
        <v>42.6</v>
      </c>
      <c r="I1353" s="8">
        <f>'Posted Sales Invoice Lines'!O1353</f>
        <v>8349.6</v>
      </c>
    </row>
    <row r="1354" spans="1:9" x14ac:dyDescent="0.25">
      <c r="A1354" s="2" t="str">
        <f>'Posted Sales Invoice Lines'!A1354</f>
        <v>PS-INV213718</v>
      </c>
      <c r="B1354" s="2" t="str">
        <f>'Posted Sales Invoice Lines'!B1354</f>
        <v>10540-03</v>
      </c>
      <c r="C1354" s="2" t="str">
        <f>'Posted Sales Invoice Lines'!C1354</f>
        <v>PFG Louisville TN</v>
      </c>
      <c r="D1354" s="2" t="str">
        <f>'Posted Sales Invoice Lines'!E1354</f>
        <v>F53180</v>
      </c>
      <c r="E1354" s="2" t="str">
        <f>'Posted Sales Invoice Lines'!F1354</f>
        <v>Cs. Large Pumpernickel Sub 6-6pk</v>
      </c>
      <c r="F1354" s="3">
        <f>'Posted Sales Invoice Lines'!G1354</f>
        <v>46149</v>
      </c>
      <c r="G1354" s="9">
        <f>'Posted Sales Invoice Lines'!L1354</f>
        <v>0</v>
      </c>
      <c r="H1354" s="8">
        <f>'Posted Sales Invoice Lines'!N1354</f>
        <v>35.65</v>
      </c>
      <c r="I1354" s="8">
        <f>'Posted Sales Invoice Lines'!O1354</f>
        <v>0</v>
      </c>
    </row>
    <row r="1355" spans="1:9" x14ac:dyDescent="0.25">
      <c r="A1355" s="2" t="str">
        <f>'Posted Sales Invoice Lines'!A1355</f>
        <v>PS-INV213718</v>
      </c>
      <c r="B1355" s="2" t="str">
        <f>'Posted Sales Invoice Lines'!B1355</f>
        <v>10540-03</v>
      </c>
      <c r="C1355" s="2" t="str">
        <f>'Posted Sales Invoice Lines'!C1355</f>
        <v>PFG Louisville TN</v>
      </c>
      <c r="D1355" s="2" t="str">
        <f>'Posted Sales Invoice Lines'!E1355</f>
        <v>F530501</v>
      </c>
      <c r="E1355" s="2" t="str">
        <f>'Posted Sales Invoice Lines'!F1355</f>
        <v>Cs. 4.5" Challah Kaiser 6-12pk</v>
      </c>
      <c r="F1355" s="3">
        <f>'Posted Sales Invoice Lines'!G1355</f>
        <v>46149</v>
      </c>
      <c r="G1355" s="9">
        <f>'Posted Sales Invoice Lines'!L1355</f>
        <v>28</v>
      </c>
      <c r="H1355" s="8">
        <f>'Posted Sales Invoice Lines'!N1355</f>
        <v>38.299999999999997</v>
      </c>
      <c r="I1355" s="8">
        <f>'Posted Sales Invoice Lines'!O1355</f>
        <v>1072.4000000000001</v>
      </c>
    </row>
    <row r="1356" spans="1:9" x14ac:dyDescent="0.25">
      <c r="A1356" s="2" t="str">
        <f>'Posted Sales Invoice Lines'!A1356</f>
        <v>PS-INV213718</v>
      </c>
      <c r="B1356" s="2" t="str">
        <f>'Posted Sales Invoice Lines'!B1356</f>
        <v>10540-03</v>
      </c>
      <c r="C1356" s="2" t="str">
        <f>'Posted Sales Invoice Lines'!C1356</f>
        <v>PFG Louisville TN</v>
      </c>
      <c r="D1356" s="2" t="str">
        <f>'Posted Sales Invoice Lines'!E1356</f>
        <v>F51137</v>
      </c>
      <c r="E1356" s="2" t="str">
        <f>'Posted Sales Invoice Lines'!F1356</f>
        <v>Cs. Texas Toast 3/4" 12lvs</v>
      </c>
      <c r="F1356" s="3">
        <f>'Posted Sales Invoice Lines'!G1356</f>
        <v>46149</v>
      </c>
      <c r="G1356" s="9">
        <f>'Posted Sales Invoice Lines'!L1356</f>
        <v>0</v>
      </c>
      <c r="H1356" s="8">
        <f>'Posted Sales Invoice Lines'!N1356</f>
        <v>40.619999999999997</v>
      </c>
      <c r="I1356" s="8">
        <f>'Posted Sales Invoice Lines'!O1356</f>
        <v>0</v>
      </c>
    </row>
    <row r="1357" spans="1:9" x14ac:dyDescent="0.25">
      <c r="A1357" s="2" t="str">
        <f>'Posted Sales Invoice Lines'!A1357</f>
        <v>PS-INV213718</v>
      </c>
      <c r="B1357" s="2" t="str">
        <f>'Posted Sales Invoice Lines'!B1357</f>
        <v>10540-03</v>
      </c>
      <c r="C1357" s="2" t="str">
        <f>'Posted Sales Invoice Lines'!C1357</f>
        <v>PFG Louisville TN</v>
      </c>
      <c r="D1357" s="2" t="str">
        <f>'Posted Sales Invoice Lines'!E1357</f>
        <v>F53091</v>
      </c>
      <c r="E1357" s="2" t="str">
        <f>'Posted Sales Invoice Lines'!F1357</f>
        <v>Cs. 6" Hoagie Slab Cut</v>
      </c>
      <c r="F1357" s="3">
        <f>'Posted Sales Invoice Lines'!G1357</f>
        <v>46149</v>
      </c>
      <c r="G1357" s="9">
        <f>'Posted Sales Invoice Lines'!L1357</f>
        <v>12</v>
      </c>
      <c r="H1357" s="8">
        <f>'Posted Sales Invoice Lines'!N1357</f>
        <v>35</v>
      </c>
      <c r="I1357" s="8">
        <f>'Posted Sales Invoice Lines'!O1357</f>
        <v>420</v>
      </c>
    </row>
    <row r="1358" spans="1:9" x14ac:dyDescent="0.25">
      <c r="A1358" s="2" t="str">
        <f>'Posted Sales Invoice Lines'!A1358</f>
        <v>PS-INV213718</v>
      </c>
      <c r="B1358" s="2" t="str">
        <f>'Posted Sales Invoice Lines'!B1358</f>
        <v>10540-03</v>
      </c>
      <c r="C1358" s="2" t="str">
        <f>'Posted Sales Invoice Lines'!C1358</f>
        <v>PFG Louisville TN</v>
      </c>
      <c r="D1358" s="2" t="str">
        <f>'Posted Sales Invoice Lines'!E1358</f>
        <v>F53110</v>
      </c>
      <c r="E1358" s="2" t="str">
        <f>'Posted Sales Invoice Lines'!F1358</f>
        <v>Cs. Foot Long Challah Hot Dog Buns 10-6pk</v>
      </c>
      <c r="F1358" s="3">
        <f>'Posted Sales Invoice Lines'!G1358</f>
        <v>46149</v>
      </c>
      <c r="G1358" s="9">
        <f>'Posted Sales Invoice Lines'!L1358</f>
        <v>0</v>
      </c>
      <c r="H1358" s="8">
        <f>'Posted Sales Invoice Lines'!N1358</f>
        <v>39.25</v>
      </c>
      <c r="I1358" s="8">
        <f>'Posted Sales Invoice Lines'!O1358</f>
        <v>0</v>
      </c>
    </row>
    <row r="1359" spans="1:9" x14ac:dyDescent="0.25">
      <c r="A1359" s="2" t="str">
        <f>'Posted Sales Invoice Lines'!A1359</f>
        <v>PS-INV213718</v>
      </c>
      <c r="B1359" s="2" t="str">
        <f>'Posted Sales Invoice Lines'!B1359</f>
        <v>10540-03</v>
      </c>
      <c r="C1359" s="2" t="str">
        <f>'Posted Sales Invoice Lines'!C1359</f>
        <v>PFG Louisville TN</v>
      </c>
      <c r="D1359" s="2" t="str">
        <f>'Posted Sales Invoice Lines'!E1359</f>
        <v>F530421</v>
      </c>
      <c r="E1359" s="2" t="str">
        <f>'Posted Sales Invoice Lines'!F1359</f>
        <v>Cs. 4.5" Challah Buns 6-12pk.</v>
      </c>
      <c r="F1359" s="3">
        <f>'Posted Sales Invoice Lines'!G1359</f>
        <v>46149</v>
      </c>
      <c r="G1359" s="9">
        <f>'Posted Sales Invoice Lines'!L1359</f>
        <v>24</v>
      </c>
      <c r="H1359" s="8">
        <f>'Posted Sales Invoice Lines'!N1359</f>
        <v>38.299999999999997</v>
      </c>
      <c r="I1359" s="8">
        <f>'Posted Sales Invoice Lines'!O1359</f>
        <v>919.2</v>
      </c>
    </row>
    <row r="1360" spans="1:9" x14ac:dyDescent="0.25">
      <c r="A1360" s="2" t="str">
        <f>'Posted Sales Invoice Lines'!A1360</f>
        <v>PS-INV213718</v>
      </c>
      <c r="B1360" s="2" t="str">
        <f>'Posted Sales Invoice Lines'!B1360</f>
        <v>10540-03</v>
      </c>
      <c r="C1360" s="2" t="str">
        <f>'Posted Sales Invoice Lines'!C1360</f>
        <v>PFG Louisville TN</v>
      </c>
      <c r="D1360" s="2" t="str">
        <f>'Posted Sales Invoice Lines'!E1360</f>
        <v>F53105</v>
      </c>
      <c r="E1360" s="2" t="str">
        <f>'Posted Sales Invoice Lines'!F1360</f>
        <v>Cs. 6" White Hot Dog 16-8pk</v>
      </c>
      <c r="F1360" s="3">
        <f>'Posted Sales Invoice Lines'!G1360</f>
        <v>46149</v>
      </c>
      <c r="G1360" s="9">
        <f>'Posted Sales Invoice Lines'!L1360</f>
        <v>196</v>
      </c>
      <c r="H1360" s="8">
        <f>'Posted Sales Invoice Lines'!N1360</f>
        <v>34.5</v>
      </c>
      <c r="I1360" s="8">
        <f>'Posted Sales Invoice Lines'!O1360</f>
        <v>6762</v>
      </c>
    </row>
    <row r="1361" spans="1:9" x14ac:dyDescent="0.25">
      <c r="A1361" s="2" t="str">
        <f>'Posted Sales Invoice Lines'!A1361</f>
        <v>PS-INV213718</v>
      </c>
      <c r="B1361" s="2" t="str">
        <f>'Posted Sales Invoice Lines'!B1361</f>
        <v>10540-03</v>
      </c>
      <c r="C1361" s="2" t="str">
        <f>'Posted Sales Invoice Lines'!C1361</f>
        <v>PFG Louisville TN</v>
      </c>
      <c r="D1361" s="2" t="str">
        <f>'Posted Sales Invoice Lines'!E1361</f>
        <v>F53094</v>
      </c>
      <c r="E1361" s="2" t="str">
        <f>'Posted Sales Invoice Lines'!F1361</f>
        <v>Cs. 6" Italian 12-6pks</v>
      </c>
      <c r="F1361" s="3">
        <f>'Posted Sales Invoice Lines'!G1361</f>
        <v>46149</v>
      </c>
      <c r="G1361" s="9">
        <f>'Posted Sales Invoice Lines'!L1361</f>
        <v>28</v>
      </c>
      <c r="H1361" s="8">
        <f>'Posted Sales Invoice Lines'!N1361</f>
        <v>35</v>
      </c>
      <c r="I1361" s="8">
        <f>'Posted Sales Invoice Lines'!O1361</f>
        <v>980</v>
      </c>
    </row>
    <row r="1362" spans="1:9" x14ac:dyDescent="0.25">
      <c r="A1362" s="2" t="str">
        <f>'Posted Sales Invoice Lines'!A1362</f>
        <v>PS-INV213718</v>
      </c>
      <c r="B1362" s="2" t="str">
        <f>'Posted Sales Invoice Lines'!B1362</f>
        <v>10540-03</v>
      </c>
      <c r="C1362" s="2" t="str">
        <f>'Posted Sales Invoice Lines'!C1362</f>
        <v>PFG Louisville TN</v>
      </c>
      <c r="D1362" s="2" t="str">
        <f>'Posted Sales Invoice Lines'!E1362</f>
        <v>F51030</v>
      </c>
      <c r="E1362" s="2" t="str">
        <f>'Posted Sales Invoice Lines'!F1362</f>
        <v>Cs. Sour Dough Hearth 8lvs</v>
      </c>
      <c r="F1362" s="3">
        <f>'Posted Sales Invoice Lines'!G1362</f>
        <v>46149</v>
      </c>
      <c r="G1362" s="9">
        <f>'Posted Sales Invoice Lines'!L1362</f>
        <v>28</v>
      </c>
      <c r="H1362" s="8">
        <f>'Posted Sales Invoice Lines'!N1362</f>
        <v>43.82</v>
      </c>
      <c r="I1362" s="8">
        <f>'Posted Sales Invoice Lines'!O1362</f>
        <v>1226.96</v>
      </c>
    </row>
    <row r="1363" spans="1:9" x14ac:dyDescent="0.25">
      <c r="A1363" s="2" t="str">
        <f>'Posted Sales Invoice Lines'!A1363</f>
        <v>PS-INV213718</v>
      </c>
      <c r="B1363" s="2" t="str">
        <f>'Posted Sales Invoice Lines'!B1363</f>
        <v>10540-03</v>
      </c>
      <c r="C1363" s="2" t="str">
        <f>'Posted Sales Invoice Lines'!C1363</f>
        <v>PFG Louisville TN</v>
      </c>
      <c r="D1363" s="2" t="str">
        <f>'Posted Sales Invoice Lines'!E1363</f>
        <v>F53072</v>
      </c>
      <c r="E1363" s="2" t="str">
        <f>'Posted Sales Invoice Lines'!F1363</f>
        <v>Cs. 5" Challah Bun 8-8pk</v>
      </c>
      <c r="F1363" s="3">
        <f>'Posted Sales Invoice Lines'!G1363</f>
        <v>46149</v>
      </c>
      <c r="G1363" s="9">
        <f>'Posted Sales Invoice Lines'!L1363</f>
        <v>20</v>
      </c>
      <c r="H1363" s="8">
        <f>'Posted Sales Invoice Lines'!N1363</f>
        <v>38.07</v>
      </c>
      <c r="I1363" s="8">
        <f>'Posted Sales Invoice Lines'!O1363</f>
        <v>761.4</v>
      </c>
    </row>
    <row r="1364" spans="1:9" x14ac:dyDescent="0.25">
      <c r="A1364" s="2" t="str">
        <f>'Posted Sales Invoice Lines'!A1364</f>
        <v>PS-INV213718</v>
      </c>
      <c r="B1364" s="2" t="str">
        <f>'Posted Sales Invoice Lines'!B1364</f>
        <v>10540-03</v>
      </c>
      <c r="C1364" s="2" t="str">
        <f>'Posted Sales Invoice Lines'!C1364</f>
        <v>PFG Louisville TN</v>
      </c>
      <c r="D1364" s="2" t="str">
        <f>'Posted Sales Invoice Lines'!E1364</f>
        <v>F53100</v>
      </c>
      <c r="E1364" s="2" t="str">
        <f>'Posted Sales Invoice Lines'!F1364</f>
        <v>Cs. Hot Dog pl/sl 12-8pk</v>
      </c>
      <c r="F1364" s="3">
        <f>'Posted Sales Invoice Lines'!G1364</f>
        <v>46149</v>
      </c>
      <c r="G1364" s="9">
        <f>'Posted Sales Invoice Lines'!L1364</f>
        <v>40</v>
      </c>
      <c r="H1364" s="8">
        <f>'Posted Sales Invoice Lines'!N1364</f>
        <v>36.18</v>
      </c>
      <c r="I1364" s="8">
        <f>'Posted Sales Invoice Lines'!O1364</f>
        <v>1447.2</v>
      </c>
    </row>
    <row r="1365" spans="1:9" x14ac:dyDescent="0.25">
      <c r="A1365" s="2" t="str">
        <f>'Posted Sales Invoice Lines'!A1365</f>
        <v>PS-INV213718</v>
      </c>
      <c r="B1365" s="2" t="str">
        <f>'Posted Sales Invoice Lines'!B1365</f>
        <v>10540-03</v>
      </c>
      <c r="C1365" s="2" t="str">
        <f>'Posted Sales Invoice Lines'!C1365</f>
        <v>PFG Louisville TN</v>
      </c>
      <c r="D1365" s="2" t="str">
        <f>'Posted Sales Invoice Lines'!E1365</f>
        <v>F53106</v>
      </c>
      <c r="E1365" s="2" t="str">
        <f>'Posted Sales Invoice Lines'!F1365</f>
        <v>Cs. Large Hot Dog 12-6pk</v>
      </c>
      <c r="F1365" s="3">
        <f>'Posted Sales Invoice Lines'!G1365</f>
        <v>46149</v>
      </c>
      <c r="G1365" s="9">
        <f>'Posted Sales Invoice Lines'!L1365</f>
        <v>8</v>
      </c>
      <c r="H1365" s="8">
        <f>'Posted Sales Invoice Lines'!N1365</f>
        <v>36.07</v>
      </c>
      <c r="I1365" s="8">
        <f>'Posted Sales Invoice Lines'!O1365</f>
        <v>288.56</v>
      </c>
    </row>
    <row r="1366" spans="1:9" x14ac:dyDescent="0.25">
      <c r="A1366" s="2" t="str">
        <f>'Posted Sales Invoice Lines'!A1366</f>
        <v>PS-INV213718</v>
      </c>
      <c r="B1366" s="2" t="str">
        <f>'Posted Sales Invoice Lines'!B1366</f>
        <v>10540-03</v>
      </c>
      <c r="C1366" s="2" t="str">
        <f>'Posted Sales Invoice Lines'!C1366</f>
        <v>PFG Louisville TN</v>
      </c>
      <c r="D1366" s="2" t="str">
        <f>'Posted Sales Invoice Lines'!E1366</f>
        <v>F51034</v>
      </c>
      <c r="E1366" s="2" t="str">
        <f>'Posted Sales Invoice Lines'!F1366</f>
        <v>Cs. Sour Dough Hearth 5/8" 8lvs</v>
      </c>
      <c r="F1366" s="3">
        <f>'Posted Sales Invoice Lines'!G1366</f>
        <v>46149</v>
      </c>
      <c r="G1366" s="9">
        <f>'Posted Sales Invoice Lines'!L1366</f>
        <v>112</v>
      </c>
      <c r="H1366" s="8">
        <f>'Posted Sales Invoice Lines'!N1366</f>
        <v>43.82</v>
      </c>
      <c r="I1366" s="8">
        <f>'Posted Sales Invoice Lines'!O1366</f>
        <v>4907.84</v>
      </c>
    </row>
    <row r="1367" spans="1:9" x14ac:dyDescent="0.25">
      <c r="A1367" s="2" t="str">
        <f>'Posted Sales Invoice Lines'!A1367</f>
        <v>PS-INV213725</v>
      </c>
      <c r="B1367" s="2" t="str">
        <f>'Posted Sales Invoice Lines'!B1367</f>
        <v>10719-2</v>
      </c>
      <c r="C1367" s="2" t="str">
        <f>'Posted Sales Invoice Lines'!C1367</f>
        <v>US Foods - Fairburn</v>
      </c>
      <c r="D1367" s="2" t="str">
        <f>'Posted Sales Invoice Lines'!E1367</f>
        <v>F53005</v>
      </c>
      <c r="E1367" s="2" t="str">
        <f>'Posted Sales Invoice Lines'!F1367</f>
        <v>Cs. 4" Gourmet PDS Bun 8-12pk</v>
      </c>
      <c r="F1367" s="3">
        <f>'Posted Sales Invoice Lines'!G1367</f>
        <v>46154</v>
      </c>
      <c r="G1367" s="9">
        <f>'Posted Sales Invoice Lines'!L1367</f>
        <v>48</v>
      </c>
      <c r="H1367" s="8">
        <f>'Posted Sales Invoice Lines'!N1367</f>
        <v>40.11</v>
      </c>
      <c r="I1367" s="8">
        <f>'Posted Sales Invoice Lines'!O1367</f>
        <v>1925.28</v>
      </c>
    </row>
    <row r="1368" spans="1:9" x14ac:dyDescent="0.25">
      <c r="A1368" s="2" t="str">
        <f>'Posted Sales Invoice Lines'!A1368</f>
        <v>PS-INV213725</v>
      </c>
      <c r="B1368" s="2" t="str">
        <f>'Posted Sales Invoice Lines'!B1368</f>
        <v>10719-2</v>
      </c>
      <c r="C1368" s="2" t="str">
        <f>'Posted Sales Invoice Lines'!C1368</f>
        <v>US Foods - Fairburn</v>
      </c>
      <c r="D1368" s="2" t="str">
        <f>'Posted Sales Invoice Lines'!E1368</f>
        <v>F56560</v>
      </c>
      <c r="E1368" s="2" t="str">
        <f>'Posted Sales Invoice Lines'!F1368</f>
        <v>Gluten Free 3.5" Hamburger 36ct</v>
      </c>
      <c r="F1368" s="3">
        <f>'Posted Sales Invoice Lines'!G1368</f>
        <v>46154</v>
      </c>
      <c r="G1368" s="9">
        <f>'Posted Sales Invoice Lines'!L1368</f>
        <v>6</v>
      </c>
      <c r="H1368" s="8">
        <f>'Posted Sales Invoice Lines'!N1368</f>
        <v>48.57</v>
      </c>
      <c r="I1368" s="8">
        <f>'Posted Sales Invoice Lines'!O1368</f>
        <v>291.42</v>
      </c>
    </row>
    <row r="1369" spans="1:9" x14ac:dyDescent="0.25">
      <c r="A1369" s="2" t="str">
        <f>'Posted Sales Invoice Lines'!A1369</f>
        <v>PS-INV213725</v>
      </c>
      <c r="B1369" s="2" t="str">
        <f>'Posted Sales Invoice Lines'!B1369</f>
        <v>10719-2</v>
      </c>
      <c r="C1369" s="2" t="str">
        <f>'Posted Sales Invoice Lines'!C1369</f>
        <v>US Foods - Fairburn</v>
      </c>
      <c r="D1369" s="2" t="str">
        <f>'Posted Sales Invoice Lines'!E1369</f>
        <v>F53010</v>
      </c>
      <c r="E1369" s="2" t="str">
        <f>'Posted Sales Invoice Lines'!F1369</f>
        <v>Cs. Onion Roll 8-12pk</v>
      </c>
      <c r="F1369" s="3">
        <f>'Posted Sales Invoice Lines'!G1369</f>
        <v>46154</v>
      </c>
      <c r="G1369" s="9">
        <f>'Posted Sales Invoice Lines'!L1369</f>
        <v>36</v>
      </c>
      <c r="H1369" s="8">
        <f>'Posted Sales Invoice Lines'!N1369</f>
        <v>40.85</v>
      </c>
      <c r="I1369" s="8">
        <f>'Posted Sales Invoice Lines'!O1369</f>
        <v>1470.6</v>
      </c>
    </row>
    <row r="1370" spans="1:9" x14ac:dyDescent="0.25">
      <c r="A1370" s="2" t="str">
        <f>'Posted Sales Invoice Lines'!A1370</f>
        <v>PS-INV213725</v>
      </c>
      <c r="B1370" s="2" t="str">
        <f>'Posted Sales Invoice Lines'!B1370</f>
        <v>10719-2</v>
      </c>
      <c r="C1370" s="2" t="str">
        <f>'Posted Sales Invoice Lines'!C1370</f>
        <v>US Foods - Fairburn</v>
      </c>
      <c r="D1370" s="2" t="str">
        <f>'Posted Sales Invoice Lines'!E1370</f>
        <v>F53122</v>
      </c>
      <c r="E1370" s="2" t="str">
        <f>'Posted Sales Invoice Lines'!F1370</f>
        <v>Cs. 8" Italian Hinged 12-6pk</v>
      </c>
      <c r="F1370" s="3">
        <f>'Posted Sales Invoice Lines'!G1370</f>
        <v>46154</v>
      </c>
      <c r="G1370" s="9">
        <f>'Posted Sales Invoice Lines'!L1370</f>
        <v>128</v>
      </c>
      <c r="H1370" s="8">
        <f>'Posted Sales Invoice Lines'!N1370</f>
        <v>40.9</v>
      </c>
      <c r="I1370" s="8">
        <f>'Posted Sales Invoice Lines'!O1370</f>
        <v>5235.2</v>
      </c>
    </row>
    <row r="1371" spans="1:9" x14ac:dyDescent="0.25">
      <c r="A1371" s="2" t="str">
        <f>'Posted Sales Invoice Lines'!A1371</f>
        <v>PS-INV213725</v>
      </c>
      <c r="B1371" s="2" t="str">
        <f>'Posted Sales Invoice Lines'!B1371</f>
        <v>10719-2</v>
      </c>
      <c r="C1371" s="2" t="str">
        <f>'Posted Sales Invoice Lines'!C1371</f>
        <v>US Foods - Fairburn</v>
      </c>
      <c r="D1371" s="2" t="str">
        <f>'Posted Sales Invoice Lines'!E1371</f>
        <v>F53003</v>
      </c>
      <c r="E1371" s="2" t="str">
        <f>'Posted Sales Invoice Lines'!F1371</f>
        <v>Cs. 4" Unseeded Challah Bun 8-12pk</v>
      </c>
      <c r="F1371" s="3">
        <f>'Posted Sales Invoice Lines'!G1371</f>
        <v>46154</v>
      </c>
      <c r="G1371" s="9">
        <f>'Posted Sales Invoice Lines'!L1371</f>
        <v>64</v>
      </c>
      <c r="H1371" s="8">
        <f>'Posted Sales Invoice Lines'!N1371</f>
        <v>38.08</v>
      </c>
      <c r="I1371" s="8">
        <f>'Posted Sales Invoice Lines'!O1371</f>
        <v>2437.12</v>
      </c>
    </row>
    <row r="1372" spans="1:9" x14ac:dyDescent="0.25">
      <c r="A1372" s="2" t="str">
        <f>'Posted Sales Invoice Lines'!A1372</f>
        <v>PS-INV213725</v>
      </c>
      <c r="B1372" s="2" t="str">
        <f>'Posted Sales Invoice Lines'!B1372</f>
        <v>10719-2</v>
      </c>
      <c r="C1372" s="2" t="str">
        <f>'Posted Sales Invoice Lines'!C1372</f>
        <v>US Foods - Fairburn</v>
      </c>
      <c r="D1372" s="2" t="str">
        <f>'Posted Sales Invoice Lines'!E1372</f>
        <v>F53024</v>
      </c>
      <c r="E1372" s="2" t="str">
        <f>'Posted Sales Invoice Lines'!F1372</f>
        <v>Cs. 4" Challah Kaiser 8-12pk</v>
      </c>
      <c r="F1372" s="3">
        <f>'Posted Sales Invoice Lines'!G1372</f>
        <v>46154</v>
      </c>
      <c r="G1372" s="9">
        <f>'Posted Sales Invoice Lines'!L1372</f>
        <v>64</v>
      </c>
      <c r="H1372" s="8">
        <f>'Posted Sales Invoice Lines'!N1372</f>
        <v>40.22</v>
      </c>
      <c r="I1372" s="8">
        <f>'Posted Sales Invoice Lines'!O1372</f>
        <v>2574.08</v>
      </c>
    </row>
    <row r="1373" spans="1:9" x14ac:dyDescent="0.25">
      <c r="A1373" s="2" t="str">
        <f>'Posted Sales Invoice Lines'!A1373</f>
        <v>PS-INV213752</v>
      </c>
      <c r="B1373" s="2" t="str">
        <f>'Posted Sales Invoice Lines'!B1373</f>
        <v>Z10700</v>
      </c>
      <c r="C1373" s="2" t="str">
        <f>'Posted Sales Invoice Lines'!C1373</f>
        <v>Sysco-Charlotte</v>
      </c>
      <c r="D1373" s="2" t="str">
        <f>'Posted Sales Invoice Lines'!E1373</f>
        <v>F52564</v>
      </c>
      <c r="E1373" s="2" t="str">
        <f>'Posted Sales Invoice Lines'!F1373</f>
        <v>Cs. Rye Batard 5/8" 8lvs</v>
      </c>
      <c r="F1373" s="3">
        <f>'Posted Sales Invoice Lines'!G1373</f>
        <v>46153</v>
      </c>
      <c r="G1373" s="9">
        <f>'Posted Sales Invoice Lines'!L1373</f>
        <v>24</v>
      </c>
      <c r="H1373" s="8">
        <f>'Posted Sales Invoice Lines'!N1373</f>
        <v>46.38</v>
      </c>
      <c r="I1373" s="8">
        <f>'Posted Sales Invoice Lines'!O1373</f>
        <v>1113.1199999999999</v>
      </c>
    </row>
    <row r="1374" spans="1:9" x14ac:dyDescent="0.25">
      <c r="A1374" s="2" t="str">
        <f>'Posted Sales Invoice Lines'!A1374</f>
        <v>PS-INV213752</v>
      </c>
      <c r="B1374" s="2" t="str">
        <f>'Posted Sales Invoice Lines'!B1374</f>
        <v>Z10700</v>
      </c>
      <c r="C1374" s="2" t="str">
        <f>'Posted Sales Invoice Lines'!C1374</f>
        <v>Sysco-Charlotte</v>
      </c>
      <c r="D1374" s="2" t="str">
        <f>'Posted Sales Invoice Lines'!E1374</f>
        <v>F51384</v>
      </c>
      <c r="E1374" s="2" t="str">
        <f>'Posted Sales Invoice Lines'!F1374</f>
        <v>Cs. Challah Pullman 7/8"</v>
      </c>
      <c r="F1374" s="3">
        <f>'Posted Sales Invoice Lines'!G1374</f>
        <v>46153</v>
      </c>
      <c r="G1374" s="9">
        <f>'Posted Sales Invoice Lines'!L1374</f>
        <v>320</v>
      </c>
      <c r="H1374" s="8">
        <f>'Posted Sales Invoice Lines'!N1374</f>
        <v>51.38</v>
      </c>
      <c r="I1374" s="8">
        <f>'Posted Sales Invoice Lines'!O1374</f>
        <v>16441.599999999999</v>
      </c>
    </row>
    <row r="1375" spans="1:9" x14ac:dyDescent="0.25">
      <c r="A1375" s="2" t="str">
        <f>'Posted Sales Invoice Lines'!A1375</f>
        <v>PS-INV213752</v>
      </c>
      <c r="B1375" s="2" t="str">
        <f>'Posted Sales Invoice Lines'!B1375</f>
        <v>Z10700</v>
      </c>
      <c r="C1375" s="2" t="str">
        <f>'Posted Sales Invoice Lines'!C1375</f>
        <v>Sysco-Charlotte</v>
      </c>
      <c r="D1375" s="2" t="str">
        <f>'Posted Sales Invoice Lines'!E1375</f>
        <v>F51077</v>
      </c>
      <c r="E1375" s="2" t="str">
        <f>'Posted Sales Invoice Lines'!F1375</f>
        <v>Cs. Oatie Multigrain 5/8" 8lvs</v>
      </c>
      <c r="F1375" s="3">
        <f>'Posted Sales Invoice Lines'!G1375</f>
        <v>46153</v>
      </c>
      <c r="G1375" s="9">
        <f>'Posted Sales Invoice Lines'!L1375</f>
        <v>84</v>
      </c>
      <c r="H1375" s="8">
        <f>'Posted Sales Invoice Lines'!N1375</f>
        <v>54.38</v>
      </c>
      <c r="I1375" s="8">
        <f>'Posted Sales Invoice Lines'!O1375</f>
        <v>4567.92</v>
      </c>
    </row>
    <row r="1376" spans="1:9" x14ac:dyDescent="0.25">
      <c r="A1376" s="2" t="str">
        <f>'Posted Sales Invoice Lines'!A1376</f>
        <v>PS-INV213752</v>
      </c>
      <c r="B1376" s="2" t="str">
        <f>'Posted Sales Invoice Lines'!B1376</f>
        <v>Z10700</v>
      </c>
      <c r="C1376" s="2" t="str">
        <f>'Posted Sales Invoice Lines'!C1376</f>
        <v>Sysco-Charlotte</v>
      </c>
      <c r="D1376" s="2" t="str">
        <f>'Posted Sales Invoice Lines'!E1376</f>
        <v>F51044</v>
      </c>
      <c r="E1376" s="2" t="str">
        <f>'Posted Sales Invoice Lines'!F1376</f>
        <v>Cs. Vienna 5/8" 8lvs</v>
      </c>
      <c r="F1376" s="3">
        <f>'Posted Sales Invoice Lines'!G1376</f>
        <v>46153</v>
      </c>
      <c r="G1376" s="9">
        <f>'Posted Sales Invoice Lines'!L1376</f>
        <v>21</v>
      </c>
      <c r="H1376" s="8">
        <f>'Posted Sales Invoice Lines'!N1376</f>
        <v>28.5</v>
      </c>
      <c r="I1376" s="8">
        <f>'Posted Sales Invoice Lines'!O1376</f>
        <v>598.5</v>
      </c>
    </row>
    <row r="1377" spans="1:9" x14ac:dyDescent="0.25">
      <c r="A1377" s="2" t="str">
        <f>'Posted Sales Invoice Lines'!A1377</f>
        <v>PS-INV213761</v>
      </c>
      <c r="B1377" s="2" t="str">
        <f>'Posted Sales Invoice Lines'!B1377</f>
        <v>12438</v>
      </c>
      <c r="C1377" s="2" t="str">
        <f>'Posted Sales Invoice Lines'!C1377</f>
        <v>SGC Foodservice</v>
      </c>
      <c r="D1377" s="2" t="str">
        <f>'Posted Sales Invoice Lines'!E1377</f>
        <v>F53094</v>
      </c>
      <c r="E1377" s="2" t="str">
        <f>'Posted Sales Invoice Lines'!F1377</f>
        <v>Cs. 6" Italian 12-6pks</v>
      </c>
      <c r="F1377" s="3">
        <f>'Posted Sales Invoice Lines'!G1377</f>
        <v>46148</v>
      </c>
      <c r="G1377" s="9">
        <f>'Posted Sales Invoice Lines'!L1377</f>
        <v>84</v>
      </c>
      <c r="H1377" s="8">
        <f>'Posted Sales Invoice Lines'!N1377</f>
        <v>35</v>
      </c>
      <c r="I1377" s="8">
        <f>'Posted Sales Invoice Lines'!O1377</f>
        <v>2940</v>
      </c>
    </row>
    <row r="1378" spans="1:9" x14ac:dyDescent="0.25">
      <c r="A1378" s="2" t="str">
        <f>'Posted Sales Invoice Lines'!A1378</f>
        <v>PS-INV213761</v>
      </c>
      <c r="B1378" s="2" t="str">
        <f>'Posted Sales Invoice Lines'!B1378</f>
        <v>12438</v>
      </c>
      <c r="C1378" s="2" t="str">
        <f>'Posted Sales Invoice Lines'!C1378</f>
        <v>SGC Foodservice</v>
      </c>
      <c r="D1378" s="2" t="str">
        <f>'Posted Sales Invoice Lines'!E1378</f>
        <v>F53105</v>
      </c>
      <c r="E1378" s="2" t="str">
        <f>'Posted Sales Invoice Lines'!F1378</f>
        <v>Cs. 6" White Hot Dog 16-8pk</v>
      </c>
      <c r="F1378" s="3">
        <f>'Posted Sales Invoice Lines'!G1378</f>
        <v>46148</v>
      </c>
      <c r="G1378" s="9">
        <f>'Posted Sales Invoice Lines'!L1378</f>
        <v>280</v>
      </c>
      <c r="H1378" s="8">
        <f>'Posted Sales Invoice Lines'!N1378</f>
        <v>34.5</v>
      </c>
      <c r="I1378" s="8">
        <f>'Posted Sales Invoice Lines'!O1378</f>
        <v>9660</v>
      </c>
    </row>
    <row r="1379" spans="1:9" x14ac:dyDescent="0.25">
      <c r="A1379" s="2" t="str">
        <f>'Posted Sales Invoice Lines'!A1379</f>
        <v>PS-INV213761</v>
      </c>
      <c r="B1379" s="2" t="str">
        <f>'Posted Sales Invoice Lines'!B1379</f>
        <v>12438</v>
      </c>
      <c r="C1379" s="2" t="str">
        <f>'Posted Sales Invoice Lines'!C1379</f>
        <v>SGC Foodservice</v>
      </c>
      <c r="D1379" s="2" t="str">
        <f>'Posted Sales Invoice Lines'!E1379</f>
        <v>F53001</v>
      </c>
      <c r="E1379" s="2" t="str">
        <f>'Posted Sales Invoice Lines'!F1379</f>
        <v>Cs. 4" Brioche Bun 8-12pk</v>
      </c>
      <c r="F1379" s="3">
        <f>'Posted Sales Invoice Lines'!G1379</f>
        <v>46148</v>
      </c>
      <c r="G1379" s="9">
        <f>'Posted Sales Invoice Lines'!L1379</f>
        <v>280</v>
      </c>
      <c r="H1379" s="8">
        <f>'Posted Sales Invoice Lines'!N1379</f>
        <v>42.6</v>
      </c>
      <c r="I1379" s="8">
        <f>'Posted Sales Invoice Lines'!O1379</f>
        <v>11928</v>
      </c>
    </row>
    <row r="1380" spans="1:9" x14ac:dyDescent="0.25">
      <c r="A1380" s="2" t="str">
        <f>'Posted Sales Invoice Lines'!A1380</f>
        <v>PS-INV213761</v>
      </c>
      <c r="B1380" s="2" t="str">
        <f>'Posted Sales Invoice Lines'!B1380</f>
        <v>12438</v>
      </c>
      <c r="C1380" s="2" t="str">
        <f>'Posted Sales Invoice Lines'!C1380</f>
        <v>SGC Foodservice</v>
      </c>
      <c r="D1380" s="2" t="str">
        <f>'Posted Sales Invoice Lines'!E1380</f>
        <v>F53010</v>
      </c>
      <c r="E1380" s="2" t="str">
        <f>'Posted Sales Invoice Lines'!F1380</f>
        <v>Cs. Onion Roll 8-12pk</v>
      </c>
      <c r="F1380" s="3">
        <f>'Posted Sales Invoice Lines'!G1380</f>
        <v>46148</v>
      </c>
      <c r="G1380" s="9">
        <f>'Posted Sales Invoice Lines'!L1380</f>
        <v>84</v>
      </c>
      <c r="H1380" s="8">
        <f>'Posted Sales Invoice Lines'!N1380</f>
        <v>44</v>
      </c>
      <c r="I1380" s="8">
        <f>'Posted Sales Invoice Lines'!O1380</f>
        <v>3696</v>
      </c>
    </row>
    <row r="1381" spans="1:9" x14ac:dyDescent="0.25">
      <c r="A1381" s="2" t="str">
        <f>'Posted Sales Invoice Lines'!A1381</f>
        <v>PS-INV213767</v>
      </c>
      <c r="B1381" s="2" t="str">
        <f>'Posted Sales Invoice Lines'!B1381</f>
        <v>10547</v>
      </c>
      <c r="C1381" s="2" t="str">
        <f>'Posted Sales Invoice Lines'!C1381</f>
        <v>PFG Hale TN</v>
      </c>
      <c r="D1381" s="2" t="str">
        <f>'Posted Sales Invoice Lines'!E1381</f>
        <v>F53001</v>
      </c>
      <c r="E1381" s="2" t="str">
        <f>'Posted Sales Invoice Lines'!F1381</f>
        <v>Cs. 4" Brioche Bun 8-12pk</v>
      </c>
      <c r="F1381" s="3">
        <f>'Posted Sales Invoice Lines'!G1381</f>
        <v>46147</v>
      </c>
      <c r="G1381" s="9">
        <f>'Posted Sales Invoice Lines'!L1381</f>
        <v>324</v>
      </c>
      <c r="H1381" s="8">
        <f>'Posted Sales Invoice Lines'!N1381</f>
        <v>42</v>
      </c>
      <c r="I1381" s="8">
        <f>'Posted Sales Invoice Lines'!O1381</f>
        <v>13608</v>
      </c>
    </row>
    <row r="1382" spans="1:9" x14ac:dyDescent="0.25">
      <c r="A1382" s="2" t="str">
        <f>'Posted Sales Invoice Lines'!A1382</f>
        <v>PS-INV213767</v>
      </c>
      <c r="B1382" s="2" t="str">
        <f>'Posted Sales Invoice Lines'!B1382</f>
        <v>10547</v>
      </c>
      <c r="C1382" s="2" t="str">
        <f>'Posted Sales Invoice Lines'!C1382</f>
        <v>PFG Hale TN</v>
      </c>
      <c r="D1382" s="2" t="str">
        <f>'Posted Sales Invoice Lines'!E1382</f>
        <v>F530421</v>
      </c>
      <c r="E1382" s="2" t="str">
        <f>'Posted Sales Invoice Lines'!F1382</f>
        <v>Cs. 4.5" Challah Buns 6-12pk.</v>
      </c>
      <c r="F1382" s="3">
        <f>'Posted Sales Invoice Lines'!G1382</f>
        <v>46147</v>
      </c>
      <c r="G1382" s="9">
        <f>'Posted Sales Invoice Lines'!L1382</f>
        <v>140</v>
      </c>
      <c r="H1382" s="8">
        <f>'Posted Sales Invoice Lines'!N1382</f>
        <v>38.299999999999997</v>
      </c>
      <c r="I1382" s="8">
        <f>'Posted Sales Invoice Lines'!O1382</f>
        <v>5362</v>
      </c>
    </row>
    <row r="1383" spans="1:9" x14ac:dyDescent="0.25">
      <c r="A1383" s="2" t="str">
        <f>'Posted Sales Invoice Lines'!A1383</f>
        <v>PS-INV213767</v>
      </c>
      <c r="B1383" s="2" t="str">
        <f>'Posted Sales Invoice Lines'!B1383</f>
        <v>10547</v>
      </c>
      <c r="C1383" s="2" t="str">
        <f>'Posted Sales Invoice Lines'!C1383</f>
        <v>PFG Hale TN</v>
      </c>
      <c r="D1383" s="2" t="str">
        <f>'Posted Sales Invoice Lines'!E1383</f>
        <v>F53000</v>
      </c>
      <c r="E1383" s="2" t="str">
        <f>'Posted Sales Invoice Lines'!F1383</f>
        <v>Cs. 4" Hamburger Bun 8-12pk</v>
      </c>
      <c r="F1383" s="3">
        <f>'Posted Sales Invoice Lines'!G1383</f>
        <v>46147</v>
      </c>
      <c r="G1383" s="9">
        <f>'Posted Sales Invoice Lines'!L1383</f>
        <v>36</v>
      </c>
      <c r="H1383" s="8">
        <f>'Posted Sales Invoice Lines'!N1383</f>
        <v>33.25</v>
      </c>
      <c r="I1383" s="8">
        <f>'Posted Sales Invoice Lines'!O1383</f>
        <v>1197</v>
      </c>
    </row>
    <row r="1384" spans="1:9" x14ac:dyDescent="0.25">
      <c r="A1384" s="2" t="str">
        <f>'Posted Sales Invoice Lines'!A1384</f>
        <v>PS-INV213767</v>
      </c>
      <c r="B1384" s="2" t="str">
        <f>'Posted Sales Invoice Lines'!B1384</f>
        <v>10547</v>
      </c>
      <c r="C1384" s="2" t="str">
        <f>'Posted Sales Invoice Lines'!C1384</f>
        <v>PFG Hale TN</v>
      </c>
      <c r="D1384" s="2" t="str">
        <f>'Posted Sales Invoice Lines'!E1384</f>
        <v>F53098</v>
      </c>
      <c r="E1384" s="2" t="str">
        <f>'Posted Sales Invoice Lines'!F1384</f>
        <v>Cs. Onion Club 12-6pk</v>
      </c>
      <c r="F1384" s="3">
        <f>'Posted Sales Invoice Lines'!G1384</f>
        <v>46147</v>
      </c>
      <c r="G1384" s="9">
        <f>'Posted Sales Invoice Lines'!L1384</f>
        <v>48</v>
      </c>
      <c r="H1384" s="8">
        <f>'Posted Sales Invoice Lines'!N1384</f>
        <v>35.75</v>
      </c>
      <c r="I1384" s="8">
        <f>'Posted Sales Invoice Lines'!O1384</f>
        <v>1716</v>
      </c>
    </row>
    <row r="1385" spans="1:9" x14ac:dyDescent="0.25">
      <c r="A1385" s="2" t="str">
        <f>'Posted Sales Invoice Lines'!A1385</f>
        <v>PS-INV213767</v>
      </c>
      <c r="B1385" s="2" t="str">
        <f>'Posted Sales Invoice Lines'!B1385</f>
        <v>10547</v>
      </c>
      <c r="C1385" s="2" t="str">
        <f>'Posted Sales Invoice Lines'!C1385</f>
        <v>PFG Hale TN</v>
      </c>
      <c r="D1385" s="2" t="str">
        <f>'Posted Sales Invoice Lines'!E1385</f>
        <v>F52540</v>
      </c>
      <c r="E1385" s="2" t="str">
        <f>'Posted Sales Invoice Lines'!F1385</f>
        <v>Cs. Sour Dough Batard 1/2" 8lvs</v>
      </c>
      <c r="F1385" s="3">
        <f>'Posted Sales Invoice Lines'!G1385</f>
        <v>46147</v>
      </c>
      <c r="G1385" s="9">
        <f>'Posted Sales Invoice Lines'!L1385</f>
        <v>48</v>
      </c>
      <c r="H1385" s="8">
        <f>'Posted Sales Invoice Lines'!N1385</f>
        <v>56</v>
      </c>
      <c r="I1385" s="8">
        <f>'Posted Sales Invoice Lines'!O1385</f>
        <v>2688</v>
      </c>
    </row>
    <row r="1386" spans="1:9" x14ac:dyDescent="0.25">
      <c r="A1386" s="2" t="str">
        <f>'Posted Sales Invoice Lines'!A1386</f>
        <v>PS-INV213767</v>
      </c>
      <c r="B1386" s="2" t="str">
        <f>'Posted Sales Invoice Lines'!B1386</f>
        <v>10547</v>
      </c>
      <c r="C1386" s="2" t="str">
        <f>'Posted Sales Invoice Lines'!C1386</f>
        <v>PFG Hale TN</v>
      </c>
      <c r="D1386" s="2" t="str">
        <f>'Posted Sales Invoice Lines'!E1386</f>
        <v>F530041</v>
      </c>
      <c r="E1386" s="2" t="str">
        <f>'Posted Sales Invoice Lines'!F1386</f>
        <v>Cs. 4" S&amp;P Brioche Bun 8-12pk</v>
      </c>
      <c r="F1386" s="3">
        <f>'Posted Sales Invoice Lines'!G1386</f>
        <v>46147</v>
      </c>
      <c r="G1386" s="9">
        <f>'Posted Sales Invoice Lines'!L1386</f>
        <v>2</v>
      </c>
      <c r="H1386" s="8">
        <f>'Posted Sales Invoice Lines'!N1386</f>
        <v>46</v>
      </c>
      <c r="I1386" s="8">
        <f>'Posted Sales Invoice Lines'!O1386</f>
        <v>92</v>
      </c>
    </row>
    <row r="1387" spans="1:9" x14ac:dyDescent="0.25">
      <c r="A1387" s="2" t="str">
        <f>'Posted Sales Invoice Lines'!A1387</f>
        <v>PS-INV213776</v>
      </c>
      <c r="B1387" s="2" t="str">
        <f>'Posted Sales Invoice Lines'!B1387</f>
        <v>20334</v>
      </c>
      <c r="C1387" s="2" t="str">
        <f>'Posted Sales Invoice Lines'!C1387</f>
        <v>Sysco Atlanta</v>
      </c>
      <c r="D1387" s="2" t="str">
        <f>'Posted Sales Invoice Lines'!E1387</f>
        <v>F53116</v>
      </c>
      <c r="E1387" s="2" t="str">
        <f>'Posted Sales Invoice Lines'!F1387</f>
        <v>Cs. 7" French Hinged 12</v>
      </c>
      <c r="F1387" s="3">
        <f>'Posted Sales Invoice Lines'!G1387</f>
        <v>46149</v>
      </c>
      <c r="G1387" s="9">
        <f>'Posted Sales Invoice Lines'!L1387</f>
        <v>28</v>
      </c>
      <c r="H1387" s="8">
        <f>'Posted Sales Invoice Lines'!N1387</f>
        <v>31.42</v>
      </c>
      <c r="I1387" s="8">
        <f>'Posted Sales Invoice Lines'!O1387</f>
        <v>879.76</v>
      </c>
    </row>
    <row r="1388" spans="1:9" x14ac:dyDescent="0.25">
      <c r="A1388" s="2" t="str">
        <f>'Posted Sales Invoice Lines'!A1388</f>
        <v>PS-INV213776</v>
      </c>
      <c r="B1388" s="2" t="str">
        <f>'Posted Sales Invoice Lines'!B1388</f>
        <v>20334</v>
      </c>
      <c r="C1388" s="2" t="str">
        <f>'Posted Sales Invoice Lines'!C1388</f>
        <v>Sysco Atlanta</v>
      </c>
      <c r="D1388" s="2" t="str">
        <f>'Posted Sales Invoice Lines'!E1388</f>
        <v>F53087</v>
      </c>
      <c r="E1388" s="2" t="str">
        <f>'Posted Sales Invoice Lines'!F1388</f>
        <v>Cs. 3.5" Challah Bun 8-12 pk</v>
      </c>
      <c r="F1388" s="3">
        <f>'Posted Sales Invoice Lines'!G1388</f>
        <v>46149</v>
      </c>
      <c r="G1388" s="9">
        <f>'Posted Sales Invoice Lines'!L1388</f>
        <v>112</v>
      </c>
      <c r="H1388" s="8">
        <f>'Posted Sales Invoice Lines'!N1388</f>
        <v>34</v>
      </c>
      <c r="I1388" s="8">
        <f>'Posted Sales Invoice Lines'!O1388</f>
        <v>3808</v>
      </c>
    </row>
    <row r="1389" spans="1:9" x14ac:dyDescent="0.25">
      <c r="A1389" s="2" t="str">
        <f>'Posted Sales Invoice Lines'!A1389</f>
        <v>PS-INV213776</v>
      </c>
      <c r="B1389" s="2" t="str">
        <f>'Posted Sales Invoice Lines'!B1389</f>
        <v>20334</v>
      </c>
      <c r="C1389" s="2" t="str">
        <f>'Posted Sales Invoice Lines'!C1389</f>
        <v>Sysco Atlanta</v>
      </c>
      <c r="D1389" s="2" t="str">
        <f>'Posted Sales Invoice Lines'!E1389</f>
        <v>F51024</v>
      </c>
      <c r="E1389" s="2" t="str">
        <f>'Posted Sales Invoice Lines'!F1389</f>
        <v>Cs. Marble Rye 5/8" 8lvs</v>
      </c>
      <c r="F1389" s="3">
        <f>'Posted Sales Invoice Lines'!G1389</f>
        <v>46149</v>
      </c>
      <c r="G1389" s="9">
        <f>'Posted Sales Invoice Lines'!L1389</f>
        <v>12</v>
      </c>
      <c r="H1389" s="8">
        <f>'Posted Sales Invoice Lines'!N1389</f>
        <v>43.26</v>
      </c>
      <c r="I1389" s="8">
        <f>'Posted Sales Invoice Lines'!O1389</f>
        <v>519.12</v>
      </c>
    </row>
    <row r="1390" spans="1:9" x14ac:dyDescent="0.25">
      <c r="A1390" s="2" t="str">
        <f>'Posted Sales Invoice Lines'!A1390</f>
        <v>PS-INV213776</v>
      </c>
      <c r="B1390" s="2" t="str">
        <f>'Posted Sales Invoice Lines'!B1390</f>
        <v>20334</v>
      </c>
      <c r="C1390" s="2" t="str">
        <f>'Posted Sales Invoice Lines'!C1390</f>
        <v>Sysco Atlanta</v>
      </c>
      <c r="D1390" s="2" t="str">
        <f>'Posted Sales Invoice Lines'!E1390</f>
        <v>F51127</v>
      </c>
      <c r="E1390" s="2" t="str">
        <f>'Posted Sales Invoice Lines'!F1390</f>
        <v>Cs. Challah 3-Braid 8</v>
      </c>
      <c r="F1390" s="3">
        <f>'Posted Sales Invoice Lines'!G1390</f>
        <v>46149</v>
      </c>
      <c r="G1390" s="9">
        <f>'Posted Sales Invoice Lines'!L1390</f>
        <v>20</v>
      </c>
      <c r="H1390" s="8">
        <f>'Posted Sales Invoice Lines'!N1390</f>
        <v>43.26</v>
      </c>
      <c r="I1390" s="8">
        <f>'Posted Sales Invoice Lines'!O1390</f>
        <v>865.2</v>
      </c>
    </row>
    <row r="1391" spans="1:9" x14ac:dyDescent="0.25">
      <c r="A1391" s="2" t="str">
        <f>'Posted Sales Invoice Lines'!A1391</f>
        <v>PS-INV213776</v>
      </c>
      <c r="B1391" s="2" t="str">
        <f>'Posted Sales Invoice Lines'!B1391</f>
        <v>20334</v>
      </c>
      <c r="C1391" s="2" t="str">
        <f>'Posted Sales Invoice Lines'!C1391</f>
        <v>Sysco Atlanta</v>
      </c>
      <c r="D1391" s="2" t="str">
        <f>'Posted Sales Invoice Lines'!E1391</f>
        <v>F53001</v>
      </c>
      <c r="E1391" s="2" t="str">
        <f>'Posted Sales Invoice Lines'!F1391</f>
        <v>Cs. 4" Brioche Bun 8-12pk</v>
      </c>
      <c r="F1391" s="3">
        <f>'Posted Sales Invoice Lines'!G1391</f>
        <v>46149</v>
      </c>
      <c r="G1391" s="9">
        <f>'Posted Sales Invoice Lines'!L1391</f>
        <v>56</v>
      </c>
      <c r="H1391" s="8">
        <f>'Posted Sales Invoice Lines'!N1391</f>
        <v>43.36</v>
      </c>
      <c r="I1391" s="8">
        <f>'Posted Sales Invoice Lines'!O1391</f>
        <v>2428.16</v>
      </c>
    </row>
    <row r="1392" spans="1:9" x14ac:dyDescent="0.25">
      <c r="A1392" s="2" t="str">
        <f>'Posted Sales Invoice Lines'!A1392</f>
        <v>PS-INV213776</v>
      </c>
      <c r="B1392" s="2" t="str">
        <f>'Posted Sales Invoice Lines'!B1392</f>
        <v>20334</v>
      </c>
      <c r="C1392" s="2" t="str">
        <f>'Posted Sales Invoice Lines'!C1392</f>
        <v>Sysco Atlanta</v>
      </c>
      <c r="D1392" s="2" t="str">
        <f>'Posted Sales Invoice Lines'!E1392</f>
        <v>F51034</v>
      </c>
      <c r="E1392" s="2" t="str">
        <f>'Posted Sales Invoice Lines'!F1392</f>
        <v>Cs. Sour Dough Hearth 5/8" 8lvs</v>
      </c>
      <c r="F1392" s="3">
        <f>'Posted Sales Invoice Lines'!G1392</f>
        <v>46149</v>
      </c>
      <c r="G1392" s="9">
        <f>'Posted Sales Invoice Lines'!L1392</f>
        <v>20</v>
      </c>
      <c r="H1392" s="8">
        <f>'Posted Sales Invoice Lines'!N1392</f>
        <v>41.2</v>
      </c>
      <c r="I1392" s="8">
        <f>'Posted Sales Invoice Lines'!O1392</f>
        <v>824</v>
      </c>
    </row>
    <row r="1393" spans="1:9" x14ac:dyDescent="0.25">
      <c r="A1393" s="2" t="str">
        <f>'Posted Sales Invoice Lines'!A1393</f>
        <v>PS-INV213776</v>
      </c>
      <c r="B1393" s="2" t="str">
        <f>'Posted Sales Invoice Lines'!B1393</f>
        <v>20334</v>
      </c>
      <c r="C1393" s="2" t="str">
        <f>'Posted Sales Invoice Lines'!C1393</f>
        <v>Sysco Atlanta</v>
      </c>
      <c r="D1393" s="2" t="str">
        <f>'Posted Sales Invoice Lines'!E1393</f>
        <v>F51157</v>
      </c>
      <c r="E1393" s="2" t="str">
        <f>'Posted Sales Invoice Lines'!F1393</f>
        <v>Cs. Challah Hearth 7/8" 8lvs</v>
      </c>
      <c r="F1393" s="3">
        <f>'Posted Sales Invoice Lines'!G1393</f>
        <v>46149</v>
      </c>
      <c r="G1393" s="9">
        <f>'Posted Sales Invoice Lines'!L1393</f>
        <v>12</v>
      </c>
      <c r="H1393" s="8">
        <f>'Posted Sales Invoice Lines'!N1393</f>
        <v>42.02</v>
      </c>
      <c r="I1393" s="8">
        <f>'Posted Sales Invoice Lines'!O1393</f>
        <v>504.24</v>
      </c>
    </row>
    <row r="1394" spans="1:9" x14ac:dyDescent="0.25">
      <c r="A1394" s="2" t="str">
        <f>'Posted Sales Invoice Lines'!A1394</f>
        <v>PS-INV213776</v>
      </c>
      <c r="B1394" s="2" t="str">
        <f>'Posted Sales Invoice Lines'!B1394</f>
        <v>20334</v>
      </c>
      <c r="C1394" s="2" t="str">
        <f>'Posted Sales Invoice Lines'!C1394</f>
        <v>Sysco Atlanta</v>
      </c>
      <c r="D1394" s="2" t="str">
        <f>'Posted Sales Invoice Lines'!E1394</f>
        <v>F53140</v>
      </c>
      <c r="E1394" s="2" t="str">
        <f>'Posted Sales Invoice Lines'!F1394</f>
        <v>Cs. Knuckies 8" White 12-6pk</v>
      </c>
      <c r="F1394" s="3">
        <f>'Posted Sales Invoice Lines'!G1394</f>
        <v>46149</v>
      </c>
      <c r="G1394" s="9">
        <f>'Posted Sales Invoice Lines'!L1394</f>
        <v>40</v>
      </c>
      <c r="H1394" s="8">
        <f>'Posted Sales Invoice Lines'!N1394</f>
        <v>41</v>
      </c>
      <c r="I1394" s="8">
        <f>'Posted Sales Invoice Lines'!O1394</f>
        <v>1640</v>
      </c>
    </row>
    <row r="1395" spans="1:9" x14ac:dyDescent="0.25">
      <c r="A1395" s="2" t="str">
        <f>'Posted Sales Invoice Lines'!A1395</f>
        <v>PS-INV213779</v>
      </c>
      <c r="B1395" s="2" t="str">
        <f>'Posted Sales Invoice Lines'!B1395</f>
        <v>12988</v>
      </c>
      <c r="C1395" s="2" t="str">
        <f>'Posted Sales Invoice Lines'!C1395</f>
        <v>Sysco Norman OK</v>
      </c>
      <c r="D1395" s="2" t="str">
        <f>'Posted Sales Invoice Lines'!E1395</f>
        <v>F53001</v>
      </c>
      <c r="E1395" s="2" t="str">
        <f>'Posted Sales Invoice Lines'!F1395</f>
        <v>Cs. 4" Brioche Bun 8-12pk</v>
      </c>
      <c r="F1395" s="3">
        <f>'Posted Sales Invoice Lines'!G1395</f>
        <v>46156</v>
      </c>
      <c r="G1395" s="9">
        <f>'Posted Sales Invoice Lines'!L1395</f>
        <v>392</v>
      </c>
      <c r="H1395" s="8">
        <f>'Posted Sales Invoice Lines'!N1395</f>
        <v>46</v>
      </c>
      <c r="I1395" s="8">
        <f>'Posted Sales Invoice Lines'!O1395</f>
        <v>18032</v>
      </c>
    </row>
    <row r="1396" spans="1:9" x14ac:dyDescent="0.25">
      <c r="A1396" s="2" t="str">
        <f>'Posted Sales Invoice Lines'!A1396</f>
        <v>PS-INV213779</v>
      </c>
      <c r="B1396" s="2" t="str">
        <f>'Posted Sales Invoice Lines'!B1396</f>
        <v>12988</v>
      </c>
      <c r="C1396" s="2" t="str">
        <f>'Posted Sales Invoice Lines'!C1396</f>
        <v>Sysco Norman OK</v>
      </c>
      <c r="D1396" s="2" t="str">
        <f>'Posted Sales Invoice Lines'!E1396</f>
        <v>F530491</v>
      </c>
      <c r="E1396" s="2" t="str">
        <f>'Posted Sales Invoice Lines'!F1396</f>
        <v>Cs. 4.5 Brioche Bun 6-12pk</v>
      </c>
      <c r="F1396" s="3">
        <f>'Posted Sales Invoice Lines'!G1396</f>
        <v>46156</v>
      </c>
      <c r="G1396" s="9">
        <f>'Posted Sales Invoice Lines'!L1396</f>
        <v>49</v>
      </c>
      <c r="H1396" s="8">
        <f>'Posted Sales Invoice Lines'!N1396</f>
        <v>40</v>
      </c>
      <c r="I1396" s="8">
        <f>'Posted Sales Invoice Lines'!O1396</f>
        <v>1960</v>
      </c>
    </row>
    <row r="1397" spans="1:9" x14ac:dyDescent="0.25">
      <c r="A1397" s="2" t="str">
        <f>'Posted Sales Invoice Lines'!A1397</f>
        <v>PS-INV213779</v>
      </c>
      <c r="B1397" s="2" t="str">
        <f>'Posted Sales Invoice Lines'!B1397</f>
        <v>12988</v>
      </c>
      <c r="C1397" s="2" t="str">
        <f>'Posted Sales Invoice Lines'!C1397</f>
        <v>Sysco Norman OK</v>
      </c>
      <c r="D1397" s="2" t="str">
        <f>'Posted Sales Invoice Lines'!E1397</f>
        <v>F53115</v>
      </c>
      <c r="E1397" s="2" t="str">
        <f>'Posted Sales Invoice Lines'!F1397</f>
        <v>Cs. 7" French Unsliced 12-6pk</v>
      </c>
      <c r="F1397" s="3">
        <f>'Posted Sales Invoice Lines'!G1397</f>
        <v>46156</v>
      </c>
      <c r="G1397" s="9">
        <f>'Posted Sales Invoice Lines'!L1397</f>
        <v>138</v>
      </c>
      <c r="H1397" s="8">
        <f>'Posted Sales Invoice Lines'!N1397</f>
        <v>35</v>
      </c>
      <c r="I1397" s="8">
        <f>'Posted Sales Invoice Lines'!O1397</f>
        <v>4830</v>
      </c>
    </row>
    <row r="1398" spans="1:9" x14ac:dyDescent="0.25">
      <c r="A1398" s="2" t="str">
        <f>'Posted Sales Invoice Lines'!A1398</f>
        <v>PS-INV214717</v>
      </c>
      <c r="B1398" s="2" t="str">
        <f>'Posted Sales Invoice Lines'!B1398</f>
        <v>12314</v>
      </c>
      <c r="C1398" s="2" t="str">
        <f>'Posted Sales Invoice Lines'!C1398</f>
        <v>Gordon Food Services - Concord</v>
      </c>
      <c r="D1398" s="2" t="str">
        <f>'Posted Sales Invoice Lines'!E1398</f>
        <v>F53002</v>
      </c>
      <c r="E1398" s="2" t="str">
        <f>'Posted Sales Invoice Lines'!F1398</f>
        <v>Cs. 4" Challah Sesame Bun 8-12pk</v>
      </c>
      <c r="F1398" s="3">
        <f>'Posted Sales Invoice Lines'!G1398</f>
        <v>46154</v>
      </c>
      <c r="G1398" s="9">
        <f>'Posted Sales Invoice Lines'!L1398</f>
        <v>30</v>
      </c>
      <c r="H1398" s="8">
        <f>'Posted Sales Invoice Lines'!N1398</f>
        <v>41.7</v>
      </c>
      <c r="I1398" s="8">
        <f>'Posted Sales Invoice Lines'!O1398</f>
        <v>1251</v>
      </c>
    </row>
    <row r="1399" spans="1:9" x14ac:dyDescent="0.25">
      <c r="A1399" s="2" t="str">
        <f>'Posted Sales Invoice Lines'!A1399</f>
        <v>PS-INV214717</v>
      </c>
      <c r="B1399" s="2" t="str">
        <f>'Posted Sales Invoice Lines'!B1399</f>
        <v>12314</v>
      </c>
      <c r="C1399" s="2" t="str">
        <f>'Posted Sales Invoice Lines'!C1399</f>
        <v>Gordon Food Services - Concord</v>
      </c>
      <c r="D1399" s="2" t="str">
        <f>'Posted Sales Invoice Lines'!E1399</f>
        <v>F51361</v>
      </c>
      <c r="E1399" s="2" t="str">
        <f>'Posted Sales Invoice Lines'!F1399</f>
        <v>Cs. Honey Wheat Pullman 7/8" 10lvs</v>
      </c>
      <c r="F1399" s="3">
        <f>'Posted Sales Invoice Lines'!G1399</f>
        <v>46154</v>
      </c>
      <c r="G1399" s="9">
        <f>'Posted Sales Invoice Lines'!L1399</f>
        <v>30</v>
      </c>
      <c r="H1399" s="8">
        <f>'Posted Sales Invoice Lines'!N1399</f>
        <v>41.49</v>
      </c>
      <c r="I1399" s="8">
        <f>'Posted Sales Invoice Lines'!O1399</f>
        <v>1244.7</v>
      </c>
    </row>
    <row r="1400" spans="1:9" x14ac:dyDescent="0.25">
      <c r="A1400" s="2" t="str">
        <f>'Posted Sales Invoice Lines'!A1400</f>
        <v>PS-INV214717</v>
      </c>
      <c r="B1400" s="2" t="str">
        <f>'Posted Sales Invoice Lines'!B1400</f>
        <v>12314</v>
      </c>
      <c r="C1400" s="2" t="str">
        <f>'Posted Sales Invoice Lines'!C1400</f>
        <v>Gordon Food Services - Concord</v>
      </c>
      <c r="D1400" s="2" t="str">
        <f>'Posted Sales Invoice Lines'!E1400</f>
        <v>F51384</v>
      </c>
      <c r="E1400" s="2" t="str">
        <f>'Posted Sales Invoice Lines'!F1400</f>
        <v>Cs. Challah Pullman 7/8"</v>
      </c>
      <c r="F1400" s="3">
        <f>'Posted Sales Invoice Lines'!G1400</f>
        <v>46154</v>
      </c>
      <c r="G1400" s="9">
        <f>'Posted Sales Invoice Lines'!L1400</f>
        <v>108</v>
      </c>
      <c r="H1400" s="8">
        <f>'Posted Sales Invoice Lines'!N1400</f>
        <v>48.49</v>
      </c>
      <c r="I1400" s="8">
        <f>'Posted Sales Invoice Lines'!O1400</f>
        <v>5236.92</v>
      </c>
    </row>
    <row r="1401" spans="1:9" x14ac:dyDescent="0.25">
      <c r="A1401" s="2" t="str">
        <f>'Posted Sales Invoice Lines'!A1401</f>
        <v>PS-INV214717</v>
      </c>
      <c r="B1401" s="2" t="str">
        <f>'Posted Sales Invoice Lines'!B1401</f>
        <v>12314</v>
      </c>
      <c r="C1401" s="2" t="str">
        <f>'Posted Sales Invoice Lines'!C1401</f>
        <v>Gordon Food Services - Concord</v>
      </c>
      <c r="D1401" s="2" t="str">
        <f>'Posted Sales Invoice Lines'!E1401</f>
        <v>F56255</v>
      </c>
      <c r="E1401" s="2" t="str">
        <f>'Posted Sales Invoice Lines'!F1401</f>
        <v>Cs. English Muffin 30-6pk</v>
      </c>
      <c r="F1401" s="3">
        <f>'Posted Sales Invoice Lines'!G1401</f>
        <v>46154</v>
      </c>
      <c r="G1401" s="9">
        <f>'Posted Sales Invoice Lines'!L1401</f>
        <v>16</v>
      </c>
      <c r="H1401" s="8">
        <f>'Posted Sales Invoice Lines'!N1401</f>
        <v>36.299999999999997</v>
      </c>
      <c r="I1401" s="8">
        <f>'Posted Sales Invoice Lines'!O1401</f>
        <v>580.79999999999995</v>
      </c>
    </row>
    <row r="1402" spans="1:9" x14ac:dyDescent="0.25">
      <c r="A1402" s="2" t="str">
        <f>'Posted Sales Invoice Lines'!A1402</f>
        <v>PS-INV214717</v>
      </c>
      <c r="B1402" s="2" t="str">
        <f>'Posted Sales Invoice Lines'!B1402</f>
        <v>12314</v>
      </c>
      <c r="C1402" s="2" t="str">
        <f>'Posted Sales Invoice Lines'!C1402</f>
        <v>Gordon Food Services - Concord</v>
      </c>
      <c r="D1402" s="2" t="str">
        <f>'Posted Sales Invoice Lines'!E1402</f>
        <v>F53001</v>
      </c>
      <c r="E1402" s="2" t="str">
        <f>'Posted Sales Invoice Lines'!F1402</f>
        <v>Cs. 4" Brioche Bun 8-12pk</v>
      </c>
      <c r="F1402" s="3">
        <f>'Posted Sales Invoice Lines'!G1402</f>
        <v>46154</v>
      </c>
      <c r="G1402" s="9">
        <f>'Posted Sales Invoice Lines'!L1402</f>
        <v>32</v>
      </c>
      <c r="H1402" s="8">
        <f>'Posted Sales Invoice Lines'!N1402</f>
        <v>36.82</v>
      </c>
      <c r="I1402" s="8">
        <f>'Posted Sales Invoice Lines'!O1402</f>
        <v>1178.24</v>
      </c>
    </row>
    <row r="1403" spans="1:9" x14ac:dyDescent="0.25">
      <c r="A1403" s="2" t="str">
        <f>'Posted Sales Invoice Lines'!A1403</f>
        <v>PS-INV214717</v>
      </c>
      <c r="B1403" s="2" t="str">
        <f>'Posted Sales Invoice Lines'!B1403</f>
        <v>12314</v>
      </c>
      <c r="C1403" s="2" t="str">
        <f>'Posted Sales Invoice Lines'!C1403</f>
        <v>Gordon Food Services - Concord</v>
      </c>
      <c r="D1403" s="2" t="str">
        <f>'Posted Sales Invoice Lines'!E1403</f>
        <v>F51114</v>
      </c>
      <c r="E1403" s="2" t="str">
        <f>'Posted Sales Invoice Lines'!F1403</f>
        <v>Cs. Old Fashioned Hearth 5/8" 8lvs</v>
      </c>
      <c r="F1403" s="3">
        <f>'Posted Sales Invoice Lines'!G1403</f>
        <v>46154</v>
      </c>
      <c r="G1403" s="9">
        <f>'Posted Sales Invoice Lines'!L1403</f>
        <v>24</v>
      </c>
      <c r="H1403" s="8">
        <f>'Posted Sales Invoice Lines'!N1403</f>
        <v>39.700000000000003</v>
      </c>
      <c r="I1403" s="8">
        <f>'Posted Sales Invoice Lines'!O1403</f>
        <v>952.8</v>
      </c>
    </row>
    <row r="1404" spans="1:9" x14ac:dyDescent="0.25">
      <c r="A1404" s="2" t="str">
        <f>'Posted Sales Invoice Lines'!A1404</f>
        <v>PS-INV214717</v>
      </c>
      <c r="B1404" s="2" t="str">
        <f>'Posted Sales Invoice Lines'!B1404</f>
        <v>12314</v>
      </c>
      <c r="C1404" s="2" t="str">
        <f>'Posted Sales Invoice Lines'!C1404</f>
        <v>Gordon Food Services - Concord</v>
      </c>
      <c r="D1404" s="2" t="str">
        <f>'Posted Sales Invoice Lines'!E1404</f>
        <v>F56251</v>
      </c>
      <c r="E1404" s="2" t="str">
        <f>'Posted Sales Invoice Lines'!F1404</f>
        <v>Cs. Challah Sliders Sliced 18-12pks</v>
      </c>
      <c r="F1404" s="3">
        <f>'Posted Sales Invoice Lines'!G1404</f>
        <v>46154</v>
      </c>
      <c r="G1404" s="9">
        <f>'Posted Sales Invoice Lines'!L1404</f>
        <v>48</v>
      </c>
      <c r="H1404" s="8">
        <f>'Posted Sales Invoice Lines'!N1404</f>
        <v>39.700000000000003</v>
      </c>
      <c r="I1404" s="8">
        <f>'Posted Sales Invoice Lines'!O1404</f>
        <v>1905.6</v>
      </c>
    </row>
    <row r="1405" spans="1:9" x14ac:dyDescent="0.25">
      <c r="A1405" s="2" t="str">
        <f>'Posted Sales Invoice Lines'!A1405</f>
        <v>PS-INV214731</v>
      </c>
      <c r="B1405" s="2" t="str">
        <f>'Posted Sales Invoice Lines'!B1405</f>
        <v>12988</v>
      </c>
      <c r="C1405" s="2" t="str">
        <f>'Posted Sales Invoice Lines'!C1405</f>
        <v>Sysco Norman OK</v>
      </c>
      <c r="D1405" s="2" t="str">
        <f>'Posted Sales Invoice Lines'!E1405</f>
        <v>F51157</v>
      </c>
      <c r="E1405" s="2" t="str">
        <f>'Posted Sales Invoice Lines'!F1405</f>
        <v>Cs. Challah Hearth 7/8" 8lvs</v>
      </c>
      <c r="F1405" s="3">
        <f>'Posted Sales Invoice Lines'!G1405</f>
        <v>46140</v>
      </c>
      <c r="G1405" s="9">
        <f>'Posted Sales Invoice Lines'!L1405</f>
        <v>48</v>
      </c>
      <c r="H1405" s="8">
        <f>'Posted Sales Invoice Lines'!N1405</f>
        <v>42</v>
      </c>
      <c r="I1405" s="8">
        <f>'Posted Sales Invoice Lines'!O1405</f>
        <v>2016</v>
      </c>
    </row>
    <row r="1406" spans="1:9" x14ac:dyDescent="0.25">
      <c r="A1406" s="2" t="str">
        <f>'Posted Sales Invoice Lines'!A1406</f>
        <v>PS-INV214922</v>
      </c>
      <c r="B1406" s="2" t="str">
        <f>'Posted Sales Invoice Lines'!B1406</f>
        <v>1-4</v>
      </c>
      <c r="C1406" s="2" t="str">
        <f>'Posted Sales Invoice Lines'!C1406</f>
        <v>Heath West</v>
      </c>
      <c r="D1406" s="2" t="str">
        <f>'Posted Sales Invoice Lines'!E1406</f>
        <v>F54301</v>
      </c>
      <c r="E1406" s="2" t="str">
        <f>'Posted Sales Invoice Lines'!F1406</f>
        <v>Cs. Potato Roll Sliced 12-16pk</v>
      </c>
      <c r="F1406" s="3">
        <f>'Posted Sales Invoice Lines'!G1406</f>
        <v>46143</v>
      </c>
      <c r="G1406" s="9">
        <f>'Posted Sales Invoice Lines'!L1406</f>
        <v>18</v>
      </c>
      <c r="H1406" s="8">
        <f>'Posted Sales Invoice Lines'!N1406</f>
        <v>0</v>
      </c>
      <c r="I1406" s="8">
        <f>'Posted Sales Invoice Lines'!O1406</f>
        <v>0</v>
      </c>
    </row>
    <row r="1407" spans="1:9" x14ac:dyDescent="0.25">
      <c r="A1407" s="2" t="str">
        <f>'Posted Sales Invoice Lines'!A1407</f>
        <v>PS-INV214922</v>
      </c>
      <c r="B1407" s="2" t="str">
        <f>'Posted Sales Invoice Lines'!B1407</f>
        <v>1-4</v>
      </c>
      <c r="C1407" s="2" t="str">
        <f>'Posted Sales Invoice Lines'!C1407</f>
        <v>Heath West</v>
      </c>
      <c r="D1407" s="2" t="str">
        <f>'Posted Sales Invoice Lines'!E1407</f>
        <v>F53070</v>
      </c>
      <c r="E1407" s="2" t="str">
        <f>'Posted Sales Invoice Lines'!F1407</f>
        <v xml:space="preserve">Cs. 5" Challah Sesame Buns </v>
      </c>
      <c r="F1407" s="3">
        <f>'Posted Sales Invoice Lines'!G1407</f>
        <v>46143</v>
      </c>
      <c r="G1407" s="9">
        <f>'Posted Sales Invoice Lines'!L1407</f>
        <v>1</v>
      </c>
      <c r="H1407" s="8">
        <f>'Posted Sales Invoice Lines'!N1407</f>
        <v>0</v>
      </c>
      <c r="I1407" s="8">
        <f>'Posted Sales Invoice Lines'!O1407</f>
        <v>0</v>
      </c>
    </row>
    <row r="1408" spans="1:9" x14ac:dyDescent="0.25">
      <c r="A1408" s="2" t="str">
        <f>'Posted Sales Invoice Lines'!A1408</f>
        <v>PS-INV214922</v>
      </c>
      <c r="B1408" s="2" t="str">
        <f>'Posted Sales Invoice Lines'!B1408</f>
        <v>1-4</v>
      </c>
      <c r="C1408" s="2" t="str">
        <f>'Posted Sales Invoice Lines'!C1408</f>
        <v>Heath West</v>
      </c>
      <c r="D1408" s="2" t="str">
        <f>'Posted Sales Invoice Lines'!E1408</f>
        <v>F51006</v>
      </c>
      <c r="E1408" s="2" t="str">
        <f>'Posted Sales Invoice Lines'!F1408</f>
        <v>Cs. Rye 3/4" 8lvs</v>
      </c>
      <c r="F1408" s="3">
        <f>'Posted Sales Invoice Lines'!G1408</f>
        <v>46143</v>
      </c>
      <c r="G1408" s="9">
        <f>'Posted Sales Invoice Lines'!L1408</f>
        <v>1</v>
      </c>
      <c r="H1408" s="8">
        <f>'Posted Sales Invoice Lines'!N1408</f>
        <v>0</v>
      </c>
      <c r="I1408" s="8">
        <f>'Posted Sales Invoice Lines'!O1408</f>
        <v>0</v>
      </c>
    </row>
    <row r="1409" spans="1:9" x14ac:dyDescent="0.25">
      <c r="A1409" s="2" t="str">
        <f>'Posted Sales Invoice Lines'!A1409</f>
        <v>PS-INV214968</v>
      </c>
      <c r="B1409" s="2" t="str">
        <f>'Posted Sales Invoice Lines'!B1409</f>
        <v>10719-6</v>
      </c>
      <c r="C1409" s="2" t="str">
        <f>'Posted Sales Invoice Lines'!C1409</f>
        <v>US Foods - Alcoa TN.</v>
      </c>
      <c r="D1409" s="2" t="str">
        <f>'Posted Sales Invoice Lines'!E1409</f>
        <v>F51136</v>
      </c>
      <c r="E1409" s="2" t="str">
        <f>'Posted Sales Invoice Lines'!F1409</f>
        <v>Cs. Texas Toast 1" 12lvs</v>
      </c>
      <c r="F1409" s="3">
        <f>'Posted Sales Invoice Lines'!G1409</f>
        <v>46161</v>
      </c>
      <c r="G1409" s="9">
        <f>'Posted Sales Invoice Lines'!L1409</f>
        <v>68</v>
      </c>
      <c r="H1409" s="8">
        <f>'Posted Sales Invoice Lines'!N1409</f>
        <v>40.119999999999997</v>
      </c>
      <c r="I1409" s="8">
        <f>'Posted Sales Invoice Lines'!O1409</f>
        <v>2728.16</v>
      </c>
    </row>
    <row r="1410" spans="1:9" x14ac:dyDescent="0.25">
      <c r="A1410" s="2" t="str">
        <f>'Posted Sales Invoice Lines'!A1410</f>
        <v>PS-INV214968</v>
      </c>
      <c r="B1410" s="2" t="str">
        <f>'Posted Sales Invoice Lines'!B1410</f>
        <v>10719-6</v>
      </c>
      <c r="C1410" s="2" t="str">
        <f>'Posted Sales Invoice Lines'!C1410</f>
        <v>US Foods - Alcoa TN.</v>
      </c>
      <c r="D1410" s="2" t="str">
        <f>'Posted Sales Invoice Lines'!E1410</f>
        <v>F51004</v>
      </c>
      <c r="E1410" s="2" t="str">
        <f>'Posted Sales Invoice Lines'!F1410</f>
        <v>Cs. Rye 5/8" 8lvs</v>
      </c>
      <c r="F1410" s="3">
        <f>'Posted Sales Invoice Lines'!G1410</f>
        <v>46161</v>
      </c>
      <c r="G1410" s="9">
        <f>'Posted Sales Invoice Lines'!L1410</f>
        <v>8</v>
      </c>
      <c r="H1410" s="8">
        <f>'Posted Sales Invoice Lines'!N1410</f>
        <v>42.03</v>
      </c>
      <c r="I1410" s="8">
        <f>'Posted Sales Invoice Lines'!O1410</f>
        <v>336.24</v>
      </c>
    </row>
    <row r="1411" spans="1:9" x14ac:dyDescent="0.25">
      <c r="A1411" s="2" t="str">
        <f>'Posted Sales Invoice Lines'!A1411</f>
        <v>PS-INV214968</v>
      </c>
      <c r="B1411" s="2" t="str">
        <f>'Posted Sales Invoice Lines'!B1411</f>
        <v>10719-6</v>
      </c>
      <c r="C1411" s="2" t="str">
        <f>'Posted Sales Invoice Lines'!C1411</f>
        <v>US Foods - Alcoa TN.</v>
      </c>
      <c r="D1411" s="2" t="str">
        <f>'Posted Sales Invoice Lines'!E1411</f>
        <v>F53025</v>
      </c>
      <c r="E1411" s="2" t="str">
        <f>'Posted Sales Invoice Lines'!F1411</f>
        <v>Cs. Sesame Challah Kaiser 8-12pk</v>
      </c>
      <c r="F1411" s="3">
        <f>'Posted Sales Invoice Lines'!G1411</f>
        <v>46161</v>
      </c>
      <c r="G1411" s="9">
        <f>'Posted Sales Invoice Lines'!L1411</f>
        <v>176</v>
      </c>
      <c r="H1411" s="8">
        <f>'Posted Sales Invoice Lines'!N1411</f>
        <v>39</v>
      </c>
      <c r="I1411" s="8">
        <f>'Posted Sales Invoice Lines'!O1411</f>
        <v>6864</v>
      </c>
    </row>
    <row r="1412" spans="1:9" x14ac:dyDescent="0.25">
      <c r="A1412" s="2" t="str">
        <f>'Posted Sales Invoice Lines'!A1412</f>
        <v>PS-INV214968</v>
      </c>
      <c r="B1412" s="2" t="str">
        <f>'Posted Sales Invoice Lines'!B1412</f>
        <v>10719-6</v>
      </c>
      <c r="C1412" s="2" t="str">
        <f>'Posted Sales Invoice Lines'!C1412</f>
        <v>US Foods - Alcoa TN.</v>
      </c>
      <c r="D1412" s="2" t="str">
        <f>'Posted Sales Invoice Lines'!E1412</f>
        <v>F53087</v>
      </c>
      <c r="E1412" s="2" t="str">
        <f>'Posted Sales Invoice Lines'!F1412</f>
        <v>Cs. 3.5" Challah Bun 8-12 pk</v>
      </c>
      <c r="F1412" s="3">
        <f>'Posted Sales Invoice Lines'!G1412</f>
        <v>46161</v>
      </c>
      <c r="G1412" s="9">
        <f>'Posted Sales Invoice Lines'!L1412</f>
        <v>60</v>
      </c>
      <c r="H1412" s="8">
        <f>'Posted Sales Invoice Lines'!N1412</f>
        <v>36.24</v>
      </c>
      <c r="I1412" s="8">
        <f>'Posted Sales Invoice Lines'!O1412</f>
        <v>2174.4</v>
      </c>
    </row>
    <row r="1413" spans="1:9" x14ac:dyDescent="0.25">
      <c r="A1413" s="2" t="str">
        <f>'Posted Sales Invoice Lines'!A1413</f>
        <v>PS-INV214968</v>
      </c>
      <c r="B1413" s="2" t="str">
        <f>'Posted Sales Invoice Lines'!B1413</f>
        <v>10719-6</v>
      </c>
      <c r="C1413" s="2" t="str">
        <f>'Posted Sales Invoice Lines'!C1413</f>
        <v>US Foods - Alcoa TN.</v>
      </c>
      <c r="D1413" s="2" t="str">
        <f>'Posted Sales Invoice Lines'!E1413</f>
        <v>F56251</v>
      </c>
      <c r="E1413" s="2" t="str">
        <f>'Posted Sales Invoice Lines'!F1413</f>
        <v>Cs. Challah Sliders Sliced 18-12pks</v>
      </c>
      <c r="F1413" s="3">
        <f>'Posted Sales Invoice Lines'!G1413</f>
        <v>46161</v>
      </c>
      <c r="G1413" s="9">
        <f>'Posted Sales Invoice Lines'!L1413</f>
        <v>56</v>
      </c>
      <c r="H1413" s="8">
        <f>'Posted Sales Invoice Lines'!N1413</f>
        <v>41.5</v>
      </c>
      <c r="I1413" s="8">
        <f>'Posted Sales Invoice Lines'!O1413</f>
        <v>2324</v>
      </c>
    </row>
    <row r="1414" spans="1:9" x14ac:dyDescent="0.25">
      <c r="A1414" s="2" t="str">
        <f>'Posted Sales Invoice Lines'!A1414</f>
        <v>PS-INV214968</v>
      </c>
      <c r="B1414" s="2" t="str">
        <f>'Posted Sales Invoice Lines'!B1414</f>
        <v>10719-6</v>
      </c>
      <c r="C1414" s="2" t="str">
        <f>'Posted Sales Invoice Lines'!C1414</f>
        <v>US Foods - Alcoa TN.</v>
      </c>
      <c r="D1414" s="2" t="str">
        <f>'Posted Sales Invoice Lines'!E1414</f>
        <v>F51066</v>
      </c>
      <c r="E1414" s="2" t="str">
        <f>'Posted Sales Invoice Lines'!F1414</f>
        <v>Cs. Honey Wheat 3/4" 8lvs</v>
      </c>
      <c r="F1414" s="3">
        <f>'Posted Sales Invoice Lines'!G1414</f>
        <v>46161</v>
      </c>
      <c r="G1414" s="9">
        <f>'Posted Sales Invoice Lines'!L1414</f>
        <v>28</v>
      </c>
      <c r="H1414" s="8">
        <f>'Posted Sales Invoice Lines'!N1414</f>
        <v>35.21</v>
      </c>
      <c r="I1414" s="8">
        <f>'Posted Sales Invoice Lines'!O1414</f>
        <v>985.88</v>
      </c>
    </row>
    <row r="1415" spans="1:9" x14ac:dyDescent="0.25">
      <c r="A1415" s="2" t="str">
        <f>'Posted Sales Invoice Lines'!A1415</f>
        <v>PS-INV214968</v>
      </c>
      <c r="B1415" s="2" t="str">
        <f>'Posted Sales Invoice Lines'!B1415</f>
        <v>10719-6</v>
      </c>
      <c r="C1415" s="2" t="str">
        <f>'Posted Sales Invoice Lines'!C1415</f>
        <v>US Foods - Alcoa TN.</v>
      </c>
      <c r="D1415" s="2" t="str">
        <f>'Posted Sales Invoice Lines'!E1415</f>
        <v>F53001</v>
      </c>
      <c r="E1415" s="2" t="str">
        <f>'Posted Sales Invoice Lines'!F1415</f>
        <v>Cs. 4" Brioche Bun 8-12pk</v>
      </c>
      <c r="F1415" s="3">
        <f>'Posted Sales Invoice Lines'!G1415</f>
        <v>46161</v>
      </c>
      <c r="G1415" s="9">
        <f>'Posted Sales Invoice Lines'!L1415</f>
        <v>186</v>
      </c>
      <c r="H1415" s="8">
        <f>'Posted Sales Invoice Lines'!N1415</f>
        <v>45.49</v>
      </c>
      <c r="I1415" s="8">
        <f>'Posted Sales Invoice Lines'!O1415</f>
        <v>8461.14</v>
      </c>
    </row>
    <row r="1416" spans="1:9" x14ac:dyDescent="0.25">
      <c r="A1416" s="2" t="str">
        <f>'Posted Sales Invoice Lines'!A1416</f>
        <v>PS-INV214968</v>
      </c>
      <c r="B1416" s="2" t="str">
        <f>'Posted Sales Invoice Lines'!B1416</f>
        <v>10719-6</v>
      </c>
      <c r="C1416" s="2" t="str">
        <f>'Posted Sales Invoice Lines'!C1416</f>
        <v>US Foods - Alcoa TN.</v>
      </c>
      <c r="D1416" s="2" t="str">
        <f>'Posted Sales Invoice Lines'!E1416</f>
        <v>F530501</v>
      </c>
      <c r="E1416" s="2" t="str">
        <f>'Posted Sales Invoice Lines'!F1416</f>
        <v>Cs. 4.5" Challah Kaiser 6-12pk</v>
      </c>
      <c r="F1416" s="3">
        <f>'Posted Sales Invoice Lines'!G1416</f>
        <v>46161</v>
      </c>
      <c r="G1416" s="9">
        <f>'Posted Sales Invoice Lines'!L1416</f>
        <v>16</v>
      </c>
      <c r="H1416" s="8">
        <f>'Posted Sales Invoice Lines'!N1416</f>
        <v>37.020000000000003</v>
      </c>
      <c r="I1416" s="8">
        <f>'Posted Sales Invoice Lines'!O1416</f>
        <v>592.32000000000005</v>
      </c>
    </row>
    <row r="1417" spans="1:9" x14ac:dyDescent="0.25">
      <c r="A1417" s="2" t="str">
        <f>'Posted Sales Invoice Lines'!A1417</f>
        <v>PS-INV214968</v>
      </c>
      <c r="B1417" s="2" t="str">
        <f>'Posted Sales Invoice Lines'!B1417</f>
        <v>10719-6</v>
      </c>
      <c r="C1417" s="2" t="str">
        <f>'Posted Sales Invoice Lines'!C1417</f>
        <v>US Foods - Alcoa TN.</v>
      </c>
      <c r="D1417" s="2" t="str">
        <f>'Posted Sales Invoice Lines'!E1417</f>
        <v>F51084</v>
      </c>
      <c r="E1417" s="2" t="str">
        <f>'Posted Sales Invoice Lines'!F1417</f>
        <v>Cs. Wheatberry Hearth</v>
      </c>
      <c r="F1417" s="3">
        <f>'Posted Sales Invoice Lines'!G1417</f>
        <v>46161</v>
      </c>
      <c r="G1417" s="9">
        <f>'Posted Sales Invoice Lines'!L1417</f>
        <v>4</v>
      </c>
      <c r="H1417" s="8">
        <f>'Posted Sales Invoice Lines'!N1417</f>
        <v>52.47</v>
      </c>
      <c r="I1417" s="8">
        <f>'Posted Sales Invoice Lines'!O1417</f>
        <v>209.88</v>
      </c>
    </row>
    <row r="1418" spans="1:9" x14ac:dyDescent="0.25">
      <c r="A1418" s="2" t="str">
        <f>'Posted Sales Invoice Lines'!A1418</f>
        <v>PS-INV214968</v>
      </c>
      <c r="B1418" s="2" t="str">
        <f>'Posted Sales Invoice Lines'!B1418</f>
        <v>10719-6</v>
      </c>
      <c r="C1418" s="2" t="str">
        <f>'Posted Sales Invoice Lines'!C1418</f>
        <v>US Foods - Alcoa TN.</v>
      </c>
      <c r="D1418" s="2" t="str">
        <f>'Posted Sales Invoice Lines'!E1418</f>
        <v>F51024</v>
      </c>
      <c r="E1418" s="2" t="str">
        <f>'Posted Sales Invoice Lines'!F1418</f>
        <v>Cs. Marble Rye 5/8" 8lvs</v>
      </c>
      <c r="F1418" s="3">
        <f>'Posted Sales Invoice Lines'!G1418</f>
        <v>46161</v>
      </c>
      <c r="G1418" s="9">
        <f>'Posted Sales Invoice Lines'!L1418</f>
        <v>16</v>
      </c>
      <c r="H1418" s="8">
        <f>'Posted Sales Invoice Lines'!N1418</f>
        <v>54</v>
      </c>
      <c r="I1418" s="8">
        <f>'Posted Sales Invoice Lines'!O1418</f>
        <v>864</v>
      </c>
    </row>
    <row r="1419" spans="1:9" x14ac:dyDescent="0.25">
      <c r="A1419" s="2" t="str">
        <f>'Posted Sales Invoice Lines'!A1419</f>
        <v>PS-INV214968</v>
      </c>
      <c r="B1419" s="2" t="str">
        <f>'Posted Sales Invoice Lines'!B1419</f>
        <v>10719-6</v>
      </c>
      <c r="C1419" s="2" t="str">
        <f>'Posted Sales Invoice Lines'!C1419</f>
        <v>US Foods - Alcoa TN.</v>
      </c>
      <c r="D1419" s="2" t="str">
        <f>'Posted Sales Invoice Lines'!E1419</f>
        <v>F51034</v>
      </c>
      <c r="E1419" s="2" t="str">
        <f>'Posted Sales Invoice Lines'!F1419</f>
        <v>Cs. Sour Dough Hearth 5/8" 8lvs</v>
      </c>
      <c r="F1419" s="3">
        <f>'Posted Sales Invoice Lines'!G1419</f>
        <v>46161</v>
      </c>
      <c r="G1419" s="9">
        <f>'Posted Sales Invoice Lines'!L1419</f>
        <v>16</v>
      </c>
      <c r="H1419" s="8">
        <f>'Posted Sales Invoice Lines'!N1419</f>
        <v>43.2</v>
      </c>
      <c r="I1419" s="8">
        <f>'Posted Sales Invoice Lines'!O1419</f>
        <v>691.2</v>
      </c>
    </row>
    <row r="1420" spans="1:9" x14ac:dyDescent="0.25">
      <c r="A1420" s="2" t="str">
        <f>'Posted Sales Invoice Lines'!A1420</f>
        <v>PS-INV214968</v>
      </c>
      <c r="B1420" s="2" t="str">
        <f>'Posted Sales Invoice Lines'!B1420</f>
        <v>10719-6</v>
      </c>
      <c r="C1420" s="2" t="str">
        <f>'Posted Sales Invoice Lines'!C1420</f>
        <v>US Foods - Alcoa TN.</v>
      </c>
      <c r="D1420" s="2" t="str">
        <f>'Posted Sales Invoice Lines'!E1420</f>
        <v>F51157</v>
      </c>
      <c r="E1420" s="2" t="str">
        <f>'Posted Sales Invoice Lines'!F1420</f>
        <v>Cs. Challah Hearth 7/8" 8lvs</v>
      </c>
      <c r="F1420" s="3">
        <f>'Posted Sales Invoice Lines'!G1420</f>
        <v>46161</v>
      </c>
      <c r="G1420" s="9">
        <f>'Posted Sales Invoice Lines'!L1420</f>
        <v>28</v>
      </c>
      <c r="H1420" s="8">
        <f>'Posted Sales Invoice Lines'!N1420</f>
        <v>44.15</v>
      </c>
      <c r="I1420" s="8">
        <f>'Posted Sales Invoice Lines'!O1420</f>
        <v>1236.2</v>
      </c>
    </row>
    <row r="1421" spans="1:9" x14ac:dyDescent="0.25">
      <c r="A1421" s="2" t="str">
        <f>'Posted Sales Invoice Lines'!A1421</f>
        <v>PS-INV214968</v>
      </c>
      <c r="B1421" s="2" t="str">
        <f>'Posted Sales Invoice Lines'!B1421</f>
        <v>10719-6</v>
      </c>
      <c r="C1421" s="2" t="str">
        <f>'Posted Sales Invoice Lines'!C1421</f>
        <v>US Foods - Alcoa TN.</v>
      </c>
      <c r="D1421" s="2" t="str">
        <f>'Posted Sales Invoice Lines'!E1421</f>
        <v>F53006</v>
      </c>
      <c r="E1421" s="2" t="str">
        <f>'Posted Sales Invoice Lines'!F1421</f>
        <v>Cs. 4" Wheat Bun 8-12pk</v>
      </c>
      <c r="F1421" s="3">
        <f>'Posted Sales Invoice Lines'!G1421</f>
        <v>46161</v>
      </c>
      <c r="G1421" s="9">
        <f>'Posted Sales Invoice Lines'!L1421</f>
        <v>12</v>
      </c>
      <c r="H1421" s="8">
        <f>'Posted Sales Invoice Lines'!N1421</f>
        <v>40.22</v>
      </c>
      <c r="I1421" s="8">
        <f>'Posted Sales Invoice Lines'!O1421</f>
        <v>482.64</v>
      </c>
    </row>
    <row r="1422" spans="1:9" x14ac:dyDescent="0.25">
      <c r="A1422" s="2" t="str">
        <f>'Posted Sales Invoice Lines'!A1422</f>
        <v>PS-INV214968</v>
      </c>
      <c r="B1422" s="2" t="str">
        <f>'Posted Sales Invoice Lines'!B1422</f>
        <v>10719-6</v>
      </c>
      <c r="C1422" s="2" t="str">
        <f>'Posted Sales Invoice Lines'!C1422</f>
        <v>US Foods - Alcoa TN.</v>
      </c>
      <c r="D1422" s="2" t="str">
        <f>'Posted Sales Invoice Lines'!E1422</f>
        <v>F53127</v>
      </c>
      <c r="E1422" s="2" t="str">
        <f>'Posted Sales Invoice Lines'!F1422</f>
        <v>Cs. 8" Philly 10-6pks</v>
      </c>
      <c r="F1422" s="3">
        <f>'Posted Sales Invoice Lines'!G1422</f>
        <v>46161</v>
      </c>
      <c r="G1422" s="9">
        <f>'Posted Sales Invoice Lines'!L1422</f>
        <v>56</v>
      </c>
      <c r="H1422" s="8">
        <f>'Posted Sales Invoice Lines'!N1422</f>
        <v>42.37</v>
      </c>
      <c r="I1422" s="8">
        <f>'Posted Sales Invoice Lines'!O1422</f>
        <v>2372.7199999999998</v>
      </c>
    </row>
    <row r="1423" spans="1:9" x14ac:dyDescent="0.25">
      <c r="A1423" s="2" t="str">
        <f>'Posted Sales Invoice Lines'!A1423</f>
        <v>PS-INV214968</v>
      </c>
      <c r="B1423" s="2" t="str">
        <f>'Posted Sales Invoice Lines'!B1423</f>
        <v>10719-6</v>
      </c>
      <c r="C1423" s="2" t="str">
        <f>'Posted Sales Invoice Lines'!C1423</f>
        <v>US Foods - Alcoa TN.</v>
      </c>
      <c r="D1423" s="2" t="str">
        <f>'Posted Sales Invoice Lines'!E1423</f>
        <v>F51343</v>
      </c>
      <c r="E1423" s="2" t="str">
        <f>'Posted Sales Invoice Lines'!F1423</f>
        <v>Cs. White Bread Pullman 3/4" 10lvs</v>
      </c>
      <c r="F1423" s="3">
        <f>'Posted Sales Invoice Lines'!G1423</f>
        <v>46161</v>
      </c>
      <c r="G1423" s="9">
        <f>'Posted Sales Invoice Lines'!L1423</f>
        <v>14</v>
      </c>
      <c r="H1423" s="8">
        <f>'Posted Sales Invoice Lines'!N1423</f>
        <v>42.22</v>
      </c>
      <c r="I1423" s="8">
        <f>'Posted Sales Invoice Lines'!O1423</f>
        <v>591.08000000000004</v>
      </c>
    </row>
    <row r="1424" spans="1:9" x14ac:dyDescent="0.25">
      <c r="A1424" s="2" t="str">
        <f>'Posted Sales Invoice Lines'!A1424</f>
        <v>PS-INV214968</v>
      </c>
      <c r="B1424" s="2" t="str">
        <f>'Posted Sales Invoice Lines'!B1424</f>
        <v>10719-6</v>
      </c>
      <c r="C1424" s="2" t="str">
        <f>'Posted Sales Invoice Lines'!C1424</f>
        <v>US Foods - Alcoa TN.</v>
      </c>
      <c r="D1424" s="2" t="str">
        <f>'Posted Sales Invoice Lines'!E1424</f>
        <v>F52035</v>
      </c>
      <c r="E1424" s="2" t="str">
        <f>'Posted Sales Invoice Lines'!F1424</f>
        <v>Cs. French Boule 12-2pk</v>
      </c>
      <c r="F1424" s="3">
        <f>'Posted Sales Invoice Lines'!G1424</f>
        <v>46161</v>
      </c>
      <c r="G1424" s="9">
        <f>'Posted Sales Invoice Lines'!L1424</f>
        <v>32</v>
      </c>
      <c r="H1424" s="8">
        <f>'Posted Sales Invoice Lines'!N1424</f>
        <v>32.549999999999997</v>
      </c>
      <c r="I1424" s="8">
        <f>'Posted Sales Invoice Lines'!O1424</f>
        <v>1041.5999999999999</v>
      </c>
    </row>
    <row r="1425" spans="1:9" x14ac:dyDescent="0.25">
      <c r="A1425" s="2" t="str">
        <f>'Posted Sales Invoice Lines'!A1425</f>
        <v>PS-INV214968</v>
      </c>
      <c r="B1425" s="2" t="str">
        <f>'Posted Sales Invoice Lines'!B1425</f>
        <v>10719-6</v>
      </c>
      <c r="C1425" s="2" t="str">
        <f>'Posted Sales Invoice Lines'!C1425</f>
        <v>US Foods - Alcoa TN.</v>
      </c>
      <c r="D1425" s="2" t="str">
        <f>'Posted Sales Invoice Lines'!E1425</f>
        <v>F53106</v>
      </c>
      <c r="E1425" s="2" t="str">
        <f>'Posted Sales Invoice Lines'!F1425</f>
        <v>Cs. Large Hot Dog 12-6pk</v>
      </c>
      <c r="F1425" s="3">
        <f>'Posted Sales Invoice Lines'!G1425</f>
        <v>46161</v>
      </c>
      <c r="G1425" s="9">
        <f>'Posted Sales Invoice Lines'!L1425</f>
        <v>8</v>
      </c>
      <c r="H1425" s="8">
        <f>'Posted Sales Invoice Lines'!N1425</f>
        <v>35.57</v>
      </c>
      <c r="I1425" s="8">
        <f>'Posted Sales Invoice Lines'!O1425</f>
        <v>284.56</v>
      </c>
    </row>
    <row r="1426" spans="1:9" x14ac:dyDescent="0.25">
      <c r="A1426" s="2" t="str">
        <f>'Posted Sales Invoice Lines'!A1426</f>
        <v>PS-INV214968</v>
      </c>
      <c r="B1426" s="2" t="str">
        <f>'Posted Sales Invoice Lines'!B1426</f>
        <v>10719-6</v>
      </c>
      <c r="C1426" s="2" t="str">
        <f>'Posted Sales Invoice Lines'!C1426</f>
        <v>US Foods - Alcoa TN.</v>
      </c>
      <c r="D1426" s="2" t="str">
        <f>'Posted Sales Invoice Lines'!E1426</f>
        <v>F52032</v>
      </c>
      <c r="E1426" s="2" t="str">
        <f>'Posted Sales Invoice Lines'!F1426</f>
        <v>Cs. 8oz Sour Dough Boule 12-2pk</v>
      </c>
      <c r="F1426" s="3">
        <f>'Posted Sales Invoice Lines'!G1426</f>
        <v>46161</v>
      </c>
      <c r="G1426" s="9">
        <f>'Posted Sales Invoice Lines'!L1426</f>
        <v>28</v>
      </c>
      <c r="H1426" s="8">
        <f>'Posted Sales Invoice Lines'!N1426</f>
        <v>41.25</v>
      </c>
      <c r="I1426" s="8">
        <f>'Posted Sales Invoice Lines'!O1426</f>
        <v>1155</v>
      </c>
    </row>
    <row r="1427" spans="1:9" x14ac:dyDescent="0.25">
      <c r="A1427" s="2" t="str">
        <f>'Posted Sales Invoice Lines'!A1427</f>
        <v>PS-INV214968</v>
      </c>
      <c r="B1427" s="2" t="str">
        <f>'Posted Sales Invoice Lines'!B1427</f>
        <v>10719-6</v>
      </c>
      <c r="C1427" s="2" t="str">
        <f>'Posted Sales Invoice Lines'!C1427</f>
        <v>US Foods - Alcoa TN.</v>
      </c>
      <c r="D1427" s="2" t="str">
        <f>'Posted Sales Invoice Lines'!E1427</f>
        <v>F53024</v>
      </c>
      <c r="E1427" s="2" t="str">
        <f>'Posted Sales Invoice Lines'!F1427</f>
        <v>Cs. 4" Challah Kaiser 8-12pk</v>
      </c>
      <c r="F1427" s="3">
        <f>'Posted Sales Invoice Lines'!G1427</f>
        <v>46161</v>
      </c>
      <c r="G1427" s="9">
        <f>'Posted Sales Invoice Lines'!L1427</f>
        <v>28</v>
      </c>
      <c r="H1427" s="8">
        <f>'Posted Sales Invoice Lines'!N1427</f>
        <v>40.22</v>
      </c>
      <c r="I1427" s="8">
        <f>'Posted Sales Invoice Lines'!O1427</f>
        <v>1126.1600000000001</v>
      </c>
    </row>
    <row r="1428" spans="1:9" x14ac:dyDescent="0.25">
      <c r="A1428" s="2" t="str">
        <f>'Posted Sales Invoice Lines'!A1428</f>
        <v>PS-INV214979</v>
      </c>
      <c r="B1428" s="2" t="str">
        <f>'Posted Sales Invoice Lines'!B1428</f>
        <v>13128</v>
      </c>
      <c r="C1428" s="2" t="str">
        <f>'Posted Sales Invoice Lines'!C1428</f>
        <v>Gordon Food Service - Shepherdsville</v>
      </c>
      <c r="D1428" s="2" t="str">
        <f>'Posted Sales Invoice Lines'!E1428</f>
        <v>F51084</v>
      </c>
      <c r="E1428" s="2" t="str">
        <f>'Posted Sales Invoice Lines'!F1428</f>
        <v>Cs. Wheatberry Hearth</v>
      </c>
      <c r="F1428" s="3">
        <f>'Posted Sales Invoice Lines'!G1428</f>
        <v>46154</v>
      </c>
      <c r="G1428" s="9">
        <f>'Posted Sales Invoice Lines'!L1428</f>
        <v>144</v>
      </c>
      <c r="H1428" s="8">
        <f>'Posted Sales Invoice Lines'!N1428</f>
        <v>33.299999999999997</v>
      </c>
      <c r="I1428" s="8">
        <f>'Posted Sales Invoice Lines'!O1428</f>
        <v>4795.2</v>
      </c>
    </row>
    <row r="1429" spans="1:9" x14ac:dyDescent="0.25">
      <c r="A1429" s="2" t="str">
        <f>'Posted Sales Invoice Lines'!A1429</f>
        <v>PS-INV214979</v>
      </c>
      <c r="B1429" s="2" t="str">
        <f>'Posted Sales Invoice Lines'!B1429</f>
        <v>13128</v>
      </c>
      <c r="C1429" s="2" t="str">
        <f>'Posted Sales Invoice Lines'!C1429</f>
        <v>Gordon Food Service - Shepherdsville</v>
      </c>
      <c r="D1429" s="2" t="str">
        <f>'Posted Sales Invoice Lines'!E1429</f>
        <v>F53001</v>
      </c>
      <c r="E1429" s="2" t="str">
        <f>'Posted Sales Invoice Lines'!F1429</f>
        <v>Cs. 4" Brioche Bun 8-12pk</v>
      </c>
      <c r="F1429" s="3">
        <f>'Posted Sales Invoice Lines'!G1429</f>
        <v>46154</v>
      </c>
      <c r="G1429" s="9">
        <f>'Posted Sales Invoice Lines'!L1429</f>
        <v>176</v>
      </c>
      <c r="H1429" s="8">
        <f>'Posted Sales Invoice Lines'!N1429</f>
        <v>36.82</v>
      </c>
      <c r="I1429" s="8">
        <f>'Posted Sales Invoice Lines'!O1429</f>
        <v>6480.32</v>
      </c>
    </row>
    <row r="1430" spans="1:9" x14ac:dyDescent="0.25">
      <c r="A1430" s="2" t="str">
        <f>'Posted Sales Invoice Lines'!A1430</f>
        <v>PS-INV214979</v>
      </c>
      <c r="B1430" s="2" t="str">
        <f>'Posted Sales Invoice Lines'!B1430</f>
        <v>13128</v>
      </c>
      <c r="C1430" s="2" t="str">
        <f>'Posted Sales Invoice Lines'!C1430</f>
        <v>Gordon Food Service - Shepherdsville</v>
      </c>
      <c r="D1430" s="2" t="str">
        <f>'Posted Sales Invoice Lines'!E1430</f>
        <v>F51114</v>
      </c>
      <c r="E1430" s="2" t="str">
        <f>'Posted Sales Invoice Lines'!F1430</f>
        <v>Cs. Old Fashioned Hearth 5/8" 8lvs</v>
      </c>
      <c r="F1430" s="3">
        <f>'Posted Sales Invoice Lines'!G1430</f>
        <v>46154</v>
      </c>
      <c r="G1430" s="9">
        <f>'Posted Sales Invoice Lines'!L1430</f>
        <v>128</v>
      </c>
      <c r="H1430" s="8">
        <f>'Posted Sales Invoice Lines'!N1430</f>
        <v>39.700000000000003</v>
      </c>
      <c r="I1430" s="8">
        <f>'Posted Sales Invoice Lines'!O1430</f>
        <v>5081.6000000000004</v>
      </c>
    </row>
    <row r="1431" spans="1:9" x14ac:dyDescent="0.25">
      <c r="A1431" s="2" t="str">
        <f>'Posted Sales Invoice Lines'!A1431</f>
        <v>PS-INV214979</v>
      </c>
      <c r="B1431" s="2" t="str">
        <f>'Posted Sales Invoice Lines'!B1431</f>
        <v>13128</v>
      </c>
      <c r="C1431" s="2" t="str">
        <f>'Posted Sales Invoice Lines'!C1431</f>
        <v>Gordon Food Service - Shepherdsville</v>
      </c>
      <c r="D1431" s="2" t="str">
        <f>'Posted Sales Invoice Lines'!E1431</f>
        <v>F56251</v>
      </c>
      <c r="E1431" s="2" t="str">
        <f>'Posted Sales Invoice Lines'!F1431</f>
        <v>Cs. Challah Sliders Sliced 18-12pks</v>
      </c>
      <c r="F1431" s="3">
        <f>'Posted Sales Invoice Lines'!G1431</f>
        <v>46154</v>
      </c>
      <c r="G1431" s="9">
        <f>'Posted Sales Invoice Lines'!L1431</f>
        <v>400</v>
      </c>
      <c r="H1431" s="8">
        <f>'Posted Sales Invoice Lines'!N1431</f>
        <v>39.700000000000003</v>
      </c>
      <c r="I1431" s="8">
        <f>'Posted Sales Invoice Lines'!O1431</f>
        <v>15880</v>
      </c>
    </row>
    <row r="1432" spans="1:9" x14ac:dyDescent="0.25">
      <c r="A1432" s="2" t="str">
        <f>'Posted Sales Invoice Lines'!A1432</f>
        <v>PS-INV214984</v>
      </c>
      <c r="B1432" s="2" t="str">
        <f>'Posted Sales Invoice Lines'!B1432</f>
        <v>10719-12</v>
      </c>
      <c r="C1432" s="2" t="str">
        <f>'Posted Sales Invoice Lines'!C1432</f>
        <v>US Foods - Port Orange</v>
      </c>
      <c r="D1432" s="2" t="str">
        <f>'Posted Sales Invoice Lines'!E1432</f>
        <v>F53002</v>
      </c>
      <c r="E1432" s="2" t="str">
        <f>'Posted Sales Invoice Lines'!F1432</f>
        <v>Cs. 4" Challah Sesame Bun 8-12pk</v>
      </c>
      <c r="F1432" s="3">
        <f>'Posted Sales Invoice Lines'!G1432</f>
        <v>46161</v>
      </c>
      <c r="G1432" s="9">
        <f>'Posted Sales Invoice Lines'!L1432</f>
        <v>600</v>
      </c>
      <c r="H1432" s="8">
        <f>'Posted Sales Invoice Lines'!N1432</f>
        <v>41.66</v>
      </c>
      <c r="I1432" s="8">
        <f>'Posted Sales Invoice Lines'!O1432</f>
        <v>24996</v>
      </c>
    </row>
    <row r="1433" spans="1:9" x14ac:dyDescent="0.25">
      <c r="A1433" s="2" t="str">
        <f>'Posted Sales Invoice Lines'!A1433</f>
        <v>PS-INV214984</v>
      </c>
      <c r="B1433" s="2" t="str">
        <f>'Posted Sales Invoice Lines'!B1433</f>
        <v>10719-12</v>
      </c>
      <c r="C1433" s="2" t="str">
        <f>'Posted Sales Invoice Lines'!C1433</f>
        <v>US Foods - Port Orange</v>
      </c>
      <c r="D1433" s="2" t="str">
        <f>'Posted Sales Invoice Lines'!E1433</f>
        <v>F52902</v>
      </c>
      <c r="E1433" s="2" t="str">
        <f>'Posted Sales Invoice Lines'!F1433</f>
        <v>Cs. 22" Rye Baguette 10-2pk</v>
      </c>
      <c r="F1433" s="3">
        <f>'Posted Sales Invoice Lines'!G1433</f>
        <v>46161</v>
      </c>
      <c r="G1433" s="9">
        <f>'Posted Sales Invoice Lines'!L1433</f>
        <v>32</v>
      </c>
      <c r="H1433" s="8">
        <f>'Posted Sales Invoice Lines'!N1433</f>
        <v>42.53</v>
      </c>
      <c r="I1433" s="8">
        <f>'Posted Sales Invoice Lines'!O1433</f>
        <v>1360.96</v>
      </c>
    </row>
    <row r="1434" spans="1:9" x14ac:dyDescent="0.25">
      <c r="A1434" s="2" t="str">
        <f>'Posted Sales Invoice Lines'!A1434</f>
        <v>PS-INV214984</v>
      </c>
      <c r="B1434" s="2" t="str">
        <f>'Posted Sales Invoice Lines'!B1434</f>
        <v>10719-12</v>
      </c>
      <c r="C1434" s="2" t="str">
        <f>'Posted Sales Invoice Lines'!C1434</f>
        <v>US Foods - Port Orange</v>
      </c>
      <c r="D1434" s="2" t="str">
        <f>'Posted Sales Invoice Lines'!E1434</f>
        <v>F52007</v>
      </c>
      <c r="E1434" s="2" t="str">
        <f>'Posted Sales Invoice Lines'!F1434</f>
        <v>Cs. 22" 17oz French 10-2pk</v>
      </c>
      <c r="F1434" s="3">
        <f>'Posted Sales Invoice Lines'!G1434</f>
        <v>46161</v>
      </c>
      <c r="G1434" s="9">
        <f>'Posted Sales Invoice Lines'!L1434</f>
        <v>32</v>
      </c>
      <c r="H1434" s="8">
        <f>'Posted Sales Invoice Lines'!N1434</f>
        <v>39.96</v>
      </c>
      <c r="I1434" s="8">
        <f>'Posted Sales Invoice Lines'!O1434</f>
        <v>1278.72</v>
      </c>
    </row>
    <row r="1435" spans="1:9" x14ac:dyDescent="0.25">
      <c r="A1435" s="2" t="str">
        <f>'Posted Sales Invoice Lines'!A1435</f>
        <v>PS-INV214984</v>
      </c>
      <c r="B1435" s="2" t="str">
        <f>'Posted Sales Invoice Lines'!B1435</f>
        <v>10719-12</v>
      </c>
      <c r="C1435" s="2" t="str">
        <f>'Posted Sales Invoice Lines'!C1435</f>
        <v>US Foods - Port Orange</v>
      </c>
      <c r="D1435" s="2" t="str">
        <f>'Posted Sales Invoice Lines'!E1435</f>
        <v>F53000</v>
      </c>
      <c r="E1435" s="2" t="str">
        <f>'Posted Sales Invoice Lines'!F1435</f>
        <v>Cs. 4" Hamburger Bun 8-12pk</v>
      </c>
      <c r="F1435" s="3">
        <f>'Posted Sales Invoice Lines'!G1435</f>
        <v>46161</v>
      </c>
      <c r="G1435" s="9">
        <f>'Posted Sales Invoice Lines'!L1435</f>
        <v>32</v>
      </c>
      <c r="H1435" s="8">
        <f>'Posted Sales Invoice Lines'!N1435</f>
        <v>33.5</v>
      </c>
      <c r="I1435" s="8">
        <f>'Posted Sales Invoice Lines'!O1435</f>
        <v>1072</v>
      </c>
    </row>
    <row r="1436" spans="1:9" x14ac:dyDescent="0.25">
      <c r="A1436" s="2" t="str">
        <f>'Posted Sales Invoice Lines'!A1436</f>
        <v>PS-INV215225</v>
      </c>
      <c r="B1436" s="2" t="str">
        <f>'Posted Sales Invoice Lines'!B1436</f>
        <v>20334</v>
      </c>
      <c r="C1436" s="2" t="str">
        <f>'Posted Sales Invoice Lines'!C1436</f>
        <v>Sysco Atlanta</v>
      </c>
      <c r="D1436" s="2" t="str">
        <f>'Posted Sales Invoice Lines'!E1436</f>
        <v>F53116</v>
      </c>
      <c r="E1436" s="2" t="str">
        <f>'Posted Sales Invoice Lines'!F1436</f>
        <v>Cs. 7" French Hinged 12</v>
      </c>
      <c r="F1436" s="3">
        <f>'Posted Sales Invoice Lines'!G1436</f>
        <v>46156</v>
      </c>
      <c r="G1436" s="9">
        <f>'Posted Sales Invoice Lines'!L1436</f>
        <v>56</v>
      </c>
      <c r="H1436" s="8">
        <f>'Posted Sales Invoice Lines'!N1436</f>
        <v>31.42</v>
      </c>
      <c r="I1436" s="8">
        <f>'Posted Sales Invoice Lines'!O1436</f>
        <v>1759.52</v>
      </c>
    </row>
    <row r="1437" spans="1:9" x14ac:dyDescent="0.25">
      <c r="A1437" s="2" t="str">
        <f>'Posted Sales Invoice Lines'!A1437</f>
        <v>PS-INV215225</v>
      </c>
      <c r="B1437" s="2" t="str">
        <f>'Posted Sales Invoice Lines'!B1437</f>
        <v>20334</v>
      </c>
      <c r="C1437" s="2" t="str">
        <f>'Posted Sales Invoice Lines'!C1437</f>
        <v>Sysco Atlanta</v>
      </c>
      <c r="D1437" s="2" t="str">
        <f>'Posted Sales Invoice Lines'!E1437</f>
        <v>F53087</v>
      </c>
      <c r="E1437" s="2" t="str">
        <f>'Posted Sales Invoice Lines'!F1437</f>
        <v>Cs. 3.5" Challah Bun 8-12 pk</v>
      </c>
      <c r="F1437" s="3">
        <f>'Posted Sales Invoice Lines'!G1437</f>
        <v>46156</v>
      </c>
      <c r="G1437" s="9">
        <f>'Posted Sales Invoice Lines'!L1437</f>
        <v>112</v>
      </c>
      <c r="H1437" s="8">
        <f>'Posted Sales Invoice Lines'!N1437</f>
        <v>34</v>
      </c>
      <c r="I1437" s="8">
        <f>'Posted Sales Invoice Lines'!O1437</f>
        <v>3808</v>
      </c>
    </row>
    <row r="1438" spans="1:9" x14ac:dyDescent="0.25">
      <c r="A1438" s="2" t="str">
        <f>'Posted Sales Invoice Lines'!A1438</f>
        <v>PS-INV215225</v>
      </c>
      <c r="B1438" s="2" t="str">
        <f>'Posted Sales Invoice Lines'!B1438</f>
        <v>20334</v>
      </c>
      <c r="C1438" s="2" t="str">
        <f>'Posted Sales Invoice Lines'!C1438</f>
        <v>Sysco Atlanta</v>
      </c>
      <c r="D1438" s="2" t="str">
        <f>'Posted Sales Invoice Lines'!E1438</f>
        <v>F51024</v>
      </c>
      <c r="E1438" s="2" t="str">
        <f>'Posted Sales Invoice Lines'!F1438</f>
        <v>Cs. Marble Rye 5/8" 8lvs</v>
      </c>
      <c r="F1438" s="3">
        <f>'Posted Sales Invoice Lines'!G1438</f>
        <v>46156</v>
      </c>
      <c r="G1438" s="9">
        <f>'Posted Sales Invoice Lines'!L1438</f>
        <v>12</v>
      </c>
      <c r="H1438" s="8">
        <f>'Posted Sales Invoice Lines'!N1438</f>
        <v>43.26</v>
      </c>
      <c r="I1438" s="8">
        <f>'Posted Sales Invoice Lines'!O1438</f>
        <v>519.12</v>
      </c>
    </row>
    <row r="1439" spans="1:9" x14ac:dyDescent="0.25">
      <c r="A1439" s="2" t="str">
        <f>'Posted Sales Invoice Lines'!A1439</f>
        <v>PS-INV215225</v>
      </c>
      <c r="B1439" s="2" t="str">
        <f>'Posted Sales Invoice Lines'!B1439</f>
        <v>20334</v>
      </c>
      <c r="C1439" s="2" t="str">
        <f>'Posted Sales Invoice Lines'!C1439</f>
        <v>Sysco Atlanta</v>
      </c>
      <c r="D1439" s="2" t="str">
        <f>'Posted Sales Invoice Lines'!E1439</f>
        <v>F51127</v>
      </c>
      <c r="E1439" s="2" t="str">
        <f>'Posted Sales Invoice Lines'!F1439</f>
        <v>Cs. Challah 3-Braid 8</v>
      </c>
      <c r="F1439" s="3">
        <f>'Posted Sales Invoice Lines'!G1439</f>
        <v>46156</v>
      </c>
      <c r="G1439" s="9">
        <f>'Posted Sales Invoice Lines'!L1439</f>
        <v>20</v>
      </c>
      <c r="H1439" s="8">
        <f>'Posted Sales Invoice Lines'!N1439</f>
        <v>43.26</v>
      </c>
      <c r="I1439" s="8">
        <f>'Posted Sales Invoice Lines'!O1439</f>
        <v>865.2</v>
      </c>
    </row>
    <row r="1440" spans="1:9" x14ac:dyDescent="0.25">
      <c r="A1440" s="2" t="str">
        <f>'Posted Sales Invoice Lines'!A1440</f>
        <v>PS-INV215225</v>
      </c>
      <c r="B1440" s="2" t="str">
        <f>'Posted Sales Invoice Lines'!B1440</f>
        <v>20334</v>
      </c>
      <c r="C1440" s="2" t="str">
        <f>'Posted Sales Invoice Lines'!C1440</f>
        <v>Sysco Atlanta</v>
      </c>
      <c r="D1440" s="2" t="str">
        <f>'Posted Sales Invoice Lines'!E1440</f>
        <v>F53033</v>
      </c>
      <c r="E1440" s="2" t="str">
        <f>'Posted Sales Invoice Lines'!F1440</f>
        <v>Cs. 4" Parker House 8-12pk</v>
      </c>
      <c r="F1440" s="3">
        <f>'Posted Sales Invoice Lines'!G1440</f>
        <v>46156</v>
      </c>
      <c r="G1440" s="9">
        <f>'Posted Sales Invoice Lines'!L1440</f>
        <v>28</v>
      </c>
      <c r="H1440" s="8">
        <f>'Posted Sales Invoice Lines'!N1440</f>
        <v>39.53</v>
      </c>
      <c r="I1440" s="8">
        <f>'Posted Sales Invoice Lines'!O1440</f>
        <v>1106.8399999999999</v>
      </c>
    </row>
    <row r="1441" spans="1:9" x14ac:dyDescent="0.25">
      <c r="A1441" s="2" t="str">
        <f>'Posted Sales Invoice Lines'!A1441</f>
        <v>PS-INV215225</v>
      </c>
      <c r="B1441" s="2" t="str">
        <f>'Posted Sales Invoice Lines'!B1441</f>
        <v>20334</v>
      </c>
      <c r="C1441" s="2" t="str">
        <f>'Posted Sales Invoice Lines'!C1441</f>
        <v>Sysco Atlanta</v>
      </c>
      <c r="D1441" s="2" t="str">
        <f>'Posted Sales Invoice Lines'!E1441</f>
        <v>F51034</v>
      </c>
      <c r="E1441" s="2" t="str">
        <f>'Posted Sales Invoice Lines'!F1441</f>
        <v>Cs. Sour Dough Hearth 5/8" 8lvs</v>
      </c>
      <c r="F1441" s="3">
        <f>'Posted Sales Invoice Lines'!G1441</f>
        <v>46156</v>
      </c>
      <c r="G1441" s="9">
        <f>'Posted Sales Invoice Lines'!L1441</f>
        <v>20</v>
      </c>
      <c r="H1441" s="8">
        <f>'Posted Sales Invoice Lines'!N1441</f>
        <v>41.2</v>
      </c>
      <c r="I1441" s="8">
        <f>'Posted Sales Invoice Lines'!O1441</f>
        <v>824</v>
      </c>
    </row>
    <row r="1442" spans="1:9" x14ac:dyDescent="0.25">
      <c r="A1442" s="2" t="str">
        <f>'Posted Sales Invoice Lines'!A1442</f>
        <v>PS-INV215225</v>
      </c>
      <c r="B1442" s="2" t="str">
        <f>'Posted Sales Invoice Lines'!B1442</f>
        <v>20334</v>
      </c>
      <c r="C1442" s="2" t="str">
        <f>'Posted Sales Invoice Lines'!C1442</f>
        <v>Sysco Atlanta</v>
      </c>
      <c r="D1442" s="2" t="str">
        <f>'Posted Sales Invoice Lines'!E1442</f>
        <v>F51157</v>
      </c>
      <c r="E1442" s="2" t="str">
        <f>'Posted Sales Invoice Lines'!F1442</f>
        <v>Cs. Challah Hearth 7/8" 8lvs</v>
      </c>
      <c r="F1442" s="3">
        <f>'Posted Sales Invoice Lines'!G1442</f>
        <v>46156</v>
      </c>
      <c r="G1442" s="9">
        <f>'Posted Sales Invoice Lines'!L1442</f>
        <v>12</v>
      </c>
      <c r="H1442" s="8">
        <f>'Posted Sales Invoice Lines'!N1442</f>
        <v>42.02</v>
      </c>
      <c r="I1442" s="8">
        <f>'Posted Sales Invoice Lines'!O1442</f>
        <v>504.24</v>
      </c>
    </row>
    <row r="1443" spans="1:9" x14ac:dyDescent="0.25">
      <c r="A1443" s="2" t="str">
        <f>'Posted Sales Invoice Lines'!A1443</f>
        <v>PS-INV215225</v>
      </c>
      <c r="B1443" s="2" t="str">
        <f>'Posted Sales Invoice Lines'!B1443</f>
        <v>20334</v>
      </c>
      <c r="C1443" s="2" t="str">
        <f>'Posted Sales Invoice Lines'!C1443</f>
        <v>Sysco Atlanta</v>
      </c>
      <c r="D1443" s="2" t="str">
        <f>'Posted Sales Invoice Lines'!E1443</f>
        <v>F53140</v>
      </c>
      <c r="E1443" s="2" t="str">
        <f>'Posted Sales Invoice Lines'!F1443</f>
        <v>Cs. Knuckies 8" White 12-6pk</v>
      </c>
      <c r="F1443" s="3">
        <f>'Posted Sales Invoice Lines'!G1443</f>
        <v>46156</v>
      </c>
      <c r="G1443" s="9">
        <f>'Posted Sales Invoice Lines'!L1443</f>
        <v>40</v>
      </c>
      <c r="H1443" s="8">
        <f>'Posted Sales Invoice Lines'!N1443</f>
        <v>41</v>
      </c>
      <c r="I1443" s="8">
        <f>'Posted Sales Invoice Lines'!O1443</f>
        <v>1640</v>
      </c>
    </row>
    <row r="1444" spans="1:9" x14ac:dyDescent="0.25">
      <c r="A1444" s="2" t="str">
        <f>'Posted Sales Invoice Lines'!A1444</f>
        <v>PS-INV215488</v>
      </c>
      <c r="B1444" s="2" t="str">
        <f>'Posted Sales Invoice Lines'!B1444</f>
        <v>10711</v>
      </c>
      <c r="C1444" s="2" t="str">
        <f>'Posted Sales Invoice Lines'!C1444</f>
        <v>Cheney Bros Statesville</v>
      </c>
      <c r="D1444" s="2" t="str">
        <f>'Posted Sales Invoice Lines'!E1444</f>
        <v>F530142</v>
      </c>
      <c r="E1444" s="2" t="str">
        <f>'Posted Sales Invoice Lines'!F1444</f>
        <v>Cs. Knot Roll 8-12pk</v>
      </c>
      <c r="F1444" s="3">
        <f>'Posted Sales Invoice Lines'!G1444</f>
        <v>46161</v>
      </c>
      <c r="G1444" s="9">
        <f>'Posted Sales Invoice Lines'!L1444</f>
        <v>336</v>
      </c>
      <c r="H1444" s="8">
        <f>'Posted Sales Invoice Lines'!N1444</f>
        <v>33.42</v>
      </c>
      <c r="I1444" s="8">
        <f>'Posted Sales Invoice Lines'!O1444</f>
        <v>11229.12</v>
      </c>
    </row>
    <row r="1445" spans="1:9" x14ac:dyDescent="0.25">
      <c r="A1445" s="2" t="str">
        <f>'Posted Sales Invoice Lines'!A1445</f>
        <v>PS-INV215573</v>
      </c>
      <c r="B1445" s="2" t="str">
        <f>'Posted Sales Invoice Lines'!B1445</f>
        <v>11394</v>
      </c>
      <c r="C1445" s="2" t="str">
        <f>'Posted Sales Invoice Lines'!C1445</f>
        <v>La Cosecha Food Service</v>
      </c>
      <c r="D1445" s="2" t="str">
        <f>'Posted Sales Invoice Lines'!E1445</f>
        <v>F53003</v>
      </c>
      <c r="E1445" s="2" t="str">
        <f>'Posted Sales Invoice Lines'!F1445</f>
        <v>Cs. 4" Unseeded Challah Bun 8-12pk</v>
      </c>
      <c r="F1445" s="3">
        <f>'Posted Sales Invoice Lines'!G1445</f>
        <v>46155</v>
      </c>
      <c r="G1445" s="9">
        <f>'Posted Sales Invoice Lines'!L1445</f>
        <v>20</v>
      </c>
      <c r="H1445" s="8">
        <f>'Posted Sales Invoice Lines'!N1445</f>
        <v>30.32</v>
      </c>
      <c r="I1445" s="8">
        <f>'Posted Sales Invoice Lines'!O1445</f>
        <v>606.4</v>
      </c>
    </row>
    <row r="1446" spans="1:9" x14ac:dyDescent="0.25">
      <c r="A1446" s="2" t="str">
        <f>'Posted Sales Invoice Lines'!A1446</f>
        <v>PS-INV215573</v>
      </c>
      <c r="B1446" s="2" t="str">
        <f>'Posted Sales Invoice Lines'!B1446</f>
        <v>11394</v>
      </c>
      <c r="C1446" s="2" t="str">
        <f>'Posted Sales Invoice Lines'!C1446</f>
        <v>La Cosecha Food Service</v>
      </c>
      <c r="D1446" s="2" t="str">
        <f>'Posted Sales Invoice Lines'!E1446</f>
        <v>F53127</v>
      </c>
      <c r="E1446" s="2" t="str">
        <f>'Posted Sales Invoice Lines'!F1446</f>
        <v>Cs. 8" Philly 10-6pks</v>
      </c>
      <c r="F1446" s="3">
        <f>'Posted Sales Invoice Lines'!G1446</f>
        <v>46155</v>
      </c>
      <c r="G1446" s="9">
        <f>'Posted Sales Invoice Lines'!L1446</f>
        <v>12</v>
      </c>
      <c r="H1446" s="8">
        <f>'Posted Sales Invoice Lines'!N1446</f>
        <v>53.2</v>
      </c>
      <c r="I1446" s="8">
        <f>'Posted Sales Invoice Lines'!O1446</f>
        <v>638.4</v>
      </c>
    </row>
    <row r="1447" spans="1:9" x14ac:dyDescent="0.25">
      <c r="A1447" s="2" t="str">
        <f>'Posted Sales Invoice Lines'!A1447</f>
        <v>PS-INV215573</v>
      </c>
      <c r="B1447" s="2" t="str">
        <f>'Posted Sales Invoice Lines'!B1447</f>
        <v>11394</v>
      </c>
      <c r="C1447" s="2" t="str">
        <f>'Posted Sales Invoice Lines'!C1447</f>
        <v>La Cosecha Food Service</v>
      </c>
      <c r="D1447" s="2" t="str">
        <f>'Posted Sales Invoice Lines'!E1447</f>
        <v>F530401</v>
      </c>
      <c r="E1447" s="2" t="str">
        <f>'Posted Sales Invoice Lines'!F1447</f>
        <v>Cs. 4.5" Sesame 6-12pk</v>
      </c>
      <c r="F1447" s="3">
        <f>'Posted Sales Invoice Lines'!G1447</f>
        <v>46155</v>
      </c>
      <c r="G1447" s="9">
        <f>'Posted Sales Invoice Lines'!L1447</f>
        <v>10</v>
      </c>
      <c r="H1447" s="8">
        <f>'Posted Sales Invoice Lines'!N1447</f>
        <v>34.18</v>
      </c>
      <c r="I1447" s="8">
        <f>'Posted Sales Invoice Lines'!O1447</f>
        <v>341.8</v>
      </c>
    </row>
    <row r="1448" spans="1:9" x14ac:dyDescent="0.25">
      <c r="A1448" s="2" t="str">
        <f>'Posted Sales Invoice Lines'!A1448</f>
        <v>PS-INV216512</v>
      </c>
      <c r="B1448" s="2" t="str">
        <f>'Posted Sales Invoice Lines'!B1448</f>
        <v>Z11655</v>
      </c>
      <c r="C1448" s="2" t="str">
        <f>'Posted Sales Invoice Lines'!C1448</f>
        <v>PFG Hickory NC</v>
      </c>
      <c r="D1448" s="2" t="str">
        <f>'Posted Sales Invoice Lines'!E1448</f>
        <v>F56251</v>
      </c>
      <c r="E1448" s="2" t="str">
        <f>'Posted Sales Invoice Lines'!F1448</f>
        <v>Cs. Challah Sliders Sliced 18-12pks</v>
      </c>
      <c r="F1448" s="3">
        <f>'Posted Sales Invoice Lines'!G1448</f>
        <v>46150</v>
      </c>
      <c r="G1448" s="9">
        <f>'Posted Sales Invoice Lines'!L1448</f>
        <v>28</v>
      </c>
      <c r="H1448" s="8">
        <f>'Posted Sales Invoice Lines'!N1448</f>
        <v>44</v>
      </c>
      <c r="I1448" s="8">
        <f>'Posted Sales Invoice Lines'!O1448</f>
        <v>1232</v>
      </c>
    </row>
    <row r="1449" spans="1:9" x14ac:dyDescent="0.25">
      <c r="A1449" s="2" t="str">
        <f>'Posted Sales Invoice Lines'!A1449</f>
        <v>PS-INV216519</v>
      </c>
      <c r="B1449" s="2" t="str">
        <f>'Posted Sales Invoice Lines'!B1449</f>
        <v>12988</v>
      </c>
      <c r="C1449" s="2" t="str">
        <f>'Posted Sales Invoice Lines'!C1449</f>
        <v>Sysco Norman OK</v>
      </c>
      <c r="D1449" s="2" t="str">
        <f>'Posted Sales Invoice Lines'!E1449</f>
        <v>F53001</v>
      </c>
      <c r="E1449" s="2" t="str">
        <f>'Posted Sales Invoice Lines'!F1449</f>
        <v>Cs. 4" Brioche Bun 8-12pk</v>
      </c>
      <c r="F1449" s="3">
        <f>'Posted Sales Invoice Lines'!G1449</f>
        <v>46162</v>
      </c>
      <c r="G1449" s="9">
        <f>'Posted Sales Invoice Lines'!L1449</f>
        <v>616</v>
      </c>
      <c r="H1449" s="8">
        <f>'Posted Sales Invoice Lines'!N1449</f>
        <v>46</v>
      </c>
      <c r="I1449" s="8">
        <f>'Posted Sales Invoice Lines'!O1449</f>
        <v>28336</v>
      </c>
    </row>
    <row r="1450" spans="1:9" x14ac:dyDescent="0.25">
      <c r="A1450" s="2" t="str">
        <f>'Posted Sales Invoice Lines'!A1450</f>
        <v>PS-INV216519</v>
      </c>
      <c r="B1450" s="2" t="str">
        <f>'Posted Sales Invoice Lines'!B1450</f>
        <v>12988</v>
      </c>
      <c r="C1450" s="2" t="str">
        <f>'Posted Sales Invoice Lines'!C1450</f>
        <v>Sysco Norman OK</v>
      </c>
      <c r="D1450" s="2" t="str">
        <f>'Posted Sales Invoice Lines'!E1450</f>
        <v>F530491</v>
      </c>
      <c r="E1450" s="2" t="str">
        <f>'Posted Sales Invoice Lines'!F1450</f>
        <v>Cs. 4.5 Brioche Bun 6-12pk</v>
      </c>
      <c r="F1450" s="3">
        <f>'Posted Sales Invoice Lines'!G1450</f>
        <v>46162</v>
      </c>
      <c r="G1450" s="9">
        <f>'Posted Sales Invoice Lines'!L1450</f>
        <v>49</v>
      </c>
      <c r="H1450" s="8">
        <f>'Posted Sales Invoice Lines'!N1450</f>
        <v>40</v>
      </c>
      <c r="I1450" s="8">
        <f>'Posted Sales Invoice Lines'!O1450</f>
        <v>1960</v>
      </c>
    </row>
    <row r="1451" spans="1:9" x14ac:dyDescent="0.25">
      <c r="A1451" s="2" t="str">
        <f>'Posted Sales Invoice Lines'!A1451</f>
        <v>PS-INV216519</v>
      </c>
      <c r="B1451" s="2" t="str">
        <f>'Posted Sales Invoice Lines'!B1451</f>
        <v>12988</v>
      </c>
      <c r="C1451" s="2" t="str">
        <f>'Posted Sales Invoice Lines'!C1451</f>
        <v>Sysco Norman OK</v>
      </c>
      <c r="D1451" s="2" t="str">
        <f>'Posted Sales Invoice Lines'!E1451</f>
        <v>F53140</v>
      </c>
      <c r="E1451" s="2" t="str">
        <f>'Posted Sales Invoice Lines'!F1451</f>
        <v>Cs. Knuckies 8" White 12-6pk</v>
      </c>
      <c r="F1451" s="3">
        <f>'Posted Sales Invoice Lines'!G1451</f>
        <v>46162</v>
      </c>
      <c r="G1451" s="9">
        <f>'Posted Sales Invoice Lines'!L1451</f>
        <v>56</v>
      </c>
      <c r="H1451" s="8">
        <f>'Posted Sales Invoice Lines'!N1451</f>
        <v>45</v>
      </c>
      <c r="I1451" s="8">
        <f>'Posted Sales Invoice Lines'!O1451</f>
        <v>2520</v>
      </c>
    </row>
    <row r="1452" spans="1:9" x14ac:dyDescent="0.25">
      <c r="A1452" s="2" t="str">
        <f>'Posted Sales Invoice Lines'!A1452</f>
        <v>PS-INV216537</v>
      </c>
      <c r="B1452" s="2" t="str">
        <f>'Posted Sales Invoice Lines'!B1452</f>
        <v>10540-01</v>
      </c>
      <c r="C1452" s="2" t="str">
        <f>'Posted Sales Invoice Lines'!C1452</f>
        <v>PFG Johnson City TN</v>
      </c>
      <c r="D1452" s="2" t="str">
        <f>'Posted Sales Invoice Lines'!E1452</f>
        <v>F53136</v>
      </c>
      <c r="E1452" s="2" t="str">
        <f>'Posted Sales Invoice Lines'!F1452</f>
        <v>Cs. 8" Squaw 12-6pks</v>
      </c>
      <c r="F1452" s="3">
        <f>'Posted Sales Invoice Lines'!G1452</f>
        <v>46156</v>
      </c>
      <c r="G1452" s="9">
        <f>'Posted Sales Invoice Lines'!L1452</f>
        <v>4</v>
      </c>
      <c r="H1452" s="8">
        <f>'Posted Sales Invoice Lines'!N1452</f>
        <v>43</v>
      </c>
      <c r="I1452" s="8">
        <f>'Posted Sales Invoice Lines'!O1452</f>
        <v>172</v>
      </c>
    </row>
    <row r="1453" spans="1:9" x14ac:dyDescent="0.25">
      <c r="A1453" s="2" t="str">
        <f>'Posted Sales Invoice Lines'!A1453</f>
        <v>PS-INV216537</v>
      </c>
      <c r="B1453" s="2" t="str">
        <f>'Posted Sales Invoice Lines'!B1453</f>
        <v>10540-01</v>
      </c>
      <c r="C1453" s="2" t="str">
        <f>'Posted Sales Invoice Lines'!C1453</f>
        <v>PFG Johnson City TN</v>
      </c>
      <c r="D1453" s="2" t="str">
        <f>'Posted Sales Invoice Lines'!E1453</f>
        <v>F53001</v>
      </c>
      <c r="E1453" s="2" t="str">
        <f>'Posted Sales Invoice Lines'!F1453</f>
        <v>Cs. 4" Brioche Bun 8-12pk</v>
      </c>
      <c r="F1453" s="3">
        <f>'Posted Sales Invoice Lines'!G1453</f>
        <v>46156</v>
      </c>
      <c r="G1453" s="9">
        <f>'Posted Sales Invoice Lines'!L1453</f>
        <v>12</v>
      </c>
      <c r="H1453" s="8">
        <f>'Posted Sales Invoice Lines'!N1453</f>
        <v>44</v>
      </c>
      <c r="I1453" s="8">
        <f>'Posted Sales Invoice Lines'!O1453</f>
        <v>528</v>
      </c>
    </row>
    <row r="1454" spans="1:9" x14ac:dyDescent="0.25">
      <c r="A1454" s="2" t="str">
        <f>'Posted Sales Invoice Lines'!A1454</f>
        <v>PS-INV216537</v>
      </c>
      <c r="B1454" s="2" t="str">
        <f>'Posted Sales Invoice Lines'!B1454</f>
        <v>10540-01</v>
      </c>
      <c r="C1454" s="2" t="str">
        <f>'Posted Sales Invoice Lines'!C1454</f>
        <v>PFG Johnson City TN</v>
      </c>
      <c r="D1454" s="2" t="str">
        <f>'Posted Sales Invoice Lines'!E1454</f>
        <v>F56251</v>
      </c>
      <c r="E1454" s="2" t="str">
        <f>'Posted Sales Invoice Lines'!F1454</f>
        <v>Cs. Challah Sliders Sliced 18-12pks</v>
      </c>
      <c r="F1454" s="3">
        <f>'Posted Sales Invoice Lines'!G1454</f>
        <v>46156</v>
      </c>
      <c r="G1454" s="9">
        <f>'Posted Sales Invoice Lines'!L1454</f>
        <v>20</v>
      </c>
      <c r="H1454" s="8">
        <f>'Posted Sales Invoice Lines'!N1454</f>
        <v>42.11</v>
      </c>
      <c r="I1454" s="8">
        <f>'Posted Sales Invoice Lines'!O1454</f>
        <v>842.2</v>
      </c>
    </row>
    <row r="1455" spans="1:9" x14ac:dyDescent="0.25">
      <c r="A1455" s="2" t="str">
        <f>'Posted Sales Invoice Lines'!A1455</f>
        <v>PS-INV216537</v>
      </c>
      <c r="B1455" s="2" t="str">
        <f>'Posted Sales Invoice Lines'!B1455</f>
        <v>10540-01</v>
      </c>
      <c r="C1455" s="2" t="str">
        <f>'Posted Sales Invoice Lines'!C1455</f>
        <v>PFG Johnson City TN</v>
      </c>
      <c r="D1455" s="2" t="str">
        <f>'Posted Sales Invoice Lines'!E1455</f>
        <v>F53003</v>
      </c>
      <c r="E1455" s="2" t="str">
        <f>'Posted Sales Invoice Lines'!F1455</f>
        <v>Cs. 4" Unseeded Challah Bun 8-12pk</v>
      </c>
      <c r="F1455" s="3">
        <f>'Posted Sales Invoice Lines'!G1455</f>
        <v>46156</v>
      </c>
      <c r="G1455" s="9">
        <f>'Posted Sales Invoice Lines'!L1455</f>
        <v>84</v>
      </c>
      <c r="H1455" s="8">
        <f>'Posted Sales Invoice Lines'!N1455</f>
        <v>38.75</v>
      </c>
      <c r="I1455" s="8">
        <f>'Posted Sales Invoice Lines'!O1455</f>
        <v>3255</v>
      </c>
    </row>
    <row r="1456" spans="1:9" x14ac:dyDescent="0.25">
      <c r="A1456" s="2" t="str">
        <f>'Posted Sales Invoice Lines'!A1456</f>
        <v>PS-INV216537</v>
      </c>
      <c r="B1456" s="2" t="str">
        <f>'Posted Sales Invoice Lines'!B1456</f>
        <v>10540-01</v>
      </c>
      <c r="C1456" s="2" t="str">
        <f>'Posted Sales Invoice Lines'!C1456</f>
        <v>PFG Johnson City TN</v>
      </c>
      <c r="D1456" s="2" t="str">
        <f>'Posted Sales Invoice Lines'!E1456</f>
        <v>F531052</v>
      </c>
      <c r="E1456" s="2" t="str">
        <f>'Posted Sales Invoice Lines'!F1456</f>
        <v>Cs. 6" Hot Dog Top Sliced 12-12pk</v>
      </c>
      <c r="F1456" s="3">
        <f>'Posted Sales Invoice Lines'!G1456</f>
        <v>46156</v>
      </c>
      <c r="G1456" s="9">
        <f>'Posted Sales Invoice Lines'!L1456</f>
        <v>12</v>
      </c>
      <c r="H1456" s="8">
        <f>'Posted Sales Invoice Lines'!N1456</f>
        <v>40.78</v>
      </c>
      <c r="I1456" s="8">
        <f>'Posted Sales Invoice Lines'!O1456</f>
        <v>489.36</v>
      </c>
    </row>
    <row r="1457" spans="1:9" x14ac:dyDescent="0.25">
      <c r="A1457" s="2" t="str">
        <f>'Posted Sales Invoice Lines'!A1457</f>
        <v>PS-INV216537</v>
      </c>
      <c r="B1457" s="2" t="str">
        <f>'Posted Sales Invoice Lines'!B1457</f>
        <v>10540-01</v>
      </c>
      <c r="C1457" s="2" t="str">
        <f>'Posted Sales Invoice Lines'!C1457</f>
        <v>PFG Johnson City TN</v>
      </c>
      <c r="D1457" s="2" t="str">
        <f>'Posted Sales Invoice Lines'!E1457</f>
        <v>F51157</v>
      </c>
      <c r="E1457" s="2" t="str">
        <f>'Posted Sales Invoice Lines'!F1457</f>
        <v>Cs. Challah Hearth 7/8" 8lvs</v>
      </c>
      <c r="F1457" s="3">
        <f>'Posted Sales Invoice Lines'!G1457</f>
        <v>46156</v>
      </c>
      <c r="G1457" s="9">
        <f>'Posted Sales Invoice Lines'!L1457</f>
        <v>8</v>
      </c>
      <c r="H1457" s="8">
        <f>'Posted Sales Invoice Lines'!N1457</f>
        <v>44.65</v>
      </c>
      <c r="I1457" s="8">
        <f>'Posted Sales Invoice Lines'!O1457</f>
        <v>357.2</v>
      </c>
    </row>
    <row r="1458" spans="1:9" x14ac:dyDescent="0.25">
      <c r="A1458" s="2" t="str">
        <f>'Posted Sales Invoice Lines'!A1458</f>
        <v>PS-INV216537</v>
      </c>
      <c r="B1458" s="2" t="str">
        <f>'Posted Sales Invoice Lines'!B1458</f>
        <v>10540-01</v>
      </c>
      <c r="C1458" s="2" t="str">
        <f>'Posted Sales Invoice Lines'!C1458</f>
        <v>PFG Johnson City TN</v>
      </c>
      <c r="D1458" s="2" t="str">
        <f>'Posted Sales Invoice Lines'!E1458</f>
        <v>F51136</v>
      </c>
      <c r="E1458" s="2" t="str">
        <f>'Posted Sales Invoice Lines'!F1458</f>
        <v>Cs. Texas Toast 1" 12lvs</v>
      </c>
      <c r="F1458" s="3">
        <f>'Posted Sales Invoice Lines'!G1458</f>
        <v>46156</v>
      </c>
      <c r="G1458" s="9">
        <f>'Posted Sales Invoice Lines'!L1458</f>
        <v>24</v>
      </c>
      <c r="H1458" s="8">
        <f>'Posted Sales Invoice Lines'!N1458</f>
        <v>40.619999999999997</v>
      </c>
      <c r="I1458" s="8">
        <f>'Posted Sales Invoice Lines'!O1458</f>
        <v>974.88</v>
      </c>
    </row>
    <row r="1459" spans="1:9" x14ac:dyDescent="0.25">
      <c r="A1459" s="2" t="str">
        <f>'Posted Sales Invoice Lines'!A1459</f>
        <v>PS-INV216537</v>
      </c>
      <c r="B1459" s="2" t="str">
        <f>'Posted Sales Invoice Lines'!B1459</f>
        <v>10540-01</v>
      </c>
      <c r="C1459" s="2" t="str">
        <f>'Posted Sales Invoice Lines'!C1459</f>
        <v>PFG Johnson City TN</v>
      </c>
      <c r="D1459" s="2" t="str">
        <f>'Posted Sales Invoice Lines'!E1459</f>
        <v>F51000</v>
      </c>
      <c r="E1459" s="2" t="str">
        <f>'Posted Sales Invoice Lines'!F1459</f>
        <v>Cs. Rye Bread 8lvs</v>
      </c>
      <c r="F1459" s="3">
        <f>'Posted Sales Invoice Lines'!G1459</f>
        <v>46156</v>
      </c>
      <c r="G1459" s="9">
        <f>'Posted Sales Invoice Lines'!L1459</f>
        <v>4</v>
      </c>
      <c r="H1459" s="8">
        <f>'Posted Sales Invoice Lines'!N1459</f>
        <v>41.6</v>
      </c>
      <c r="I1459" s="8">
        <f>'Posted Sales Invoice Lines'!O1459</f>
        <v>166.4</v>
      </c>
    </row>
    <row r="1460" spans="1:9" x14ac:dyDescent="0.25">
      <c r="A1460" s="2" t="str">
        <f>'Posted Sales Invoice Lines'!A1460</f>
        <v>PS-INV216537</v>
      </c>
      <c r="B1460" s="2" t="str">
        <f>'Posted Sales Invoice Lines'!B1460</f>
        <v>10540-01</v>
      </c>
      <c r="C1460" s="2" t="str">
        <f>'Posted Sales Invoice Lines'!C1460</f>
        <v>PFG Johnson City TN</v>
      </c>
      <c r="D1460" s="2" t="str">
        <f>'Posted Sales Invoice Lines'!E1460</f>
        <v>F53094</v>
      </c>
      <c r="E1460" s="2" t="str">
        <f>'Posted Sales Invoice Lines'!F1460</f>
        <v>Cs. 6" Italian 12-6pks</v>
      </c>
      <c r="F1460" s="3">
        <f>'Posted Sales Invoice Lines'!G1460</f>
        <v>46156</v>
      </c>
      <c r="G1460" s="9">
        <f>'Posted Sales Invoice Lines'!L1460</f>
        <v>72</v>
      </c>
      <c r="H1460" s="8">
        <f>'Posted Sales Invoice Lines'!N1460</f>
        <v>35</v>
      </c>
      <c r="I1460" s="8">
        <f>'Posted Sales Invoice Lines'!O1460</f>
        <v>2520</v>
      </c>
    </row>
    <row r="1461" spans="1:9" x14ac:dyDescent="0.25">
      <c r="A1461" s="2" t="str">
        <f>'Posted Sales Invoice Lines'!A1461</f>
        <v>PS-INV216537</v>
      </c>
      <c r="B1461" s="2" t="str">
        <f>'Posted Sales Invoice Lines'!B1461</f>
        <v>10540-01</v>
      </c>
      <c r="C1461" s="2" t="str">
        <f>'Posted Sales Invoice Lines'!C1461</f>
        <v>PFG Johnson City TN</v>
      </c>
      <c r="D1461" s="2" t="str">
        <f>'Posted Sales Invoice Lines'!E1461</f>
        <v>F53100</v>
      </c>
      <c r="E1461" s="2" t="str">
        <f>'Posted Sales Invoice Lines'!F1461</f>
        <v>Cs. Hot Dog pl/sl 12-8pk</v>
      </c>
      <c r="F1461" s="3">
        <f>'Posted Sales Invoice Lines'!G1461</f>
        <v>46156</v>
      </c>
      <c r="G1461" s="9">
        <f>'Posted Sales Invoice Lines'!L1461</f>
        <v>12</v>
      </c>
      <c r="H1461" s="8">
        <f>'Posted Sales Invoice Lines'!N1461</f>
        <v>36.18</v>
      </c>
      <c r="I1461" s="8">
        <f>'Posted Sales Invoice Lines'!O1461</f>
        <v>434.16</v>
      </c>
    </row>
    <row r="1462" spans="1:9" x14ac:dyDescent="0.25">
      <c r="A1462" s="2" t="str">
        <f>'Posted Sales Invoice Lines'!A1462</f>
        <v>PS-INV216537</v>
      </c>
      <c r="B1462" s="2" t="str">
        <f>'Posted Sales Invoice Lines'!B1462</f>
        <v>10540-01</v>
      </c>
      <c r="C1462" s="2" t="str">
        <f>'Posted Sales Invoice Lines'!C1462</f>
        <v>PFG Johnson City TN</v>
      </c>
      <c r="D1462" s="2" t="str">
        <f>'Posted Sales Invoice Lines'!E1462</f>
        <v>F51024</v>
      </c>
      <c r="E1462" s="2" t="str">
        <f>'Posted Sales Invoice Lines'!F1462</f>
        <v>Cs. Marble Rye 5/8" 8lvs</v>
      </c>
      <c r="F1462" s="3">
        <f>'Posted Sales Invoice Lines'!G1462</f>
        <v>46156</v>
      </c>
      <c r="G1462" s="9">
        <f>'Posted Sales Invoice Lines'!L1462</f>
        <v>4</v>
      </c>
      <c r="H1462" s="8">
        <f>'Posted Sales Invoice Lines'!N1462</f>
        <v>53</v>
      </c>
      <c r="I1462" s="8">
        <f>'Posted Sales Invoice Lines'!O1462</f>
        <v>212</v>
      </c>
    </row>
    <row r="1463" spans="1:9" x14ac:dyDescent="0.25">
      <c r="A1463" s="2" t="str">
        <f>'Posted Sales Invoice Lines'!A1463</f>
        <v>PS-INV216537</v>
      </c>
      <c r="B1463" s="2" t="str">
        <f>'Posted Sales Invoice Lines'!B1463</f>
        <v>10540-01</v>
      </c>
      <c r="C1463" s="2" t="str">
        <f>'Posted Sales Invoice Lines'!C1463</f>
        <v>PFG Johnson City TN</v>
      </c>
      <c r="D1463" s="2" t="str">
        <f>'Posted Sales Invoice Lines'!E1463</f>
        <v>F51034</v>
      </c>
      <c r="E1463" s="2" t="str">
        <f>'Posted Sales Invoice Lines'!F1463</f>
        <v>Cs. Sour Dough Hearth 5/8" 8lvs</v>
      </c>
      <c r="F1463" s="3">
        <f>'Posted Sales Invoice Lines'!G1463</f>
        <v>46156</v>
      </c>
      <c r="G1463" s="9">
        <f>'Posted Sales Invoice Lines'!L1463</f>
        <v>36</v>
      </c>
      <c r="H1463" s="8">
        <f>'Posted Sales Invoice Lines'!N1463</f>
        <v>43.82</v>
      </c>
      <c r="I1463" s="8">
        <f>'Posted Sales Invoice Lines'!O1463</f>
        <v>1577.52</v>
      </c>
    </row>
    <row r="1464" spans="1:9" x14ac:dyDescent="0.25">
      <c r="A1464" s="2" t="str">
        <f>'Posted Sales Invoice Lines'!A1464</f>
        <v>PS-INV216537</v>
      </c>
      <c r="B1464" s="2" t="str">
        <f>'Posted Sales Invoice Lines'!B1464</f>
        <v>10540-01</v>
      </c>
      <c r="C1464" s="2" t="str">
        <f>'Posted Sales Invoice Lines'!C1464</f>
        <v>PFG Johnson City TN</v>
      </c>
      <c r="D1464" s="2" t="str">
        <f>'Posted Sales Invoice Lines'!E1464</f>
        <v>F51383</v>
      </c>
      <c r="E1464" s="2" t="str">
        <f>'Posted Sales Invoice Lines'!F1464</f>
        <v>Cs. Challah Pullman 3/4" 10lvs</v>
      </c>
      <c r="F1464" s="3">
        <f>'Posted Sales Invoice Lines'!G1464</f>
        <v>46156</v>
      </c>
      <c r="G1464" s="9">
        <f>'Posted Sales Invoice Lines'!L1464</f>
        <v>12</v>
      </c>
      <c r="H1464" s="8">
        <f>'Posted Sales Invoice Lines'!N1464</f>
        <v>55.13</v>
      </c>
      <c r="I1464" s="8">
        <f>'Posted Sales Invoice Lines'!O1464</f>
        <v>661.56</v>
      </c>
    </row>
    <row r="1465" spans="1:9" x14ac:dyDescent="0.25">
      <c r="A1465" s="2" t="str">
        <f>'Posted Sales Invoice Lines'!A1465</f>
        <v>PS-INV216842</v>
      </c>
      <c r="B1465" s="2" t="str">
        <f>'Posted Sales Invoice Lines'!B1465</f>
        <v>10540-03</v>
      </c>
      <c r="C1465" s="2" t="str">
        <f>'Posted Sales Invoice Lines'!C1465</f>
        <v>PFG Louisville TN</v>
      </c>
      <c r="D1465" s="2" t="str">
        <f>'Posted Sales Invoice Lines'!E1465</f>
        <v>F53001</v>
      </c>
      <c r="E1465" s="2" t="str">
        <f>'Posted Sales Invoice Lines'!F1465</f>
        <v>Cs. 4" Brioche Bun 8-12pk</v>
      </c>
      <c r="F1465" s="3">
        <f>'Posted Sales Invoice Lines'!G1465</f>
        <v>46156</v>
      </c>
      <c r="G1465" s="9">
        <f>'Posted Sales Invoice Lines'!L1465</f>
        <v>196</v>
      </c>
      <c r="H1465" s="8">
        <f>'Posted Sales Invoice Lines'!N1465</f>
        <v>42.6</v>
      </c>
      <c r="I1465" s="8">
        <f>'Posted Sales Invoice Lines'!O1465</f>
        <v>8349.6</v>
      </c>
    </row>
    <row r="1466" spans="1:9" x14ac:dyDescent="0.25">
      <c r="A1466" s="2" t="str">
        <f>'Posted Sales Invoice Lines'!A1466</f>
        <v>PS-INV216842</v>
      </c>
      <c r="B1466" s="2" t="str">
        <f>'Posted Sales Invoice Lines'!B1466</f>
        <v>10540-03</v>
      </c>
      <c r="C1466" s="2" t="str">
        <f>'Posted Sales Invoice Lines'!C1466</f>
        <v>PFG Louisville TN</v>
      </c>
      <c r="D1466" s="2" t="str">
        <f>'Posted Sales Invoice Lines'!E1466</f>
        <v>F52552</v>
      </c>
      <c r="E1466" s="2" t="str">
        <f>'Posted Sales Invoice Lines'!F1466</f>
        <v>Cs. Multigrain Batard Unsliced 8lvs</v>
      </c>
      <c r="F1466" s="3">
        <f>'Posted Sales Invoice Lines'!G1466</f>
        <v>46156</v>
      </c>
      <c r="G1466" s="9">
        <f>'Posted Sales Invoice Lines'!L1466</f>
        <v>8</v>
      </c>
      <c r="H1466" s="8">
        <f>'Posted Sales Invoice Lines'!N1466</f>
        <v>64</v>
      </c>
      <c r="I1466" s="8">
        <f>'Posted Sales Invoice Lines'!O1466</f>
        <v>512</v>
      </c>
    </row>
    <row r="1467" spans="1:9" x14ac:dyDescent="0.25">
      <c r="A1467" s="2" t="str">
        <f>'Posted Sales Invoice Lines'!A1467</f>
        <v>PS-INV216842</v>
      </c>
      <c r="B1467" s="2" t="str">
        <f>'Posted Sales Invoice Lines'!B1467</f>
        <v>10540-03</v>
      </c>
      <c r="C1467" s="2" t="str">
        <f>'Posted Sales Invoice Lines'!C1467</f>
        <v>PFG Louisville TN</v>
      </c>
      <c r="D1467" s="2" t="str">
        <f>'Posted Sales Invoice Lines'!E1467</f>
        <v>F53160</v>
      </c>
      <c r="E1467" s="2" t="str">
        <f>'Posted Sales Invoice Lines'!F1467</f>
        <v>Cs. Large White Sub 6-6pk</v>
      </c>
      <c r="F1467" s="3">
        <f>'Posted Sales Invoice Lines'!G1467</f>
        <v>46156</v>
      </c>
      <c r="G1467" s="9">
        <f>'Posted Sales Invoice Lines'!L1467</f>
        <v>12</v>
      </c>
      <c r="H1467" s="8">
        <f>'Posted Sales Invoice Lines'!N1467</f>
        <v>34.200000000000003</v>
      </c>
      <c r="I1467" s="8">
        <f>'Posted Sales Invoice Lines'!O1467</f>
        <v>410.4</v>
      </c>
    </row>
    <row r="1468" spans="1:9" x14ac:dyDescent="0.25">
      <c r="A1468" s="2" t="str">
        <f>'Posted Sales Invoice Lines'!A1468</f>
        <v>PS-INV216842</v>
      </c>
      <c r="B1468" s="2" t="str">
        <f>'Posted Sales Invoice Lines'!B1468</f>
        <v>10540-03</v>
      </c>
      <c r="C1468" s="2" t="str">
        <f>'Posted Sales Invoice Lines'!C1468</f>
        <v>PFG Louisville TN</v>
      </c>
      <c r="D1468" s="2" t="str">
        <f>'Posted Sales Invoice Lines'!E1468</f>
        <v>F53180</v>
      </c>
      <c r="E1468" s="2" t="str">
        <f>'Posted Sales Invoice Lines'!F1468</f>
        <v>Cs. Large Pumpernickel Sub 6-6pk</v>
      </c>
      <c r="F1468" s="3">
        <f>'Posted Sales Invoice Lines'!G1468</f>
        <v>46156</v>
      </c>
      <c r="G1468" s="9">
        <f>'Posted Sales Invoice Lines'!L1468</f>
        <v>24</v>
      </c>
      <c r="H1468" s="8">
        <f>'Posted Sales Invoice Lines'!N1468</f>
        <v>35.65</v>
      </c>
      <c r="I1468" s="8">
        <f>'Posted Sales Invoice Lines'!O1468</f>
        <v>855.6</v>
      </c>
    </row>
    <row r="1469" spans="1:9" x14ac:dyDescent="0.25">
      <c r="A1469" s="2" t="str">
        <f>'Posted Sales Invoice Lines'!A1469</f>
        <v>PS-INV216842</v>
      </c>
      <c r="B1469" s="2" t="str">
        <f>'Posted Sales Invoice Lines'!B1469</f>
        <v>10540-03</v>
      </c>
      <c r="C1469" s="2" t="str">
        <f>'Posted Sales Invoice Lines'!C1469</f>
        <v>PFG Louisville TN</v>
      </c>
      <c r="D1469" s="2" t="str">
        <f>'Posted Sales Invoice Lines'!E1469</f>
        <v>F51137</v>
      </c>
      <c r="E1469" s="2" t="str">
        <f>'Posted Sales Invoice Lines'!F1469</f>
        <v>Cs. Texas Toast 3/4" 12lvs</v>
      </c>
      <c r="F1469" s="3">
        <f>'Posted Sales Invoice Lines'!G1469</f>
        <v>46156</v>
      </c>
      <c r="G1469" s="9">
        <f>'Posted Sales Invoice Lines'!L1469</f>
        <v>0</v>
      </c>
      <c r="H1469" s="8">
        <f>'Posted Sales Invoice Lines'!N1469</f>
        <v>40.619999999999997</v>
      </c>
      <c r="I1469" s="8">
        <f>'Posted Sales Invoice Lines'!O1469</f>
        <v>0</v>
      </c>
    </row>
    <row r="1470" spans="1:9" x14ac:dyDescent="0.25">
      <c r="A1470" s="2" t="str">
        <f>'Posted Sales Invoice Lines'!A1470</f>
        <v>PS-INV216842</v>
      </c>
      <c r="B1470" s="2" t="str">
        <f>'Posted Sales Invoice Lines'!B1470</f>
        <v>10540-03</v>
      </c>
      <c r="C1470" s="2" t="str">
        <f>'Posted Sales Invoice Lines'!C1470</f>
        <v>PFG Louisville TN</v>
      </c>
      <c r="D1470" s="2" t="str">
        <f>'Posted Sales Invoice Lines'!E1470</f>
        <v>F53091</v>
      </c>
      <c r="E1470" s="2" t="str">
        <f>'Posted Sales Invoice Lines'!F1470</f>
        <v>Cs. 6" Hoagie Slab Cut 12-6pk</v>
      </c>
      <c r="F1470" s="3">
        <f>'Posted Sales Invoice Lines'!G1470</f>
        <v>46156</v>
      </c>
      <c r="G1470" s="9">
        <f>'Posted Sales Invoice Lines'!L1470</f>
        <v>8</v>
      </c>
      <c r="H1470" s="8">
        <f>'Posted Sales Invoice Lines'!N1470</f>
        <v>35</v>
      </c>
      <c r="I1470" s="8">
        <f>'Posted Sales Invoice Lines'!O1470</f>
        <v>280</v>
      </c>
    </row>
    <row r="1471" spans="1:9" x14ac:dyDescent="0.25">
      <c r="A1471" s="2" t="str">
        <f>'Posted Sales Invoice Lines'!A1471</f>
        <v>PS-INV216842</v>
      </c>
      <c r="B1471" s="2" t="str">
        <f>'Posted Sales Invoice Lines'!B1471</f>
        <v>10540-03</v>
      </c>
      <c r="C1471" s="2" t="str">
        <f>'Posted Sales Invoice Lines'!C1471</f>
        <v>PFG Louisville TN</v>
      </c>
      <c r="D1471" s="2" t="str">
        <f>'Posted Sales Invoice Lines'!E1471</f>
        <v>F53110</v>
      </c>
      <c r="E1471" s="2" t="str">
        <f>'Posted Sales Invoice Lines'!F1471</f>
        <v>Cs. Foot Long Challah Hot Dog Buns 10-6pk</v>
      </c>
      <c r="F1471" s="3">
        <f>'Posted Sales Invoice Lines'!G1471</f>
        <v>46156</v>
      </c>
      <c r="G1471" s="9">
        <f>'Posted Sales Invoice Lines'!L1471</f>
        <v>0</v>
      </c>
      <c r="H1471" s="8">
        <f>'Posted Sales Invoice Lines'!N1471</f>
        <v>39.25</v>
      </c>
      <c r="I1471" s="8">
        <f>'Posted Sales Invoice Lines'!O1471</f>
        <v>0</v>
      </c>
    </row>
    <row r="1472" spans="1:9" x14ac:dyDescent="0.25">
      <c r="A1472" s="2" t="str">
        <f>'Posted Sales Invoice Lines'!A1472</f>
        <v>PS-INV216842</v>
      </c>
      <c r="B1472" s="2" t="str">
        <f>'Posted Sales Invoice Lines'!B1472</f>
        <v>10540-03</v>
      </c>
      <c r="C1472" s="2" t="str">
        <f>'Posted Sales Invoice Lines'!C1472</f>
        <v>PFG Louisville TN</v>
      </c>
      <c r="D1472" s="2" t="str">
        <f>'Posted Sales Invoice Lines'!E1472</f>
        <v>F530421</v>
      </c>
      <c r="E1472" s="2" t="str">
        <f>'Posted Sales Invoice Lines'!F1472</f>
        <v>Cs. 4.5" Challah Buns 6-12pk.</v>
      </c>
      <c r="F1472" s="3">
        <f>'Posted Sales Invoice Lines'!G1472</f>
        <v>46156</v>
      </c>
      <c r="G1472" s="9">
        <f>'Posted Sales Invoice Lines'!L1472</f>
        <v>28</v>
      </c>
      <c r="H1472" s="8">
        <f>'Posted Sales Invoice Lines'!N1472</f>
        <v>38.299999999999997</v>
      </c>
      <c r="I1472" s="8">
        <f>'Posted Sales Invoice Lines'!O1472</f>
        <v>1072.4000000000001</v>
      </c>
    </row>
    <row r="1473" spans="1:9" x14ac:dyDescent="0.25">
      <c r="A1473" s="2" t="str">
        <f>'Posted Sales Invoice Lines'!A1473</f>
        <v>PS-INV216842</v>
      </c>
      <c r="B1473" s="2" t="str">
        <f>'Posted Sales Invoice Lines'!B1473</f>
        <v>10540-03</v>
      </c>
      <c r="C1473" s="2" t="str">
        <f>'Posted Sales Invoice Lines'!C1473</f>
        <v>PFG Louisville TN</v>
      </c>
      <c r="D1473" s="2" t="str">
        <f>'Posted Sales Invoice Lines'!E1473</f>
        <v>F53105</v>
      </c>
      <c r="E1473" s="2" t="str">
        <f>'Posted Sales Invoice Lines'!F1473</f>
        <v>Cs. 6" White Hot Dog 16-8pk</v>
      </c>
      <c r="F1473" s="3">
        <f>'Posted Sales Invoice Lines'!G1473</f>
        <v>46156</v>
      </c>
      <c r="G1473" s="9">
        <f>'Posted Sales Invoice Lines'!L1473</f>
        <v>96</v>
      </c>
      <c r="H1473" s="8">
        <f>'Posted Sales Invoice Lines'!N1473</f>
        <v>34.5</v>
      </c>
      <c r="I1473" s="8">
        <f>'Posted Sales Invoice Lines'!O1473</f>
        <v>3312</v>
      </c>
    </row>
    <row r="1474" spans="1:9" x14ac:dyDescent="0.25">
      <c r="A1474" s="2" t="str">
        <f>'Posted Sales Invoice Lines'!A1474</f>
        <v>PS-INV216842</v>
      </c>
      <c r="B1474" s="2" t="str">
        <f>'Posted Sales Invoice Lines'!B1474</f>
        <v>10540-03</v>
      </c>
      <c r="C1474" s="2" t="str">
        <f>'Posted Sales Invoice Lines'!C1474</f>
        <v>PFG Louisville TN</v>
      </c>
      <c r="D1474" s="2" t="str">
        <f>'Posted Sales Invoice Lines'!E1474</f>
        <v>F53094</v>
      </c>
      <c r="E1474" s="2" t="str">
        <f>'Posted Sales Invoice Lines'!F1474</f>
        <v>Cs. 6" Italian 12-6pks</v>
      </c>
      <c r="F1474" s="3">
        <f>'Posted Sales Invoice Lines'!G1474</f>
        <v>46156</v>
      </c>
      <c r="G1474" s="9">
        <f>'Posted Sales Invoice Lines'!L1474</f>
        <v>28</v>
      </c>
      <c r="H1474" s="8">
        <f>'Posted Sales Invoice Lines'!N1474</f>
        <v>35</v>
      </c>
      <c r="I1474" s="8">
        <f>'Posted Sales Invoice Lines'!O1474</f>
        <v>980</v>
      </c>
    </row>
    <row r="1475" spans="1:9" x14ac:dyDescent="0.25">
      <c r="A1475" s="2" t="str">
        <f>'Posted Sales Invoice Lines'!A1475</f>
        <v>PS-INV216842</v>
      </c>
      <c r="B1475" s="2" t="str">
        <f>'Posted Sales Invoice Lines'!B1475</f>
        <v>10540-03</v>
      </c>
      <c r="C1475" s="2" t="str">
        <f>'Posted Sales Invoice Lines'!C1475</f>
        <v>PFG Louisville TN</v>
      </c>
      <c r="D1475" s="2" t="str">
        <f>'Posted Sales Invoice Lines'!E1475</f>
        <v>F53100</v>
      </c>
      <c r="E1475" s="2" t="str">
        <f>'Posted Sales Invoice Lines'!F1475</f>
        <v>Cs. Hot Dog pl/sl 12-8pk</v>
      </c>
      <c r="F1475" s="3">
        <f>'Posted Sales Invoice Lines'!G1475</f>
        <v>46156</v>
      </c>
      <c r="G1475" s="9">
        <f>'Posted Sales Invoice Lines'!L1475</f>
        <v>10</v>
      </c>
      <c r="H1475" s="8">
        <f>'Posted Sales Invoice Lines'!N1475</f>
        <v>36.18</v>
      </c>
      <c r="I1475" s="8">
        <f>'Posted Sales Invoice Lines'!O1475</f>
        <v>361.8</v>
      </c>
    </row>
    <row r="1476" spans="1:9" x14ac:dyDescent="0.25">
      <c r="A1476" s="2" t="str">
        <f>'Posted Sales Invoice Lines'!A1476</f>
        <v>PS-INV216842</v>
      </c>
      <c r="B1476" s="2" t="str">
        <f>'Posted Sales Invoice Lines'!B1476</f>
        <v>10540-03</v>
      </c>
      <c r="C1476" s="2" t="str">
        <f>'Posted Sales Invoice Lines'!C1476</f>
        <v>PFG Louisville TN</v>
      </c>
      <c r="D1476" s="2" t="str">
        <f>'Posted Sales Invoice Lines'!E1476</f>
        <v>F53106</v>
      </c>
      <c r="E1476" s="2" t="str">
        <f>'Posted Sales Invoice Lines'!F1476</f>
        <v>Cs. Large Hot Dog 12-6pk</v>
      </c>
      <c r="F1476" s="3">
        <f>'Posted Sales Invoice Lines'!G1476</f>
        <v>46156</v>
      </c>
      <c r="G1476" s="9">
        <f>'Posted Sales Invoice Lines'!L1476</f>
        <v>4</v>
      </c>
      <c r="H1476" s="8">
        <f>'Posted Sales Invoice Lines'!N1476</f>
        <v>36.07</v>
      </c>
      <c r="I1476" s="8">
        <f>'Posted Sales Invoice Lines'!O1476</f>
        <v>144.28</v>
      </c>
    </row>
    <row r="1477" spans="1:9" x14ac:dyDescent="0.25">
      <c r="A1477" s="2" t="str">
        <f>'Posted Sales Invoice Lines'!A1477</f>
        <v>PS-INV216842</v>
      </c>
      <c r="B1477" s="2" t="str">
        <f>'Posted Sales Invoice Lines'!B1477</f>
        <v>10540-03</v>
      </c>
      <c r="C1477" s="2" t="str">
        <f>'Posted Sales Invoice Lines'!C1477</f>
        <v>PFG Louisville TN</v>
      </c>
      <c r="D1477" s="2" t="str">
        <f>'Posted Sales Invoice Lines'!E1477</f>
        <v>F51034</v>
      </c>
      <c r="E1477" s="2" t="str">
        <f>'Posted Sales Invoice Lines'!F1477</f>
        <v>Cs. Sour Dough Hearth 5/8" 8lvs</v>
      </c>
      <c r="F1477" s="3">
        <f>'Posted Sales Invoice Lines'!G1477</f>
        <v>46156</v>
      </c>
      <c r="G1477" s="9">
        <f>'Posted Sales Invoice Lines'!L1477</f>
        <v>24</v>
      </c>
      <c r="H1477" s="8">
        <f>'Posted Sales Invoice Lines'!N1477</f>
        <v>43.82</v>
      </c>
      <c r="I1477" s="8">
        <f>'Posted Sales Invoice Lines'!O1477</f>
        <v>1051.68</v>
      </c>
    </row>
    <row r="1478" spans="1:9" x14ac:dyDescent="0.25">
      <c r="A1478" s="2" t="str">
        <f>'Posted Sales Invoice Lines'!A1478</f>
        <v>PS-INV216842</v>
      </c>
      <c r="B1478" s="2" t="str">
        <f>'Posted Sales Invoice Lines'!B1478</f>
        <v>10540-03</v>
      </c>
      <c r="C1478" s="2" t="str">
        <f>'Posted Sales Invoice Lines'!C1478</f>
        <v>PFG Louisville TN</v>
      </c>
      <c r="D1478" s="2" t="str">
        <f>'Posted Sales Invoice Lines'!E1478</f>
        <v>F53170</v>
      </c>
      <c r="E1478" s="2" t="str">
        <f>'Posted Sales Invoice Lines'!F1478</f>
        <v>Cs. Large Country Wheat Sub 6-6pk</v>
      </c>
      <c r="F1478" s="3">
        <f>'Posted Sales Invoice Lines'!G1478</f>
        <v>46156</v>
      </c>
      <c r="G1478" s="9">
        <f>'Posted Sales Invoice Lines'!L1478</f>
        <v>28</v>
      </c>
      <c r="H1478" s="8">
        <f>'Posted Sales Invoice Lines'!N1478</f>
        <v>35.65</v>
      </c>
      <c r="I1478" s="8">
        <f>'Posted Sales Invoice Lines'!O1478</f>
        <v>998.2</v>
      </c>
    </row>
    <row r="1479" spans="1:9" x14ac:dyDescent="0.25">
      <c r="A1479" s="2" t="str">
        <f>'Posted Sales Invoice Lines'!A1479</f>
        <v>PS-INV216842</v>
      </c>
      <c r="B1479" s="2" t="str">
        <f>'Posted Sales Invoice Lines'!B1479</f>
        <v>10540-03</v>
      </c>
      <c r="C1479" s="2" t="str">
        <f>'Posted Sales Invoice Lines'!C1479</f>
        <v>PFG Louisville TN</v>
      </c>
      <c r="D1479" s="2" t="str">
        <f>'Posted Sales Invoice Lines'!E1479</f>
        <v>F56251</v>
      </c>
      <c r="E1479" s="2" t="str">
        <f>'Posted Sales Invoice Lines'!F1479</f>
        <v>Cs. Challah Sliders Sliced 18-12pks</v>
      </c>
      <c r="F1479" s="3">
        <f>'Posted Sales Invoice Lines'!G1479</f>
        <v>46156</v>
      </c>
      <c r="G1479" s="9">
        <f>'Posted Sales Invoice Lines'!L1479</f>
        <v>28</v>
      </c>
      <c r="H1479" s="8">
        <f>'Posted Sales Invoice Lines'!N1479</f>
        <v>42.11</v>
      </c>
      <c r="I1479" s="8">
        <f>'Posted Sales Invoice Lines'!O1479</f>
        <v>1179.08</v>
      </c>
    </row>
    <row r="1480" spans="1:9" x14ac:dyDescent="0.25">
      <c r="A1480" s="2" t="str">
        <f>'Posted Sales Invoice Lines'!A1480</f>
        <v>PS-INV216842</v>
      </c>
      <c r="B1480" s="2" t="str">
        <f>'Posted Sales Invoice Lines'!B1480</f>
        <v>10540-03</v>
      </c>
      <c r="C1480" s="2" t="str">
        <f>'Posted Sales Invoice Lines'!C1480</f>
        <v>PFG Louisville TN</v>
      </c>
      <c r="D1480" s="2" t="str">
        <f>'Posted Sales Invoice Lines'!E1480</f>
        <v>F52550</v>
      </c>
      <c r="E1480" s="2" t="str">
        <f>'Posted Sales Invoice Lines'!F1480</f>
        <v>Cs. Multigrain Batard 1/2" 8lvs</v>
      </c>
      <c r="F1480" s="3">
        <f>'Posted Sales Invoice Lines'!G1480</f>
        <v>46156</v>
      </c>
      <c r="G1480" s="9">
        <f>'Posted Sales Invoice Lines'!L1480</f>
        <v>8</v>
      </c>
      <c r="H1480" s="8">
        <f>'Posted Sales Invoice Lines'!N1480</f>
        <v>64</v>
      </c>
      <c r="I1480" s="8">
        <f>'Posted Sales Invoice Lines'!O1480</f>
        <v>512</v>
      </c>
    </row>
    <row r="1481" spans="1:9" x14ac:dyDescent="0.25">
      <c r="A1481" s="2" t="str">
        <f>'Posted Sales Invoice Lines'!A1481</f>
        <v>PS-INV217231</v>
      </c>
      <c r="B1481" s="2" t="str">
        <f>'Posted Sales Invoice Lines'!B1481</f>
        <v>10540-02</v>
      </c>
      <c r="C1481" s="2" t="str">
        <f>'Posted Sales Invoice Lines'!C1481</f>
        <v>PFG Valdosta GA</v>
      </c>
      <c r="D1481" s="2" t="str">
        <f>'Posted Sales Invoice Lines'!E1481</f>
        <v>F53001</v>
      </c>
      <c r="E1481" s="2" t="str">
        <f>'Posted Sales Invoice Lines'!F1481</f>
        <v>Cs. 4" Brioche Bun 8-12pk</v>
      </c>
      <c r="F1481" s="3">
        <f>'Posted Sales Invoice Lines'!G1481</f>
        <v>46161</v>
      </c>
      <c r="G1481" s="9">
        <f>'Posted Sales Invoice Lines'!L1481</f>
        <v>52</v>
      </c>
      <c r="H1481" s="8">
        <f>'Posted Sales Invoice Lines'!N1481</f>
        <v>42.6</v>
      </c>
      <c r="I1481" s="8">
        <f>'Posted Sales Invoice Lines'!O1481</f>
        <v>2215.1999999999998</v>
      </c>
    </row>
    <row r="1482" spans="1:9" x14ac:dyDescent="0.25">
      <c r="A1482" s="2" t="str">
        <f>'Posted Sales Invoice Lines'!A1482</f>
        <v>PS-INV217231</v>
      </c>
      <c r="B1482" s="2" t="str">
        <f>'Posted Sales Invoice Lines'!B1482</f>
        <v>10540-02</v>
      </c>
      <c r="C1482" s="2" t="str">
        <f>'Posted Sales Invoice Lines'!C1482</f>
        <v>PFG Valdosta GA</v>
      </c>
      <c r="D1482" s="2" t="str">
        <f>'Posted Sales Invoice Lines'!E1482</f>
        <v>F54301</v>
      </c>
      <c r="E1482" s="2" t="str">
        <f>'Posted Sales Invoice Lines'!F1482</f>
        <v>Cs. Potato Roll Sliced 12-16pk</v>
      </c>
      <c r="F1482" s="3">
        <f>'Posted Sales Invoice Lines'!G1482</f>
        <v>46161</v>
      </c>
      <c r="G1482" s="9">
        <f>'Posted Sales Invoice Lines'!L1482</f>
        <v>16</v>
      </c>
      <c r="H1482" s="8">
        <f>'Posted Sales Invoice Lines'!N1482</f>
        <v>41.15</v>
      </c>
      <c r="I1482" s="8">
        <f>'Posted Sales Invoice Lines'!O1482</f>
        <v>658.4</v>
      </c>
    </row>
    <row r="1483" spans="1:9" x14ac:dyDescent="0.25">
      <c r="A1483" s="2" t="str">
        <f>'Posted Sales Invoice Lines'!A1483</f>
        <v>PS-INV217231</v>
      </c>
      <c r="B1483" s="2" t="str">
        <f>'Posted Sales Invoice Lines'!B1483</f>
        <v>10540-02</v>
      </c>
      <c r="C1483" s="2" t="str">
        <f>'Posted Sales Invoice Lines'!C1483</f>
        <v>PFG Valdosta GA</v>
      </c>
      <c r="D1483" s="2" t="str">
        <f>'Posted Sales Invoice Lines'!E1483</f>
        <v>F51000</v>
      </c>
      <c r="E1483" s="2" t="str">
        <f>'Posted Sales Invoice Lines'!F1483</f>
        <v>Cs. Rye Bread 8lvs</v>
      </c>
      <c r="F1483" s="3">
        <f>'Posted Sales Invoice Lines'!G1483</f>
        <v>46161</v>
      </c>
      <c r="G1483" s="9">
        <f>'Posted Sales Invoice Lines'!L1483</f>
        <v>8</v>
      </c>
      <c r="H1483" s="8">
        <f>'Posted Sales Invoice Lines'!N1483</f>
        <v>41.6</v>
      </c>
      <c r="I1483" s="8">
        <f>'Posted Sales Invoice Lines'!O1483</f>
        <v>332.8</v>
      </c>
    </row>
    <row r="1484" spans="1:9" x14ac:dyDescent="0.25">
      <c r="A1484" s="2" t="str">
        <f>'Posted Sales Invoice Lines'!A1484</f>
        <v>PS-INV217270</v>
      </c>
      <c r="B1484" s="2" t="str">
        <f>'Posted Sales Invoice Lines'!B1484</f>
        <v>10700</v>
      </c>
      <c r="C1484" s="2" t="str">
        <f>'Posted Sales Invoice Lines'!C1484</f>
        <v>Gordon Food Service - Douglas</v>
      </c>
      <c r="D1484" s="2" t="str">
        <f>'Posted Sales Invoice Lines'!E1484</f>
        <v>F53002</v>
      </c>
      <c r="E1484" s="2" t="str">
        <f>'Posted Sales Invoice Lines'!F1484</f>
        <v>Cs. 4" Challah Sesame Bun 8-12pk</v>
      </c>
      <c r="F1484" s="3">
        <f>'Posted Sales Invoice Lines'!G1484</f>
        <v>46174</v>
      </c>
      <c r="G1484" s="9">
        <f>'Posted Sales Invoice Lines'!L1484</f>
        <v>60</v>
      </c>
      <c r="H1484" s="8">
        <f>'Posted Sales Invoice Lines'!N1484</f>
        <v>41.7</v>
      </c>
      <c r="I1484" s="8">
        <f>'Posted Sales Invoice Lines'!O1484</f>
        <v>2502</v>
      </c>
    </row>
    <row r="1485" spans="1:9" x14ac:dyDescent="0.25">
      <c r="A1485" s="2" t="str">
        <f>'Posted Sales Invoice Lines'!A1485</f>
        <v>PS-INV217270</v>
      </c>
      <c r="B1485" s="2" t="str">
        <f>'Posted Sales Invoice Lines'!B1485</f>
        <v>10700</v>
      </c>
      <c r="C1485" s="2" t="str">
        <f>'Posted Sales Invoice Lines'!C1485</f>
        <v>Gordon Food Service - Douglas</v>
      </c>
      <c r="D1485" s="2" t="str">
        <f>'Posted Sales Invoice Lines'!E1485</f>
        <v>F51361</v>
      </c>
      <c r="E1485" s="2" t="str">
        <f>'Posted Sales Invoice Lines'!F1485</f>
        <v>Cs. Honey Wheat Pullman 7/8" 10lvs</v>
      </c>
      <c r="F1485" s="3">
        <f>'Posted Sales Invoice Lines'!G1485</f>
        <v>46174</v>
      </c>
      <c r="G1485" s="9">
        <f>'Posted Sales Invoice Lines'!L1485</f>
        <v>36</v>
      </c>
      <c r="H1485" s="8">
        <f>'Posted Sales Invoice Lines'!N1485</f>
        <v>41.49</v>
      </c>
      <c r="I1485" s="8">
        <f>'Posted Sales Invoice Lines'!O1485</f>
        <v>1493.64</v>
      </c>
    </row>
    <row r="1486" spans="1:9" x14ac:dyDescent="0.25">
      <c r="A1486" s="2" t="str">
        <f>'Posted Sales Invoice Lines'!A1486</f>
        <v>PS-INV217270</v>
      </c>
      <c r="B1486" s="2" t="str">
        <f>'Posted Sales Invoice Lines'!B1486</f>
        <v>10700</v>
      </c>
      <c r="C1486" s="2" t="str">
        <f>'Posted Sales Invoice Lines'!C1486</f>
        <v>Gordon Food Service - Douglas</v>
      </c>
      <c r="D1486" s="2" t="str">
        <f>'Posted Sales Invoice Lines'!E1486</f>
        <v>F51384</v>
      </c>
      <c r="E1486" s="2" t="str">
        <f>'Posted Sales Invoice Lines'!F1486</f>
        <v>Cs. Challah Pullman 7/8"</v>
      </c>
      <c r="F1486" s="3">
        <f>'Posted Sales Invoice Lines'!G1486</f>
        <v>46174</v>
      </c>
      <c r="G1486" s="9">
        <f>'Posted Sales Invoice Lines'!L1486</f>
        <v>120</v>
      </c>
      <c r="H1486" s="8">
        <f>'Posted Sales Invoice Lines'!N1486</f>
        <v>48.49</v>
      </c>
      <c r="I1486" s="8">
        <f>'Posted Sales Invoice Lines'!O1486</f>
        <v>5818.8</v>
      </c>
    </row>
    <row r="1487" spans="1:9" x14ac:dyDescent="0.25">
      <c r="A1487" s="2" t="str">
        <f>'Posted Sales Invoice Lines'!A1487</f>
        <v>PS-INV217270</v>
      </c>
      <c r="B1487" s="2" t="str">
        <f>'Posted Sales Invoice Lines'!B1487</f>
        <v>10700</v>
      </c>
      <c r="C1487" s="2" t="str">
        <f>'Posted Sales Invoice Lines'!C1487</f>
        <v>Gordon Food Service - Douglas</v>
      </c>
      <c r="D1487" s="2" t="str">
        <f>'Posted Sales Invoice Lines'!E1487</f>
        <v>F56255</v>
      </c>
      <c r="E1487" s="2" t="str">
        <f>'Posted Sales Invoice Lines'!F1487</f>
        <v>Cs. English Muffin 30-6pk</v>
      </c>
      <c r="F1487" s="3">
        <f>'Posted Sales Invoice Lines'!G1487</f>
        <v>46174</v>
      </c>
      <c r="G1487" s="9">
        <f>'Posted Sales Invoice Lines'!L1487</f>
        <v>31</v>
      </c>
      <c r="H1487" s="8">
        <f>'Posted Sales Invoice Lines'!N1487</f>
        <v>36.299999999999997</v>
      </c>
      <c r="I1487" s="8">
        <f>'Posted Sales Invoice Lines'!O1487</f>
        <v>1125.3</v>
      </c>
    </row>
    <row r="1488" spans="1:9" x14ac:dyDescent="0.25">
      <c r="A1488" s="2" t="str">
        <f>'Posted Sales Invoice Lines'!A1488</f>
        <v>PS-INV217270</v>
      </c>
      <c r="B1488" s="2" t="str">
        <f>'Posted Sales Invoice Lines'!B1488</f>
        <v>10700</v>
      </c>
      <c r="C1488" s="2" t="str">
        <f>'Posted Sales Invoice Lines'!C1488</f>
        <v>Gordon Food Service - Douglas</v>
      </c>
      <c r="D1488" s="2" t="str">
        <f>'Posted Sales Invoice Lines'!E1488</f>
        <v>F51084</v>
      </c>
      <c r="E1488" s="2" t="str">
        <f>'Posted Sales Invoice Lines'!F1488</f>
        <v>Cs. Wheatberry Hearth</v>
      </c>
      <c r="F1488" s="3">
        <f>'Posted Sales Invoice Lines'!G1488</f>
        <v>46174</v>
      </c>
      <c r="G1488" s="9">
        <f>'Posted Sales Invoice Lines'!L1488</f>
        <v>28</v>
      </c>
      <c r="H1488" s="8">
        <f>'Posted Sales Invoice Lines'!N1488</f>
        <v>33.299999999999997</v>
      </c>
      <c r="I1488" s="8">
        <f>'Posted Sales Invoice Lines'!O1488</f>
        <v>932.4</v>
      </c>
    </row>
    <row r="1489" spans="1:9" x14ac:dyDescent="0.25">
      <c r="A1489" s="2" t="str">
        <f>'Posted Sales Invoice Lines'!A1489</f>
        <v>PS-INV217270</v>
      </c>
      <c r="B1489" s="2" t="str">
        <f>'Posted Sales Invoice Lines'!B1489</f>
        <v>10700</v>
      </c>
      <c r="C1489" s="2" t="str">
        <f>'Posted Sales Invoice Lines'!C1489</f>
        <v>Gordon Food Service - Douglas</v>
      </c>
      <c r="D1489" s="2" t="str">
        <f>'Posted Sales Invoice Lines'!E1489</f>
        <v>F53001</v>
      </c>
      <c r="E1489" s="2" t="str">
        <f>'Posted Sales Invoice Lines'!F1489</f>
        <v>Cs. 4" Brioche Bun 8-12pk</v>
      </c>
      <c r="F1489" s="3">
        <f>'Posted Sales Invoice Lines'!G1489</f>
        <v>46174</v>
      </c>
      <c r="G1489" s="9">
        <f>'Posted Sales Invoice Lines'!L1489</f>
        <v>84</v>
      </c>
      <c r="H1489" s="8">
        <f>'Posted Sales Invoice Lines'!N1489</f>
        <v>36.82</v>
      </c>
      <c r="I1489" s="8">
        <f>'Posted Sales Invoice Lines'!O1489</f>
        <v>3092.88</v>
      </c>
    </row>
    <row r="1490" spans="1:9" x14ac:dyDescent="0.25">
      <c r="A1490" s="2" t="str">
        <f>'Posted Sales Invoice Lines'!A1490</f>
        <v>PS-INV217270</v>
      </c>
      <c r="B1490" s="2" t="str">
        <f>'Posted Sales Invoice Lines'!B1490</f>
        <v>10700</v>
      </c>
      <c r="C1490" s="2" t="str">
        <f>'Posted Sales Invoice Lines'!C1490</f>
        <v>Gordon Food Service - Douglas</v>
      </c>
      <c r="D1490" s="2" t="str">
        <f>'Posted Sales Invoice Lines'!E1490</f>
        <v>F51114</v>
      </c>
      <c r="E1490" s="2" t="str">
        <f>'Posted Sales Invoice Lines'!F1490</f>
        <v>Cs. Old Fashioned Hearth 5/8" 8lvs</v>
      </c>
      <c r="F1490" s="3">
        <f>'Posted Sales Invoice Lines'!G1490</f>
        <v>46174</v>
      </c>
      <c r="G1490" s="9">
        <f>'Posted Sales Invoice Lines'!L1490</f>
        <v>56</v>
      </c>
      <c r="H1490" s="8">
        <f>'Posted Sales Invoice Lines'!N1490</f>
        <v>39.700000000000003</v>
      </c>
      <c r="I1490" s="8">
        <f>'Posted Sales Invoice Lines'!O1490</f>
        <v>2223.1999999999998</v>
      </c>
    </row>
    <row r="1491" spans="1:9" x14ac:dyDescent="0.25">
      <c r="A1491" s="2" t="str">
        <f>'Posted Sales Invoice Lines'!A1491</f>
        <v>PS-INV217270</v>
      </c>
      <c r="B1491" s="2" t="str">
        <f>'Posted Sales Invoice Lines'!B1491</f>
        <v>10700</v>
      </c>
      <c r="C1491" s="2" t="str">
        <f>'Posted Sales Invoice Lines'!C1491</f>
        <v>Gordon Food Service - Douglas</v>
      </c>
      <c r="D1491" s="2" t="str">
        <f>'Posted Sales Invoice Lines'!E1491</f>
        <v>F56251</v>
      </c>
      <c r="E1491" s="2" t="str">
        <f>'Posted Sales Invoice Lines'!F1491</f>
        <v>Cs. Challah Sliders Sliced 18-12pks</v>
      </c>
      <c r="F1491" s="3">
        <f>'Posted Sales Invoice Lines'!G1491</f>
        <v>46174</v>
      </c>
      <c r="G1491" s="9">
        <f>'Posted Sales Invoice Lines'!L1491</f>
        <v>252</v>
      </c>
      <c r="H1491" s="8">
        <f>'Posted Sales Invoice Lines'!N1491</f>
        <v>39.700000000000003</v>
      </c>
      <c r="I1491" s="8">
        <f>'Posted Sales Invoice Lines'!O1491</f>
        <v>10004.4</v>
      </c>
    </row>
    <row r="1492" spans="1:9" x14ac:dyDescent="0.25">
      <c r="A1492" s="2" t="str">
        <f>'Posted Sales Invoice Lines'!A1492</f>
        <v>PS-INV217270</v>
      </c>
      <c r="B1492" s="2" t="str">
        <f>'Posted Sales Invoice Lines'!B1492</f>
        <v>10700</v>
      </c>
      <c r="C1492" s="2" t="str">
        <f>'Posted Sales Invoice Lines'!C1492</f>
        <v>Gordon Food Service - Douglas</v>
      </c>
      <c r="D1492" s="2" t="str">
        <f>'Posted Sales Invoice Lines'!E1492</f>
        <v>F53005</v>
      </c>
      <c r="E1492" s="2" t="str">
        <f>'Posted Sales Invoice Lines'!F1492</f>
        <v>Cs. 4" Gourmet PDS Bun 8-12pk</v>
      </c>
      <c r="F1492" s="3">
        <f>'Posted Sales Invoice Lines'!G1492</f>
        <v>46174</v>
      </c>
      <c r="G1492" s="9">
        <f>'Posted Sales Invoice Lines'!L1492</f>
        <v>36</v>
      </c>
      <c r="H1492" s="8">
        <f>'Posted Sales Invoice Lines'!N1492</f>
        <v>36</v>
      </c>
      <c r="I1492" s="8">
        <f>'Posted Sales Invoice Lines'!O1492</f>
        <v>1296</v>
      </c>
    </row>
    <row r="1493" spans="1:9" x14ac:dyDescent="0.25">
      <c r="A1493" s="2" t="str">
        <f>'Posted Sales Invoice Lines'!A1493</f>
        <v>PS-INV217295</v>
      </c>
      <c r="B1493" s="2" t="str">
        <f>'Posted Sales Invoice Lines'!B1493</f>
        <v>X10540-3</v>
      </c>
      <c r="C1493" s="2" t="str">
        <f>'Posted Sales Invoice Lines'!C1493</f>
        <v>PFG Pittsburgh PA</v>
      </c>
      <c r="D1493" s="2" t="str">
        <f>'Posted Sales Invoice Lines'!E1493</f>
        <v>F53001</v>
      </c>
      <c r="E1493" s="2" t="str">
        <f>'Posted Sales Invoice Lines'!F1493</f>
        <v>Cs. 4" Brioche Bun 8-12pk</v>
      </c>
      <c r="F1493" s="3">
        <f>'Posted Sales Invoice Lines'!G1493</f>
        <v>46167</v>
      </c>
      <c r="G1493" s="9">
        <f>'Posted Sales Invoice Lines'!L1493</f>
        <v>224</v>
      </c>
      <c r="H1493" s="8">
        <f>'Posted Sales Invoice Lines'!N1493</f>
        <v>42.6</v>
      </c>
      <c r="I1493" s="8">
        <f>'Posted Sales Invoice Lines'!O1493</f>
        <v>9542.4</v>
      </c>
    </row>
    <row r="1494" spans="1:9" x14ac:dyDescent="0.25">
      <c r="A1494" s="2" t="str">
        <f>'Posted Sales Invoice Lines'!A1494</f>
        <v>PS-INV217295</v>
      </c>
      <c r="B1494" s="2" t="str">
        <f>'Posted Sales Invoice Lines'!B1494</f>
        <v>X10540-3</v>
      </c>
      <c r="C1494" s="2" t="str">
        <f>'Posted Sales Invoice Lines'!C1494</f>
        <v>PFG Pittsburgh PA</v>
      </c>
      <c r="D1494" s="2" t="str">
        <f>'Posted Sales Invoice Lines'!E1494</f>
        <v>F53105</v>
      </c>
      <c r="E1494" s="2" t="str">
        <f>'Posted Sales Invoice Lines'!F1494</f>
        <v>Cs. 6" White Hot Dog 16-8pk</v>
      </c>
      <c r="F1494" s="3">
        <f>'Posted Sales Invoice Lines'!G1494</f>
        <v>46167</v>
      </c>
      <c r="G1494" s="9">
        <f>'Posted Sales Invoice Lines'!L1494</f>
        <v>504</v>
      </c>
      <c r="H1494" s="8">
        <f>'Posted Sales Invoice Lines'!N1494</f>
        <v>34.5</v>
      </c>
      <c r="I1494" s="8">
        <f>'Posted Sales Invoice Lines'!O1494</f>
        <v>17388</v>
      </c>
    </row>
    <row r="1495" spans="1:9" x14ac:dyDescent="0.25">
      <c r="A1495" s="2" t="str">
        <f>'Posted Sales Invoice Lines'!A1495</f>
        <v>PS-INV217295</v>
      </c>
      <c r="B1495" s="2" t="str">
        <f>'Posted Sales Invoice Lines'!B1495</f>
        <v>X10540-3</v>
      </c>
      <c r="C1495" s="2" t="str">
        <f>'Posted Sales Invoice Lines'!C1495</f>
        <v>PFG Pittsburgh PA</v>
      </c>
      <c r="D1495" s="2" t="str">
        <f>'Posted Sales Invoice Lines'!E1495</f>
        <v>F53094</v>
      </c>
      <c r="E1495" s="2" t="str">
        <f>'Posted Sales Invoice Lines'!F1495</f>
        <v>Cs. 6" Italian 12-6pks</v>
      </c>
      <c r="F1495" s="3">
        <f>'Posted Sales Invoice Lines'!G1495</f>
        <v>46167</v>
      </c>
      <c r="G1495" s="9">
        <f>'Posted Sales Invoice Lines'!L1495</f>
        <v>112</v>
      </c>
      <c r="H1495" s="8">
        <f>'Posted Sales Invoice Lines'!N1495</f>
        <v>35</v>
      </c>
      <c r="I1495" s="8">
        <f>'Posted Sales Invoice Lines'!O1495</f>
        <v>3920</v>
      </c>
    </row>
    <row r="1496" spans="1:9" x14ac:dyDescent="0.25">
      <c r="A1496" s="2" t="str">
        <f>'Posted Sales Invoice Lines'!A1496</f>
        <v>PS-INV217674</v>
      </c>
      <c r="B1496" s="2" t="str">
        <f>'Posted Sales Invoice Lines'!B1496</f>
        <v>12431</v>
      </c>
      <c r="C1496" s="2" t="str">
        <f>'Posted Sales Invoice Lines'!C1496</f>
        <v>Ben E Keith - New Brockton</v>
      </c>
      <c r="D1496" s="2" t="str">
        <f>'Posted Sales Invoice Lines'!E1496</f>
        <v>F54301</v>
      </c>
      <c r="E1496" s="2" t="str">
        <f>'Posted Sales Invoice Lines'!F1496</f>
        <v>Cs. Potato Roll Sliced 12-16pk</v>
      </c>
      <c r="F1496" s="3">
        <f>'Posted Sales Invoice Lines'!G1496</f>
        <v>46163</v>
      </c>
      <c r="G1496" s="9">
        <f>'Posted Sales Invoice Lines'!L1496</f>
        <v>28</v>
      </c>
      <c r="H1496" s="8">
        <f>'Posted Sales Invoice Lines'!N1496</f>
        <v>50.05</v>
      </c>
      <c r="I1496" s="8">
        <f>'Posted Sales Invoice Lines'!O1496</f>
        <v>1401.4</v>
      </c>
    </row>
    <row r="1497" spans="1:9" x14ac:dyDescent="0.25">
      <c r="A1497" s="2" t="str">
        <f>'Posted Sales Invoice Lines'!A1497</f>
        <v>PS-INV217674</v>
      </c>
      <c r="B1497" s="2" t="str">
        <f>'Posted Sales Invoice Lines'!B1497</f>
        <v>12431</v>
      </c>
      <c r="C1497" s="2" t="str">
        <f>'Posted Sales Invoice Lines'!C1497</f>
        <v>Ben E Keith - New Brockton</v>
      </c>
      <c r="D1497" s="2" t="str">
        <f>'Posted Sales Invoice Lines'!E1497</f>
        <v>F51137</v>
      </c>
      <c r="E1497" s="2" t="str">
        <f>'Posted Sales Invoice Lines'!F1497</f>
        <v>Cs. Texas Toast 3/4" 12lvs</v>
      </c>
      <c r="F1497" s="3">
        <f>'Posted Sales Invoice Lines'!G1497</f>
        <v>46163</v>
      </c>
      <c r="G1497" s="9">
        <f>'Posted Sales Invoice Lines'!L1497</f>
        <v>364</v>
      </c>
      <c r="H1497" s="8">
        <f>'Posted Sales Invoice Lines'!N1497</f>
        <v>36</v>
      </c>
      <c r="I1497" s="8">
        <f>'Posted Sales Invoice Lines'!O1497</f>
        <v>13104</v>
      </c>
    </row>
    <row r="1498" spans="1:9" x14ac:dyDescent="0.25">
      <c r="A1498" s="2" t="str">
        <f>'Posted Sales Invoice Lines'!A1498</f>
        <v>PS-INV217674</v>
      </c>
      <c r="B1498" s="2" t="str">
        <f>'Posted Sales Invoice Lines'!B1498</f>
        <v>12431</v>
      </c>
      <c r="C1498" s="2" t="str">
        <f>'Posted Sales Invoice Lines'!C1498</f>
        <v>Ben E Keith - New Brockton</v>
      </c>
      <c r="D1498" s="2" t="str">
        <f>'Posted Sales Invoice Lines'!E1498</f>
        <v>F53122</v>
      </c>
      <c r="E1498" s="2" t="str">
        <f>'Posted Sales Invoice Lines'!F1498</f>
        <v>Cs. 8" Italian Hinged 12-6pk</v>
      </c>
      <c r="F1498" s="3">
        <f>'Posted Sales Invoice Lines'!G1498</f>
        <v>46163</v>
      </c>
      <c r="G1498" s="9">
        <f>'Posted Sales Invoice Lines'!L1498</f>
        <v>56</v>
      </c>
      <c r="H1498" s="8">
        <f>'Posted Sales Invoice Lines'!N1498</f>
        <v>30</v>
      </c>
      <c r="I1498" s="8">
        <f>'Posted Sales Invoice Lines'!O1498</f>
        <v>1680</v>
      </c>
    </row>
    <row r="1499" spans="1:9" x14ac:dyDescent="0.25">
      <c r="A1499" s="2" t="str">
        <f>'Posted Sales Invoice Lines'!A1499</f>
        <v>PS-INV217674</v>
      </c>
      <c r="B1499" s="2" t="str">
        <f>'Posted Sales Invoice Lines'!B1499</f>
        <v>12431</v>
      </c>
      <c r="C1499" s="2" t="str">
        <f>'Posted Sales Invoice Lines'!C1499</f>
        <v>Ben E Keith - New Brockton</v>
      </c>
      <c r="D1499" s="2" t="str">
        <f>'Posted Sales Invoice Lines'!E1499</f>
        <v>F53087</v>
      </c>
      <c r="E1499" s="2" t="str">
        <f>'Posted Sales Invoice Lines'!F1499</f>
        <v>Cs. 3.5" Challah Bun 8-12 pk</v>
      </c>
      <c r="F1499" s="3">
        <f>'Posted Sales Invoice Lines'!G1499</f>
        <v>46163</v>
      </c>
      <c r="G1499" s="9">
        <f>'Posted Sales Invoice Lines'!L1499</f>
        <v>84</v>
      </c>
      <c r="H1499" s="8">
        <f>'Posted Sales Invoice Lines'!N1499</f>
        <v>40</v>
      </c>
      <c r="I1499" s="8">
        <f>'Posted Sales Invoice Lines'!O1499</f>
        <v>3360</v>
      </c>
    </row>
    <row r="1500" spans="1:9" x14ac:dyDescent="0.25">
      <c r="A1500" s="2" t="str">
        <f>'Posted Sales Invoice Lines'!A1500</f>
        <v>PS-INV217674</v>
      </c>
      <c r="B1500" s="2" t="str">
        <f>'Posted Sales Invoice Lines'!B1500</f>
        <v>12431</v>
      </c>
      <c r="C1500" s="2" t="str">
        <f>'Posted Sales Invoice Lines'!C1500</f>
        <v>Ben E Keith - New Brockton</v>
      </c>
      <c r="D1500" s="2" t="str">
        <f>'Posted Sales Invoice Lines'!E1500</f>
        <v>F51381</v>
      </c>
      <c r="E1500" s="2" t="str">
        <f>'Posted Sales Invoice Lines'!F1500</f>
        <v>Cs. Challah Pullman Unsliced 10lvs</v>
      </c>
      <c r="F1500" s="3">
        <f>'Posted Sales Invoice Lines'!G1500</f>
        <v>46163</v>
      </c>
      <c r="G1500" s="9">
        <f>'Posted Sales Invoice Lines'!L1500</f>
        <v>15</v>
      </c>
      <c r="H1500" s="8">
        <f>'Posted Sales Invoice Lines'!N1500</f>
        <v>50.95</v>
      </c>
      <c r="I1500" s="8">
        <f>'Posted Sales Invoice Lines'!O1500</f>
        <v>764.25</v>
      </c>
    </row>
    <row r="1501" spans="1:9" x14ac:dyDescent="0.25">
      <c r="A1501" s="2" t="str">
        <f>'Posted Sales Invoice Lines'!A1501</f>
        <v>PS-INV217845</v>
      </c>
      <c r="B1501" s="2" t="str">
        <f>'Posted Sales Invoice Lines'!B1501</f>
        <v>Z10475</v>
      </c>
      <c r="C1501" s="2" t="str">
        <f>'Posted Sales Invoice Lines'!C1501</f>
        <v>Locos-Westside</v>
      </c>
      <c r="D1501" s="2" t="str">
        <f>'Posted Sales Invoice Lines'!E1501</f>
        <v>F53024</v>
      </c>
      <c r="E1501" s="2" t="str">
        <f>'Posted Sales Invoice Lines'!F1501</f>
        <v>Cs. 4" Challah Kaiser 8-12pk</v>
      </c>
      <c r="F1501" s="3">
        <f>'Posted Sales Invoice Lines'!G1501</f>
        <v>46157</v>
      </c>
      <c r="G1501" s="9">
        <f>'Posted Sales Invoice Lines'!L1501</f>
        <v>16</v>
      </c>
      <c r="H1501" s="8">
        <f>'Posted Sales Invoice Lines'!N1501</f>
        <v>2</v>
      </c>
      <c r="I1501" s="8">
        <f>'Posted Sales Invoice Lines'!O1501</f>
        <v>32</v>
      </c>
    </row>
    <row r="1502" spans="1:9" x14ac:dyDescent="0.25">
      <c r="A1502" s="2" t="str">
        <f>'Posted Sales Invoice Lines'!A1502</f>
        <v>PS-INV218015</v>
      </c>
      <c r="B1502" s="2" t="str">
        <f>'Posted Sales Invoice Lines'!B1502</f>
        <v>10549</v>
      </c>
      <c r="C1502" s="2" t="str">
        <f>'Posted Sales Invoice Lines'!C1502</f>
        <v>PFG Nashville TN</v>
      </c>
      <c r="D1502" s="2" t="str">
        <f>'Posted Sales Invoice Lines'!E1502</f>
        <v>F53002</v>
      </c>
      <c r="E1502" s="2" t="str">
        <f>'Posted Sales Invoice Lines'!F1502</f>
        <v>Cs. 4" Challah Sesame Bun 8-12pk</v>
      </c>
      <c r="F1502" s="3">
        <f>'Posted Sales Invoice Lines'!G1502</f>
        <v>46168</v>
      </c>
      <c r="G1502" s="9">
        <f>'Posted Sales Invoice Lines'!L1502</f>
        <v>20</v>
      </c>
      <c r="H1502" s="8">
        <f>'Posted Sales Invoice Lines'!N1502</f>
        <v>37.5</v>
      </c>
      <c r="I1502" s="8">
        <f>'Posted Sales Invoice Lines'!O1502</f>
        <v>750</v>
      </c>
    </row>
    <row r="1503" spans="1:9" x14ac:dyDescent="0.25">
      <c r="A1503" s="2" t="str">
        <f>'Posted Sales Invoice Lines'!A1503</f>
        <v>PS-INV218015</v>
      </c>
      <c r="B1503" s="2" t="str">
        <f>'Posted Sales Invoice Lines'!B1503</f>
        <v>10549</v>
      </c>
      <c r="C1503" s="2" t="str">
        <f>'Posted Sales Invoice Lines'!C1503</f>
        <v>PFG Nashville TN</v>
      </c>
      <c r="D1503" s="2" t="str">
        <f>'Posted Sales Invoice Lines'!E1503</f>
        <v>F53070</v>
      </c>
      <c r="E1503" s="2" t="str">
        <f>'Posted Sales Invoice Lines'!F1503</f>
        <v xml:space="preserve">Cs. 5" Challah Sesame Buns </v>
      </c>
      <c r="F1503" s="3">
        <f>'Posted Sales Invoice Lines'!G1503</f>
        <v>46168</v>
      </c>
      <c r="G1503" s="9">
        <f>'Posted Sales Invoice Lines'!L1503</f>
        <v>32</v>
      </c>
      <c r="H1503" s="8">
        <f>'Posted Sales Invoice Lines'!N1503</f>
        <v>34.5</v>
      </c>
      <c r="I1503" s="8">
        <f>'Posted Sales Invoice Lines'!O1503</f>
        <v>1104</v>
      </c>
    </row>
    <row r="1504" spans="1:9" x14ac:dyDescent="0.25">
      <c r="A1504" s="2" t="str">
        <f>'Posted Sales Invoice Lines'!A1504</f>
        <v>PS-INV218050</v>
      </c>
      <c r="B1504" s="2" t="str">
        <f>'Posted Sales Invoice Lines'!B1504</f>
        <v>13128</v>
      </c>
      <c r="C1504" s="2" t="str">
        <f>'Posted Sales Invoice Lines'!C1504</f>
        <v>Gordon Food Service - Shepherdsville</v>
      </c>
      <c r="D1504" s="2" t="str">
        <f>'Posted Sales Invoice Lines'!E1504</f>
        <v>F51084</v>
      </c>
      <c r="E1504" s="2" t="str">
        <f>'Posted Sales Invoice Lines'!F1504</f>
        <v>Cs. Wheatberry Hearth</v>
      </c>
      <c r="F1504" s="3">
        <f>'Posted Sales Invoice Lines'!G1504</f>
        <v>46164</v>
      </c>
      <c r="G1504" s="9">
        <f>'Posted Sales Invoice Lines'!L1504</f>
        <v>84</v>
      </c>
      <c r="H1504" s="8">
        <f>'Posted Sales Invoice Lines'!N1504</f>
        <v>33.299999999999997</v>
      </c>
      <c r="I1504" s="8">
        <f>'Posted Sales Invoice Lines'!O1504</f>
        <v>2797.2</v>
      </c>
    </row>
    <row r="1505" spans="1:9" x14ac:dyDescent="0.25">
      <c r="A1505" s="2" t="str">
        <f>'Posted Sales Invoice Lines'!A1505</f>
        <v>PS-INV218050</v>
      </c>
      <c r="B1505" s="2" t="str">
        <f>'Posted Sales Invoice Lines'!B1505</f>
        <v>13128</v>
      </c>
      <c r="C1505" s="2" t="str">
        <f>'Posted Sales Invoice Lines'!C1505</f>
        <v>Gordon Food Service - Shepherdsville</v>
      </c>
      <c r="D1505" s="2" t="str">
        <f>'Posted Sales Invoice Lines'!E1505</f>
        <v>F53001</v>
      </c>
      <c r="E1505" s="2" t="str">
        <f>'Posted Sales Invoice Lines'!F1505</f>
        <v>Cs. 4" Brioche Bun 8-12pk</v>
      </c>
      <c r="F1505" s="3">
        <f>'Posted Sales Invoice Lines'!G1505</f>
        <v>46164</v>
      </c>
      <c r="G1505" s="9">
        <f>'Posted Sales Invoice Lines'!L1505</f>
        <v>364</v>
      </c>
      <c r="H1505" s="8">
        <f>'Posted Sales Invoice Lines'!N1505</f>
        <v>36.82</v>
      </c>
      <c r="I1505" s="8">
        <f>'Posted Sales Invoice Lines'!O1505</f>
        <v>13402.48</v>
      </c>
    </row>
    <row r="1506" spans="1:9" x14ac:dyDescent="0.25">
      <c r="A1506" s="2" t="str">
        <f>'Posted Sales Invoice Lines'!A1506</f>
        <v>PS-INV218050</v>
      </c>
      <c r="B1506" s="2" t="str">
        <f>'Posted Sales Invoice Lines'!B1506</f>
        <v>13128</v>
      </c>
      <c r="C1506" s="2" t="str">
        <f>'Posted Sales Invoice Lines'!C1506</f>
        <v>Gordon Food Service - Shepherdsville</v>
      </c>
      <c r="D1506" s="2" t="str">
        <f>'Posted Sales Invoice Lines'!E1506</f>
        <v>F51114</v>
      </c>
      <c r="E1506" s="2" t="str">
        <f>'Posted Sales Invoice Lines'!F1506</f>
        <v>Cs. Old Fashioned Hearth 5/8" 8lvs</v>
      </c>
      <c r="F1506" s="3">
        <f>'Posted Sales Invoice Lines'!G1506</f>
        <v>46164</v>
      </c>
      <c r="G1506" s="9">
        <f>'Posted Sales Invoice Lines'!L1506</f>
        <v>84</v>
      </c>
      <c r="H1506" s="8">
        <f>'Posted Sales Invoice Lines'!N1506</f>
        <v>39.700000000000003</v>
      </c>
      <c r="I1506" s="8">
        <f>'Posted Sales Invoice Lines'!O1506</f>
        <v>3334.8</v>
      </c>
    </row>
    <row r="1507" spans="1:9" x14ac:dyDescent="0.25">
      <c r="A1507" s="2" t="str">
        <f>'Posted Sales Invoice Lines'!A1507</f>
        <v>PS-INV218050</v>
      </c>
      <c r="B1507" s="2" t="str">
        <f>'Posted Sales Invoice Lines'!B1507</f>
        <v>13128</v>
      </c>
      <c r="C1507" s="2" t="str">
        <f>'Posted Sales Invoice Lines'!C1507</f>
        <v>Gordon Food Service - Shepherdsville</v>
      </c>
      <c r="D1507" s="2" t="str">
        <f>'Posted Sales Invoice Lines'!E1507</f>
        <v>F56251</v>
      </c>
      <c r="E1507" s="2" t="str">
        <f>'Posted Sales Invoice Lines'!F1507</f>
        <v>Cs. Challah Sliders Sliced 18-12pks</v>
      </c>
      <c r="F1507" s="3">
        <f>'Posted Sales Invoice Lines'!G1507</f>
        <v>46164</v>
      </c>
      <c r="G1507" s="9">
        <f>'Posted Sales Invoice Lines'!L1507</f>
        <v>308</v>
      </c>
      <c r="H1507" s="8">
        <f>'Posted Sales Invoice Lines'!N1507</f>
        <v>39.700000000000003</v>
      </c>
      <c r="I1507" s="8">
        <f>'Posted Sales Invoice Lines'!O1507</f>
        <v>12227.6</v>
      </c>
    </row>
    <row r="1508" spans="1:9" x14ac:dyDescent="0.25">
      <c r="A1508" s="2" t="str">
        <f>'Posted Sales Invoice Lines'!A1508</f>
        <v>PS-INV218053</v>
      </c>
      <c r="B1508" s="2" t="str">
        <f>'Posted Sales Invoice Lines'!B1508</f>
        <v>10719-4</v>
      </c>
      <c r="C1508" s="2" t="str">
        <f>'Posted Sales Invoice Lines'!C1508</f>
        <v>US Foods - Columbia/Lexington</v>
      </c>
      <c r="D1508" s="2" t="str">
        <f>'Posted Sales Invoice Lines'!E1508</f>
        <v>F530041</v>
      </c>
      <c r="E1508" s="2" t="str">
        <f>'Posted Sales Invoice Lines'!F1508</f>
        <v>Cs. 4" S&amp;P Brioche Bun 8-12pk</v>
      </c>
      <c r="F1508" s="3">
        <f>'Posted Sales Invoice Lines'!G1508</f>
        <v>46162</v>
      </c>
      <c r="G1508" s="9">
        <f>'Posted Sales Invoice Lines'!L1508</f>
        <v>16</v>
      </c>
      <c r="H1508" s="8">
        <f>'Posted Sales Invoice Lines'!N1508</f>
        <v>46</v>
      </c>
      <c r="I1508" s="8">
        <f>'Posted Sales Invoice Lines'!O1508</f>
        <v>736</v>
      </c>
    </row>
    <row r="1509" spans="1:9" x14ac:dyDescent="0.25">
      <c r="A1509" s="2" t="str">
        <f>'Posted Sales Invoice Lines'!A1509</f>
        <v>PS-INV218053</v>
      </c>
      <c r="B1509" s="2" t="str">
        <f>'Posted Sales Invoice Lines'!B1509</f>
        <v>10719-4</v>
      </c>
      <c r="C1509" s="2" t="str">
        <f>'Posted Sales Invoice Lines'!C1509</f>
        <v>US Foods - Columbia/Lexington</v>
      </c>
      <c r="D1509" s="2" t="str">
        <f>'Posted Sales Invoice Lines'!E1509</f>
        <v>F53010</v>
      </c>
      <c r="E1509" s="2" t="str">
        <f>'Posted Sales Invoice Lines'!F1509</f>
        <v>Cs. Onion Roll 8-12pk</v>
      </c>
      <c r="F1509" s="3">
        <f>'Posted Sales Invoice Lines'!G1509</f>
        <v>46162</v>
      </c>
      <c r="G1509" s="9">
        <f>'Posted Sales Invoice Lines'!L1509</f>
        <v>12</v>
      </c>
      <c r="H1509" s="8">
        <f>'Posted Sales Invoice Lines'!N1509</f>
        <v>41.85</v>
      </c>
      <c r="I1509" s="8">
        <f>'Posted Sales Invoice Lines'!O1509</f>
        <v>502.2</v>
      </c>
    </row>
    <row r="1510" spans="1:9" x14ac:dyDescent="0.25">
      <c r="A1510" s="2" t="str">
        <f>'Posted Sales Invoice Lines'!A1510</f>
        <v>PS-INV218053</v>
      </c>
      <c r="B1510" s="2" t="str">
        <f>'Posted Sales Invoice Lines'!B1510</f>
        <v>10719-4</v>
      </c>
      <c r="C1510" s="2" t="str">
        <f>'Posted Sales Invoice Lines'!C1510</f>
        <v>US Foods - Columbia/Lexington</v>
      </c>
      <c r="D1510" s="2" t="str">
        <f>'Posted Sales Invoice Lines'!E1510</f>
        <v>F53093</v>
      </c>
      <c r="E1510" s="2" t="str">
        <f>'Posted Sales Invoice Lines'!F1510</f>
        <v>Cs. 6" Philly Unsliced 12-6pk</v>
      </c>
      <c r="F1510" s="3">
        <f>'Posted Sales Invoice Lines'!G1510</f>
        <v>46162</v>
      </c>
      <c r="G1510" s="9">
        <f>'Posted Sales Invoice Lines'!L1510</f>
        <v>16</v>
      </c>
      <c r="H1510" s="8">
        <f>'Posted Sales Invoice Lines'!N1510</f>
        <v>47.2</v>
      </c>
      <c r="I1510" s="8">
        <f>'Posted Sales Invoice Lines'!O1510</f>
        <v>755.2</v>
      </c>
    </row>
    <row r="1511" spans="1:9" x14ac:dyDescent="0.25">
      <c r="A1511" s="2" t="str">
        <f>'Posted Sales Invoice Lines'!A1511</f>
        <v>PS-INV218053</v>
      </c>
      <c r="B1511" s="2" t="str">
        <f>'Posted Sales Invoice Lines'!B1511</f>
        <v>10719-4</v>
      </c>
      <c r="C1511" s="2" t="str">
        <f>'Posted Sales Invoice Lines'!C1511</f>
        <v>US Foods - Columbia/Lexington</v>
      </c>
      <c r="D1511" s="2" t="str">
        <f>'Posted Sales Invoice Lines'!E1511</f>
        <v>F51026</v>
      </c>
      <c r="E1511" s="2" t="str">
        <f>'Posted Sales Invoice Lines'!F1511</f>
        <v>Cs. Marble Rye 3/4" 8lvs</v>
      </c>
      <c r="F1511" s="3">
        <f>'Posted Sales Invoice Lines'!G1511</f>
        <v>46162</v>
      </c>
      <c r="G1511" s="9">
        <f>'Posted Sales Invoice Lines'!L1511</f>
        <v>96</v>
      </c>
      <c r="H1511" s="8">
        <f>'Posted Sales Invoice Lines'!N1511</f>
        <v>52</v>
      </c>
      <c r="I1511" s="8">
        <f>'Posted Sales Invoice Lines'!O1511</f>
        <v>4992</v>
      </c>
    </row>
    <row r="1512" spans="1:9" x14ac:dyDescent="0.25">
      <c r="A1512" s="2" t="str">
        <f>'Posted Sales Invoice Lines'!A1512</f>
        <v>PS-INV218053</v>
      </c>
      <c r="B1512" s="2" t="str">
        <f>'Posted Sales Invoice Lines'!B1512</f>
        <v>10719-4</v>
      </c>
      <c r="C1512" s="2" t="str">
        <f>'Posted Sales Invoice Lines'!C1512</f>
        <v>US Foods - Columbia/Lexington</v>
      </c>
      <c r="D1512" s="2" t="str">
        <f>'Posted Sales Invoice Lines'!E1512</f>
        <v>F54005</v>
      </c>
      <c r="E1512" s="2" t="str">
        <f>'Posted Sales Invoice Lines'!F1512</f>
        <v>Cs. Potato Roll 12-16pk</v>
      </c>
      <c r="F1512" s="3">
        <f>'Posted Sales Invoice Lines'!G1512</f>
        <v>46162</v>
      </c>
      <c r="G1512" s="9">
        <f>'Posted Sales Invoice Lines'!L1512</f>
        <v>0</v>
      </c>
      <c r="H1512" s="8">
        <f>'Posted Sales Invoice Lines'!N1512</f>
        <v>50.05</v>
      </c>
      <c r="I1512" s="8">
        <f>'Posted Sales Invoice Lines'!O1512</f>
        <v>0</v>
      </c>
    </row>
    <row r="1513" spans="1:9" x14ac:dyDescent="0.25">
      <c r="A1513" s="2" t="str">
        <f>'Posted Sales Invoice Lines'!A1513</f>
        <v>PS-INV218053</v>
      </c>
      <c r="B1513" s="2" t="str">
        <f>'Posted Sales Invoice Lines'!B1513</f>
        <v>10719-4</v>
      </c>
      <c r="C1513" s="2" t="str">
        <f>'Posted Sales Invoice Lines'!C1513</f>
        <v>US Foods - Columbia/Lexington</v>
      </c>
      <c r="D1513" s="2" t="str">
        <f>'Posted Sales Invoice Lines'!E1513</f>
        <v>F53003</v>
      </c>
      <c r="E1513" s="2" t="str">
        <f>'Posted Sales Invoice Lines'!F1513</f>
        <v>Cs. 4" Unseeded Challah Bun 8-12pk</v>
      </c>
      <c r="F1513" s="3">
        <f>'Posted Sales Invoice Lines'!G1513</f>
        <v>46162</v>
      </c>
      <c r="G1513" s="9">
        <f>'Posted Sales Invoice Lines'!L1513</f>
        <v>12</v>
      </c>
      <c r="H1513" s="8">
        <f>'Posted Sales Invoice Lines'!N1513</f>
        <v>38.08</v>
      </c>
      <c r="I1513" s="8">
        <f>'Posted Sales Invoice Lines'!O1513</f>
        <v>456.96</v>
      </c>
    </row>
    <row r="1514" spans="1:9" x14ac:dyDescent="0.25">
      <c r="A1514" s="2" t="str">
        <f>'Posted Sales Invoice Lines'!A1514</f>
        <v>PS-INV218053</v>
      </c>
      <c r="B1514" s="2" t="str">
        <f>'Posted Sales Invoice Lines'!B1514</f>
        <v>10719-4</v>
      </c>
      <c r="C1514" s="2" t="str">
        <f>'Posted Sales Invoice Lines'!C1514</f>
        <v>US Foods - Columbia/Lexington</v>
      </c>
      <c r="D1514" s="2" t="str">
        <f>'Posted Sales Invoice Lines'!E1514</f>
        <v>F51020</v>
      </c>
      <c r="E1514" s="2" t="str">
        <f>'Posted Sales Invoice Lines'!F1514</f>
        <v>Cs. Marble Rye 1/2" 8lvs</v>
      </c>
      <c r="F1514" s="3">
        <f>'Posted Sales Invoice Lines'!G1514</f>
        <v>46162</v>
      </c>
      <c r="G1514" s="9">
        <f>'Posted Sales Invoice Lines'!L1514</f>
        <v>16</v>
      </c>
      <c r="H1514" s="8">
        <f>'Posted Sales Invoice Lines'!N1514</f>
        <v>52</v>
      </c>
      <c r="I1514" s="8">
        <f>'Posted Sales Invoice Lines'!O1514</f>
        <v>832</v>
      </c>
    </row>
    <row r="1515" spans="1:9" x14ac:dyDescent="0.25">
      <c r="A1515" s="2" t="str">
        <f>'Posted Sales Invoice Lines'!A1515</f>
        <v>PS-INV218053</v>
      </c>
      <c r="B1515" s="2" t="str">
        <f>'Posted Sales Invoice Lines'!B1515</f>
        <v>10719-4</v>
      </c>
      <c r="C1515" s="2" t="str">
        <f>'Posted Sales Invoice Lines'!C1515</f>
        <v>US Foods - Columbia/Lexington</v>
      </c>
      <c r="D1515" s="2" t="str">
        <f>'Posted Sales Invoice Lines'!E1515</f>
        <v>F53024</v>
      </c>
      <c r="E1515" s="2" t="str">
        <f>'Posted Sales Invoice Lines'!F1515</f>
        <v>Cs. 4" Challah Kaiser 8-12pk</v>
      </c>
      <c r="F1515" s="3">
        <f>'Posted Sales Invoice Lines'!G1515</f>
        <v>46162</v>
      </c>
      <c r="G1515" s="9">
        <f>'Posted Sales Invoice Lines'!L1515</f>
        <v>64</v>
      </c>
      <c r="H1515" s="8">
        <f>'Posted Sales Invoice Lines'!N1515</f>
        <v>38.25</v>
      </c>
      <c r="I1515" s="8">
        <f>'Posted Sales Invoice Lines'!O1515</f>
        <v>2448</v>
      </c>
    </row>
    <row r="1516" spans="1:9" x14ac:dyDescent="0.25">
      <c r="A1516" s="2" t="str">
        <f>'Posted Sales Invoice Lines'!A1516</f>
        <v>PS-INV218061</v>
      </c>
      <c r="B1516" s="2" t="str">
        <f>'Posted Sales Invoice Lines'!B1516</f>
        <v>13128</v>
      </c>
      <c r="C1516" s="2" t="str">
        <f>'Posted Sales Invoice Lines'!C1516</f>
        <v>Gordon Food Service - Shepherdsville</v>
      </c>
      <c r="D1516" s="2" t="str">
        <f>'Posted Sales Invoice Lines'!E1516</f>
        <v>F51084</v>
      </c>
      <c r="E1516" s="2" t="str">
        <f>'Posted Sales Invoice Lines'!F1516</f>
        <v>Cs. Wheatberry Hearth</v>
      </c>
      <c r="F1516" s="3">
        <f>'Posted Sales Invoice Lines'!G1516</f>
        <v>46167</v>
      </c>
      <c r="G1516" s="9">
        <f>'Posted Sales Invoice Lines'!L1516</f>
        <v>84</v>
      </c>
      <c r="H1516" s="8">
        <f>'Posted Sales Invoice Lines'!N1516</f>
        <v>33.299999999999997</v>
      </c>
      <c r="I1516" s="8">
        <f>'Posted Sales Invoice Lines'!O1516</f>
        <v>2797.2</v>
      </c>
    </row>
    <row r="1517" spans="1:9" x14ac:dyDescent="0.25">
      <c r="A1517" s="2" t="str">
        <f>'Posted Sales Invoice Lines'!A1517</f>
        <v>PS-INV218061</v>
      </c>
      <c r="B1517" s="2" t="str">
        <f>'Posted Sales Invoice Lines'!B1517</f>
        <v>13128</v>
      </c>
      <c r="C1517" s="2" t="str">
        <f>'Posted Sales Invoice Lines'!C1517</f>
        <v>Gordon Food Service - Shepherdsville</v>
      </c>
      <c r="D1517" s="2" t="str">
        <f>'Posted Sales Invoice Lines'!E1517</f>
        <v>F53001</v>
      </c>
      <c r="E1517" s="2" t="str">
        <f>'Posted Sales Invoice Lines'!F1517</f>
        <v>Cs. 4" Brioche Bun 8-12pk</v>
      </c>
      <c r="F1517" s="3">
        <f>'Posted Sales Invoice Lines'!G1517</f>
        <v>46167</v>
      </c>
      <c r="G1517" s="9">
        <f>'Posted Sales Invoice Lines'!L1517</f>
        <v>84</v>
      </c>
      <c r="H1517" s="8">
        <f>'Posted Sales Invoice Lines'!N1517</f>
        <v>36.82</v>
      </c>
      <c r="I1517" s="8">
        <f>'Posted Sales Invoice Lines'!O1517</f>
        <v>3092.88</v>
      </c>
    </row>
    <row r="1518" spans="1:9" x14ac:dyDescent="0.25">
      <c r="A1518" s="2" t="str">
        <f>'Posted Sales Invoice Lines'!A1518</f>
        <v>PS-INV218061</v>
      </c>
      <c r="B1518" s="2" t="str">
        <f>'Posted Sales Invoice Lines'!B1518</f>
        <v>13128</v>
      </c>
      <c r="C1518" s="2" t="str">
        <f>'Posted Sales Invoice Lines'!C1518</f>
        <v>Gordon Food Service - Shepherdsville</v>
      </c>
      <c r="D1518" s="2" t="str">
        <f>'Posted Sales Invoice Lines'!E1518</f>
        <v>F51114</v>
      </c>
      <c r="E1518" s="2" t="str">
        <f>'Posted Sales Invoice Lines'!F1518</f>
        <v>Cs. Old Fashioned Hearth 5/8" 8lvs</v>
      </c>
      <c r="F1518" s="3">
        <f>'Posted Sales Invoice Lines'!G1518</f>
        <v>46167</v>
      </c>
      <c r="G1518" s="9">
        <f>'Posted Sales Invoice Lines'!L1518</f>
        <v>84</v>
      </c>
      <c r="H1518" s="8">
        <f>'Posted Sales Invoice Lines'!N1518</f>
        <v>39.700000000000003</v>
      </c>
      <c r="I1518" s="8">
        <f>'Posted Sales Invoice Lines'!O1518</f>
        <v>3334.8</v>
      </c>
    </row>
    <row r="1519" spans="1:9" x14ac:dyDescent="0.25">
      <c r="A1519" s="2" t="str">
        <f>'Posted Sales Invoice Lines'!A1519</f>
        <v>PS-INV218061</v>
      </c>
      <c r="B1519" s="2" t="str">
        <f>'Posted Sales Invoice Lines'!B1519</f>
        <v>13128</v>
      </c>
      <c r="C1519" s="2" t="str">
        <f>'Posted Sales Invoice Lines'!C1519</f>
        <v>Gordon Food Service - Shepherdsville</v>
      </c>
      <c r="D1519" s="2" t="str">
        <f>'Posted Sales Invoice Lines'!E1519</f>
        <v>F56251</v>
      </c>
      <c r="E1519" s="2" t="str">
        <f>'Posted Sales Invoice Lines'!F1519</f>
        <v>Cs. Challah Sliders Sliced 18-12pks</v>
      </c>
      <c r="F1519" s="3">
        <f>'Posted Sales Invoice Lines'!G1519</f>
        <v>46167</v>
      </c>
      <c r="G1519" s="9">
        <f>'Posted Sales Invoice Lines'!L1519</f>
        <v>308</v>
      </c>
      <c r="H1519" s="8">
        <f>'Posted Sales Invoice Lines'!N1519</f>
        <v>39.700000000000003</v>
      </c>
      <c r="I1519" s="8">
        <f>'Posted Sales Invoice Lines'!O1519</f>
        <v>12227.6</v>
      </c>
    </row>
    <row r="1520" spans="1:9" x14ac:dyDescent="0.25">
      <c r="A1520" s="2" t="str">
        <f>'Posted Sales Invoice Lines'!A1520</f>
        <v>PS-INV218249</v>
      </c>
      <c r="B1520" s="2" t="str">
        <f>'Posted Sales Invoice Lines'!B1520</f>
        <v>20334</v>
      </c>
      <c r="C1520" s="2" t="str">
        <f>'Posted Sales Invoice Lines'!C1520</f>
        <v>Sysco Atlanta</v>
      </c>
      <c r="D1520" s="2" t="str">
        <f>'Posted Sales Invoice Lines'!E1520</f>
        <v>F53116</v>
      </c>
      <c r="E1520" s="2" t="str">
        <f>'Posted Sales Invoice Lines'!F1520</f>
        <v>Cs. 7" French Hinged 12-6pk</v>
      </c>
      <c r="F1520" s="3">
        <f>'Posted Sales Invoice Lines'!G1520</f>
        <v>46164</v>
      </c>
      <c r="G1520" s="9">
        <f>'Posted Sales Invoice Lines'!L1520</f>
        <v>28</v>
      </c>
      <c r="H1520" s="8">
        <f>'Posted Sales Invoice Lines'!N1520</f>
        <v>31.42</v>
      </c>
      <c r="I1520" s="8">
        <f>'Posted Sales Invoice Lines'!O1520</f>
        <v>879.76</v>
      </c>
    </row>
    <row r="1521" spans="1:9" x14ac:dyDescent="0.25">
      <c r="A1521" s="2" t="str">
        <f>'Posted Sales Invoice Lines'!A1521</f>
        <v>PS-INV218249</v>
      </c>
      <c r="B1521" s="2" t="str">
        <f>'Posted Sales Invoice Lines'!B1521</f>
        <v>20334</v>
      </c>
      <c r="C1521" s="2" t="str">
        <f>'Posted Sales Invoice Lines'!C1521</f>
        <v>Sysco Atlanta</v>
      </c>
      <c r="D1521" s="2" t="str">
        <f>'Posted Sales Invoice Lines'!E1521</f>
        <v>F53087</v>
      </c>
      <c r="E1521" s="2" t="str">
        <f>'Posted Sales Invoice Lines'!F1521</f>
        <v>Cs. 3.5" Challah Bun 8-12 pk</v>
      </c>
      <c r="F1521" s="3">
        <f>'Posted Sales Invoice Lines'!G1521</f>
        <v>46164</v>
      </c>
      <c r="G1521" s="9">
        <f>'Posted Sales Invoice Lines'!L1521</f>
        <v>140</v>
      </c>
      <c r="H1521" s="8">
        <f>'Posted Sales Invoice Lines'!N1521</f>
        <v>34</v>
      </c>
      <c r="I1521" s="8">
        <f>'Posted Sales Invoice Lines'!O1521</f>
        <v>4760</v>
      </c>
    </row>
    <row r="1522" spans="1:9" x14ac:dyDescent="0.25">
      <c r="A1522" s="2" t="str">
        <f>'Posted Sales Invoice Lines'!A1522</f>
        <v>PS-INV218249</v>
      </c>
      <c r="B1522" s="2" t="str">
        <f>'Posted Sales Invoice Lines'!B1522</f>
        <v>20334</v>
      </c>
      <c r="C1522" s="2" t="str">
        <f>'Posted Sales Invoice Lines'!C1522</f>
        <v>Sysco Atlanta</v>
      </c>
      <c r="D1522" s="2" t="str">
        <f>'Posted Sales Invoice Lines'!E1522</f>
        <v>F51024</v>
      </c>
      <c r="E1522" s="2" t="str">
        <f>'Posted Sales Invoice Lines'!F1522</f>
        <v>Cs. Marble Rye 5/8" 8lvs</v>
      </c>
      <c r="F1522" s="3">
        <f>'Posted Sales Invoice Lines'!G1522</f>
        <v>46164</v>
      </c>
      <c r="G1522" s="9">
        <f>'Posted Sales Invoice Lines'!L1522</f>
        <v>12</v>
      </c>
      <c r="H1522" s="8">
        <f>'Posted Sales Invoice Lines'!N1522</f>
        <v>43.26</v>
      </c>
      <c r="I1522" s="8">
        <f>'Posted Sales Invoice Lines'!O1522</f>
        <v>519.12</v>
      </c>
    </row>
    <row r="1523" spans="1:9" x14ac:dyDescent="0.25">
      <c r="A1523" s="2" t="str">
        <f>'Posted Sales Invoice Lines'!A1523</f>
        <v>PS-INV218249</v>
      </c>
      <c r="B1523" s="2" t="str">
        <f>'Posted Sales Invoice Lines'!B1523</f>
        <v>20334</v>
      </c>
      <c r="C1523" s="2" t="str">
        <f>'Posted Sales Invoice Lines'!C1523</f>
        <v>Sysco Atlanta</v>
      </c>
      <c r="D1523" s="2" t="str">
        <f>'Posted Sales Invoice Lines'!E1523</f>
        <v>F51127</v>
      </c>
      <c r="E1523" s="2" t="str">
        <f>'Posted Sales Invoice Lines'!F1523</f>
        <v>Cs. Challah 3-Braid 8</v>
      </c>
      <c r="F1523" s="3">
        <f>'Posted Sales Invoice Lines'!G1523</f>
        <v>46164</v>
      </c>
      <c r="G1523" s="9">
        <f>'Posted Sales Invoice Lines'!L1523</f>
        <v>20</v>
      </c>
      <c r="H1523" s="8">
        <f>'Posted Sales Invoice Lines'!N1523</f>
        <v>43.26</v>
      </c>
      <c r="I1523" s="8">
        <f>'Posted Sales Invoice Lines'!O1523</f>
        <v>865.2</v>
      </c>
    </row>
    <row r="1524" spans="1:9" x14ac:dyDescent="0.25">
      <c r="A1524" s="2" t="str">
        <f>'Posted Sales Invoice Lines'!A1524</f>
        <v>PS-INV218249</v>
      </c>
      <c r="B1524" s="2" t="str">
        <f>'Posted Sales Invoice Lines'!B1524</f>
        <v>20334</v>
      </c>
      <c r="C1524" s="2" t="str">
        <f>'Posted Sales Invoice Lines'!C1524</f>
        <v>Sysco Atlanta</v>
      </c>
      <c r="D1524" s="2" t="str">
        <f>'Posted Sales Invoice Lines'!E1524</f>
        <v>F53001</v>
      </c>
      <c r="E1524" s="2" t="str">
        <f>'Posted Sales Invoice Lines'!F1524</f>
        <v>Cs. 4" Brioche Bun 8-12pk</v>
      </c>
      <c r="F1524" s="3">
        <f>'Posted Sales Invoice Lines'!G1524</f>
        <v>46164</v>
      </c>
      <c r="G1524" s="9">
        <f>'Posted Sales Invoice Lines'!L1524</f>
        <v>84</v>
      </c>
      <c r="H1524" s="8">
        <f>'Posted Sales Invoice Lines'!N1524</f>
        <v>43.36</v>
      </c>
      <c r="I1524" s="8">
        <f>'Posted Sales Invoice Lines'!O1524</f>
        <v>3642.24</v>
      </c>
    </row>
    <row r="1525" spans="1:9" x14ac:dyDescent="0.25">
      <c r="A1525" s="2" t="str">
        <f>'Posted Sales Invoice Lines'!A1525</f>
        <v>PS-INV218249</v>
      </c>
      <c r="B1525" s="2" t="str">
        <f>'Posted Sales Invoice Lines'!B1525</f>
        <v>20334</v>
      </c>
      <c r="C1525" s="2" t="str">
        <f>'Posted Sales Invoice Lines'!C1525</f>
        <v>Sysco Atlanta</v>
      </c>
      <c r="D1525" s="2" t="str">
        <f>'Posted Sales Invoice Lines'!E1525</f>
        <v>F54044</v>
      </c>
      <c r="E1525" s="2" t="str">
        <f>'Posted Sales Invoice Lines'!F1525</f>
        <v>Cs. Buttons Parker House 12-12pk</v>
      </c>
      <c r="F1525" s="3">
        <f>'Posted Sales Invoice Lines'!G1525</f>
        <v>46164</v>
      </c>
      <c r="G1525" s="9">
        <f>'Posted Sales Invoice Lines'!L1525</f>
        <v>8</v>
      </c>
      <c r="H1525" s="8">
        <f>'Posted Sales Invoice Lines'!N1525</f>
        <v>36.979999999999997</v>
      </c>
      <c r="I1525" s="8">
        <f>'Posted Sales Invoice Lines'!O1525</f>
        <v>295.83999999999997</v>
      </c>
    </row>
    <row r="1526" spans="1:9" x14ac:dyDescent="0.25">
      <c r="A1526" s="2" t="str">
        <f>'Posted Sales Invoice Lines'!A1526</f>
        <v>PS-INV218249</v>
      </c>
      <c r="B1526" s="2" t="str">
        <f>'Posted Sales Invoice Lines'!B1526</f>
        <v>20334</v>
      </c>
      <c r="C1526" s="2" t="str">
        <f>'Posted Sales Invoice Lines'!C1526</f>
        <v>Sysco Atlanta</v>
      </c>
      <c r="D1526" s="2" t="str">
        <f>'Posted Sales Invoice Lines'!E1526</f>
        <v>F51034</v>
      </c>
      <c r="E1526" s="2" t="str">
        <f>'Posted Sales Invoice Lines'!F1526</f>
        <v>Cs. Sour Dough Hearth 5/8" 8lvs</v>
      </c>
      <c r="F1526" s="3">
        <f>'Posted Sales Invoice Lines'!G1526</f>
        <v>46164</v>
      </c>
      <c r="G1526" s="9">
        <f>'Posted Sales Invoice Lines'!L1526</f>
        <v>20</v>
      </c>
      <c r="H1526" s="8">
        <f>'Posted Sales Invoice Lines'!N1526</f>
        <v>41.2</v>
      </c>
      <c r="I1526" s="8">
        <f>'Posted Sales Invoice Lines'!O1526</f>
        <v>824</v>
      </c>
    </row>
    <row r="1527" spans="1:9" x14ac:dyDescent="0.25">
      <c r="A1527" s="2" t="str">
        <f>'Posted Sales Invoice Lines'!A1527</f>
        <v>PS-INV218249</v>
      </c>
      <c r="B1527" s="2" t="str">
        <f>'Posted Sales Invoice Lines'!B1527</f>
        <v>20334</v>
      </c>
      <c r="C1527" s="2" t="str">
        <f>'Posted Sales Invoice Lines'!C1527</f>
        <v>Sysco Atlanta</v>
      </c>
      <c r="D1527" s="2" t="str">
        <f>'Posted Sales Invoice Lines'!E1527</f>
        <v>F53140</v>
      </c>
      <c r="E1527" s="2" t="str">
        <f>'Posted Sales Invoice Lines'!F1527</f>
        <v>Cs. Knuckies 8" White 12-6pk</v>
      </c>
      <c r="F1527" s="3">
        <f>'Posted Sales Invoice Lines'!G1527</f>
        <v>46164</v>
      </c>
      <c r="G1527" s="9">
        <f>'Posted Sales Invoice Lines'!L1527</f>
        <v>40</v>
      </c>
      <c r="H1527" s="8">
        <f>'Posted Sales Invoice Lines'!N1527</f>
        <v>41</v>
      </c>
      <c r="I1527" s="8">
        <f>'Posted Sales Invoice Lines'!O1527</f>
        <v>1640</v>
      </c>
    </row>
    <row r="1528" spans="1:9" x14ac:dyDescent="0.25">
      <c r="A1528" s="2" t="str">
        <f>'Posted Sales Invoice Lines'!A1528</f>
        <v>PS-INV218268</v>
      </c>
      <c r="B1528" s="2" t="str">
        <f>'Posted Sales Invoice Lines'!B1528</f>
        <v>10719-2</v>
      </c>
      <c r="C1528" s="2" t="str">
        <f>'Posted Sales Invoice Lines'!C1528</f>
        <v>US Foods - Fairburn</v>
      </c>
      <c r="D1528" s="2" t="str">
        <f>'Posted Sales Invoice Lines'!E1528</f>
        <v>F53005</v>
      </c>
      <c r="E1528" s="2" t="str">
        <f>'Posted Sales Invoice Lines'!F1528</f>
        <v>Cs. 4" Gourmet PDS Bun 8-12pk</v>
      </c>
      <c r="F1528" s="3">
        <f>'Posted Sales Invoice Lines'!G1528</f>
        <v>46163</v>
      </c>
      <c r="G1528" s="9">
        <f>'Posted Sales Invoice Lines'!L1528</f>
        <v>52</v>
      </c>
      <c r="H1528" s="8">
        <f>'Posted Sales Invoice Lines'!N1528</f>
        <v>40.11</v>
      </c>
      <c r="I1528" s="8">
        <f>'Posted Sales Invoice Lines'!O1528</f>
        <v>2085.7199999999998</v>
      </c>
    </row>
    <row r="1529" spans="1:9" x14ac:dyDescent="0.25">
      <c r="A1529" s="2" t="str">
        <f>'Posted Sales Invoice Lines'!A1529</f>
        <v>PS-INV218268</v>
      </c>
      <c r="B1529" s="2" t="str">
        <f>'Posted Sales Invoice Lines'!B1529</f>
        <v>10719-2</v>
      </c>
      <c r="C1529" s="2" t="str">
        <f>'Posted Sales Invoice Lines'!C1529</f>
        <v>US Foods - Fairburn</v>
      </c>
      <c r="D1529" s="2" t="str">
        <f>'Posted Sales Invoice Lines'!E1529</f>
        <v>F56560</v>
      </c>
      <c r="E1529" s="2" t="str">
        <f>'Posted Sales Invoice Lines'!F1529</f>
        <v>Gluten Free 3.5" Hamburger 36ct</v>
      </c>
      <c r="F1529" s="3">
        <f>'Posted Sales Invoice Lines'!G1529</f>
        <v>46163</v>
      </c>
      <c r="G1529" s="9">
        <f>'Posted Sales Invoice Lines'!L1529</f>
        <v>24</v>
      </c>
      <c r="H1529" s="8">
        <f>'Posted Sales Invoice Lines'!N1529</f>
        <v>48.57</v>
      </c>
      <c r="I1529" s="8">
        <f>'Posted Sales Invoice Lines'!O1529</f>
        <v>1165.68</v>
      </c>
    </row>
    <row r="1530" spans="1:9" x14ac:dyDescent="0.25">
      <c r="A1530" s="2" t="str">
        <f>'Posted Sales Invoice Lines'!A1530</f>
        <v>PS-INV218268</v>
      </c>
      <c r="B1530" s="2" t="str">
        <f>'Posted Sales Invoice Lines'!B1530</f>
        <v>10719-2</v>
      </c>
      <c r="C1530" s="2" t="str">
        <f>'Posted Sales Invoice Lines'!C1530</f>
        <v>US Foods - Fairburn</v>
      </c>
      <c r="D1530" s="2" t="str">
        <f>'Posted Sales Invoice Lines'!E1530</f>
        <v>F53010</v>
      </c>
      <c r="E1530" s="2" t="str">
        <f>'Posted Sales Invoice Lines'!F1530</f>
        <v>Cs. Onion Roll 8-12pk</v>
      </c>
      <c r="F1530" s="3">
        <f>'Posted Sales Invoice Lines'!G1530</f>
        <v>46163</v>
      </c>
      <c r="G1530" s="9">
        <f>'Posted Sales Invoice Lines'!L1530</f>
        <v>24</v>
      </c>
      <c r="H1530" s="8">
        <f>'Posted Sales Invoice Lines'!N1530</f>
        <v>40.85</v>
      </c>
      <c r="I1530" s="8">
        <f>'Posted Sales Invoice Lines'!O1530</f>
        <v>980.4</v>
      </c>
    </row>
    <row r="1531" spans="1:9" x14ac:dyDescent="0.25">
      <c r="A1531" s="2" t="str">
        <f>'Posted Sales Invoice Lines'!A1531</f>
        <v>PS-INV218268</v>
      </c>
      <c r="B1531" s="2" t="str">
        <f>'Posted Sales Invoice Lines'!B1531</f>
        <v>10719-2</v>
      </c>
      <c r="C1531" s="2" t="str">
        <f>'Posted Sales Invoice Lines'!C1531</f>
        <v>US Foods - Fairburn</v>
      </c>
      <c r="D1531" s="2" t="str">
        <f>'Posted Sales Invoice Lines'!E1531</f>
        <v>F53122</v>
      </c>
      <c r="E1531" s="2" t="str">
        <f>'Posted Sales Invoice Lines'!F1531</f>
        <v>Cs. 8" Italian Hinged 12-6pk</v>
      </c>
      <c r="F1531" s="3">
        <f>'Posted Sales Invoice Lines'!G1531</f>
        <v>46163</v>
      </c>
      <c r="G1531" s="9">
        <f>'Posted Sales Invoice Lines'!L1531</f>
        <v>152</v>
      </c>
      <c r="H1531" s="8">
        <f>'Posted Sales Invoice Lines'!N1531</f>
        <v>40.9</v>
      </c>
      <c r="I1531" s="8">
        <f>'Posted Sales Invoice Lines'!O1531</f>
        <v>6216.8</v>
      </c>
    </row>
    <row r="1532" spans="1:9" x14ac:dyDescent="0.25">
      <c r="A1532" s="2" t="str">
        <f>'Posted Sales Invoice Lines'!A1532</f>
        <v>PS-INV218268</v>
      </c>
      <c r="B1532" s="2" t="str">
        <f>'Posted Sales Invoice Lines'!B1532</f>
        <v>10719-2</v>
      </c>
      <c r="C1532" s="2" t="str">
        <f>'Posted Sales Invoice Lines'!C1532</f>
        <v>US Foods - Fairburn</v>
      </c>
      <c r="D1532" s="2" t="str">
        <f>'Posted Sales Invoice Lines'!E1532</f>
        <v>F53003</v>
      </c>
      <c r="E1532" s="2" t="str">
        <f>'Posted Sales Invoice Lines'!F1532</f>
        <v>Cs. 4" Unseeded Challah Bun 8-12pk</v>
      </c>
      <c r="F1532" s="3">
        <f>'Posted Sales Invoice Lines'!G1532</f>
        <v>46163</v>
      </c>
      <c r="G1532" s="9">
        <f>'Posted Sales Invoice Lines'!L1532</f>
        <v>80</v>
      </c>
      <c r="H1532" s="8">
        <f>'Posted Sales Invoice Lines'!N1532</f>
        <v>38.08</v>
      </c>
      <c r="I1532" s="8">
        <f>'Posted Sales Invoice Lines'!O1532</f>
        <v>3046.4</v>
      </c>
    </row>
    <row r="1533" spans="1:9" x14ac:dyDescent="0.25">
      <c r="A1533" s="2" t="str">
        <f>'Posted Sales Invoice Lines'!A1533</f>
        <v>PS-INV218268</v>
      </c>
      <c r="B1533" s="2" t="str">
        <f>'Posted Sales Invoice Lines'!B1533</f>
        <v>10719-2</v>
      </c>
      <c r="C1533" s="2" t="str">
        <f>'Posted Sales Invoice Lines'!C1533</f>
        <v>US Foods - Fairburn</v>
      </c>
      <c r="D1533" s="2" t="str">
        <f>'Posted Sales Invoice Lines'!E1533</f>
        <v>F53024</v>
      </c>
      <c r="E1533" s="2" t="str">
        <f>'Posted Sales Invoice Lines'!F1533</f>
        <v>Cs. 4" Challah Kaiser 8-12pk</v>
      </c>
      <c r="F1533" s="3">
        <f>'Posted Sales Invoice Lines'!G1533</f>
        <v>46163</v>
      </c>
      <c r="G1533" s="9">
        <f>'Posted Sales Invoice Lines'!L1533</f>
        <v>56</v>
      </c>
      <c r="H1533" s="8">
        <f>'Posted Sales Invoice Lines'!N1533</f>
        <v>40.22</v>
      </c>
      <c r="I1533" s="8">
        <f>'Posted Sales Invoice Lines'!O1533</f>
        <v>2252.3200000000002</v>
      </c>
    </row>
    <row r="1534" spans="1:9" x14ac:dyDescent="0.25">
      <c r="A1534" s="2" t="str">
        <f>'Posted Sales Invoice Lines'!A1534</f>
        <v>PS-INV218707</v>
      </c>
      <c r="B1534" s="2" t="str">
        <f>'Posted Sales Invoice Lines'!B1534</f>
        <v>12358</v>
      </c>
      <c r="C1534" s="2" t="str">
        <f>'Posted Sales Invoice Lines'!C1534</f>
        <v>PFG Powell GA</v>
      </c>
      <c r="D1534" s="2" t="str">
        <f>'Posted Sales Invoice Lines'!E1534</f>
        <v>F51024</v>
      </c>
      <c r="E1534" s="2" t="str">
        <f>'Posted Sales Invoice Lines'!F1534</f>
        <v>Cs. Marble Rye 5/8" 8lvs</v>
      </c>
      <c r="F1534" s="3">
        <f>'Posted Sales Invoice Lines'!G1534</f>
        <v>46162</v>
      </c>
      <c r="G1534" s="9">
        <f>'Posted Sales Invoice Lines'!L1534</f>
        <v>36</v>
      </c>
      <c r="H1534" s="8">
        <f>'Posted Sales Invoice Lines'!N1534</f>
        <v>45</v>
      </c>
      <c r="I1534" s="8">
        <f>'Posted Sales Invoice Lines'!O1534</f>
        <v>1620</v>
      </c>
    </row>
    <row r="1535" spans="1:9" x14ac:dyDescent="0.25">
      <c r="A1535" s="2" t="str">
        <f>'Posted Sales Invoice Lines'!A1535</f>
        <v>PS-INV218707</v>
      </c>
      <c r="B1535" s="2" t="str">
        <f>'Posted Sales Invoice Lines'!B1535</f>
        <v>12358</v>
      </c>
      <c r="C1535" s="2" t="str">
        <f>'Posted Sales Invoice Lines'!C1535</f>
        <v>PFG Powell GA</v>
      </c>
      <c r="D1535" s="2" t="str">
        <f>'Posted Sales Invoice Lines'!E1535</f>
        <v>F53001</v>
      </c>
      <c r="E1535" s="2" t="str">
        <f>'Posted Sales Invoice Lines'!F1535</f>
        <v>Cs. 4" Brioche Bun 8-12pk</v>
      </c>
      <c r="F1535" s="3">
        <f>'Posted Sales Invoice Lines'!G1535</f>
        <v>46162</v>
      </c>
      <c r="G1535" s="9">
        <f>'Posted Sales Invoice Lines'!L1535</f>
        <v>96</v>
      </c>
      <c r="H1535" s="8">
        <f>'Posted Sales Invoice Lines'!N1535</f>
        <v>42.6</v>
      </c>
      <c r="I1535" s="8">
        <f>'Posted Sales Invoice Lines'!O1535</f>
        <v>4089.6</v>
      </c>
    </row>
    <row r="1536" spans="1:9" x14ac:dyDescent="0.25">
      <c r="A1536" s="2" t="str">
        <f>'Posted Sales Invoice Lines'!A1536</f>
        <v>PS-INV218707</v>
      </c>
      <c r="B1536" s="2" t="str">
        <f>'Posted Sales Invoice Lines'!B1536</f>
        <v>12358</v>
      </c>
      <c r="C1536" s="2" t="str">
        <f>'Posted Sales Invoice Lines'!C1536</f>
        <v>PFG Powell GA</v>
      </c>
      <c r="D1536" s="2" t="str">
        <f>'Posted Sales Invoice Lines'!E1536</f>
        <v>F53003</v>
      </c>
      <c r="E1536" s="2" t="str">
        <f>'Posted Sales Invoice Lines'!F1536</f>
        <v>Cs. 4" Unseeded Challah Bun 8-12pk</v>
      </c>
      <c r="F1536" s="3">
        <f>'Posted Sales Invoice Lines'!G1536</f>
        <v>46162</v>
      </c>
      <c r="G1536" s="9">
        <f>'Posted Sales Invoice Lines'!L1536</f>
        <v>160</v>
      </c>
      <c r="H1536" s="8">
        <f>'Posted Sales Invoice Lines'!N1536</f>
        <v>40</v>
      </c>
      <c r="I1536" s="8">
        <f>'Posted Sales Invoice Lines'!O1536</f>
        <v>6400</v>
      </c>
    </row>
    <row r="1537" spans="1:9" x14ac:dyDescent="0.25">
      <c r="A1537" s="2" t="str">
        <f>'Posted Sales Invoice Lines'!A1537</f>
        <v>PS-INV218753</v>
      </c>
      <c r="B1537" s="2" t="str">
        <f>'Posted Sales Invoice Lines'!B1537</f>
        <v>10899</v>
      </c>
      <c r="C1537" s="2" t="str">
        <f>'Posted Sales Invoice Lines'!C1537</f>
        <v>Wood Fruitticher Grocery Co.</v>
      </c>
      <c r="D1537" s="2" t="str">
        <f>'Posted Sales Invoice Lines'!E1537</f>
        <v>F53003</v>
      </c>
      <c r="E1537" s="2" t="str">
        <f>'Posted Sales Invoice Lines'!F1537</f>
        <v>Cs. 4" Unseeded Challah Bun 8-12pk</v>
      </c>
      <c r="F1537" s="3">
        <f>'Posted Sales Invoice Lines'!G1537</f>
        <v>46163</v>
      </c>
      <c r="G1537" s="9">
        <f>'Posted Sales Invoice Lines'!L1537</f>
        <v>24</v>
      </c>
      <c r="H1537" s="8">
        <f>'Posted Sales Invoice Lines'!N1537</f>
        <v>35.479999999999997</v>
      </c>
      <c r="I1537" s="8">
        <f>'Posted Sales Invoice Lines'!O1537</f>
        <v>851.52</v>
      </c>
    </row>
    <row r="1538" spans="1:9" x14ac:dyDescent="0.25">
      <c r="A1538" s="2" t="str">
        <f>'Posted Sales Invoice Lines'!A1538</f>
        <v>PS-INV218753</v>
      </c>
      <c r="B1538" s="2" t="str">
        <f>'Posted Sales Invoice Lines'!B1538</f>
        <v>10899</v>
      </c>
      <c r="C1538" s="2" t="str">
        <f>'Posted Sales Invoice Lines'!C1538</f>
        <v>Wood Fruitticher Grocery Co.</v>
      </c>
      <c r="D1538" s="2" t="str">
        <f>'Posted Sales Invoice Lines'!E1538</f>
        <v>F53115</v>
      </c>
      <c r="E1538" s="2" t="str">
        <f>'Posted Sales Invoice Lines'!F1538</f>
        <v>Cs. 7" French Unsliced 12-6pk</v>
      </c>
      <c r="F1538" s="3">
        <f>'Posted Sales Invoice Lines'!G1538</f>
        <v>46163</v>
      </c>
      <c r="G1538" s="9">
        <f>'Posted Sales Invoice Lines'!L1538</f>
        <v>32</v>
      </c>
      <c r="H1538" s="8">
        <f>'Posted Sales Invoice Lines'!N1538</f>
        <v>28.88</v>
      </c>
      <c r="I1538" s="8">
        <f>'Posted Sales Invoice Lines'!O1538</f>
        <v>924.16</v>
      </c>
    </row>
    <row r="1539" spans="1:9" x14ac:dyDescent="0.25">
      <c r="A1539" s="2" t="str">
        <f>'Posted Sales Invoice Lines'!A1539</f>
        <v>PS-INV218753</v>
      </c>
      <c r="B1539" s="2" t="str">
        <f>'Posted Sales Invoice Lines'!B1539</f>
        <v>10899</v>
      </c>
      <c r="C1539" s="2" t="str">
        <f>'Posted Sales Invoice Lines'!C1539</f>
        <v>Wood Fruitticher Grocery Co.</v>
      </c>
      <c r="D1539" s="2" t="str">
        <f>'Posted Sales Invoice Lines'!E1539</f>
        <v>F53070</v>
      </c>
      <c r="E1539" s="2" t="str">
        <f>'Posted Sales Invoice Lines'!F1539</f>
        <v xml:space="preserve">Cs. 5" Challah Sesame Buns </v>
      </c>
      <c r="F1539" s="3">
        <f>'Posted Sales Invoice Lines'!G1539</f>
        <v>46163</v>
      </c>
      <c r="G1539" s="9">
        <f>'Posted Sales Invoice Lines'!L1539</f>
        <v>96</v>
      </c>
      <c r="H1539" s="8">
        <f>'Posted Sales Invoice Lines'!N1539</f>
        <v>32.89</v>
      </c>
      <c r="I1539" s="8">
        <f>'Posted Sales Invoice Lines'!O1539</f>
        <v>3157.44</v>
      </c>
    </row>
    <row r="1540" spans="1:9" x14ac:dyDescent="0.25">
      <c r="A1540" s="2" t="str">
        <f>'Posted Sales Invoice Lines'!A1540</f>
        <v>PS-INV218753</v>
      </c>
      <c r="B1540" s="2" t="str">
        <f>'Posted Sales Invoice Lines'!B1540</f>
        <v>10899</v>
      </c>
      <c r="C1540" s="2" t="str">
        <f>'Posted Sales Invoice Lines'!C1540</f>
        <v>Wood Fruitticher Grocery Co.</v>
      </c>
      <c r="D1540" s="2" t="str">
        <f>'Posted Sales Invoice Lines'!E1540</f>
        <v>F51137</v>
      </c>
      <c r="E1540" s="2" t="str">
        <f>'Posted Sales Invoice Lines'!F1540</f>
        <v>Cs. Texas Toast 3/4" 12lvs</v>
      </c>
      <c r="F1540" s="3">
        <f>'Posted Sales Invoice Lines'!G1540</f>
        <v>46163</v>
      </c>
      <c r="G1540" s="9">
        <f>'Posted Sales Invoice Lines'!L1540</f>
        <v>288</v>
      </c>
      <c r="H1540" s="8">
        <f>'Posted Sales Invoice Lines'!N1540</f>
        <v>28.49</v>
      </c>
      <c r="I1540" s="8">
        <f>'Posted Sales Invoice Lines'!O1540</f>
        <v>8205.1200000000008</v>
      </c>
    </row>
    <row r="1541" spans="1:9" x14ac:dyDescent="0.25">
      <c r="A1541" s="2" t="str">
        <f>'Posted Sales Invoice Lines'!A1541</f>
        <v>PS-INV218753</v>
      </c>
      <c r="B1541" s="2" t="str">
        <f>'Posted Sales Invoice Lines'!B1541</f>
        <v>10899</v>
      </c>
      <c r="C1541" s="2" t="str">
        <f>'Posted Sales Invoice Lines'!C1541</f>
        <v>Wood Fruitticher Grocery Co.</v>
      </c>
      <c r="D1541" s="2" t="str">
        <f>'Posted Sales Invoice Lines'!E1541</f>
        <v>F51134</v>
      </c>
      <c r="E1541" s="2" t="str">
        <f>'Posted Sales Invoice Lines'!F1541</f>
        <v>Cs. Club Wheat 12lvs</v>
      </c>
      <c r="F1541" s="3">
        <f>'Posted Sales Invoice Lines'!G1541</f>
        <v>46163</v>
      </c>
      <c r="G1541" s="9">
        <f>'Posted Sales Invoice Lines'!L1541</f>
        <v>64</v>
      </c>
      <c r="H1541" s="8">
        <f>'Posted Sales Invoice Lines'!N1541</f>
        <v>28.49</v>
      </c>
      <c r="I1541" s="8">
        <f>'Posted Sales Invoice Lines'!O1541</f>
        <v>1823.36</v>
      </c>
    </row>
    <row r="1542" spans="1:9" x14ac:dyDescent="0.25">
      <c r="A1542" s="2" t="str">
        <f>'Posted Sales Invoice Lines'!A1542</f>
        <v>PS-INV218753</v>
      </c>
      <c r="B1542" s="2" t="str">
        <f>'Posted Sales Invoice Lines'!B1542</f>
        <v>10899</v>
      </c>
      <c r="C1542" s="2" t="str">
        <f>'Posted Sales Invoice Lines'!C1542</f>
        <v>Wood Fruitticher Grocery Co.</v>
      </c>
      <c r="D1542" s="2" t="str">
        <f>'Posted Sales Invoice Lines'!E1542</f>
        <v>F53094</v>
      </c>
      <c r="E1542" s="2" t="str">
        <f>'Posted Sales Invoice Lines'!F1542</f>
        <v>Cs. 6" Italian 12-6pks</v>
      </c>
      <c r="F1542" s="3">
        <f>'Posted Sales Invoice Lines'!G1542</f>
        <v>46163</v>
      </c>
      <c r="G1542" s="9">
        <f>'Posted Sales Invoice Lines'!L1542</f>
        <v>140</v>
      </c>
      <c r="H1542" s="8">
        <f>'Posted Sales Invoice Lines'!N1542</f>
        <v>25.25</v>
      </c>
      <c r="I1542" s="8">
        <f>'Posted Sales Invoice Lines'!O1542</f>
        <v>3535</v>
      </c>
    </row>
    <row r="1543" spans="1:9" x14ac:dyDescent="0.25">
      <c r="A1543" s="2" t="str">
        <f>'Posted Sales Invoice Lines'!A1543</f>
        <v>PS-INV218753</v>
      </c>
      <c r="B1543" s="2" t="str">
        <f>'Posted Sales Invoice Lines'!B1543</f>
        <v>10899</v>
      </c>
      <c r="C1543" s="2" t="str">
        <f>'Posted Sales Invoice Lines'!C1543</f>
        <v>Wood Fruitticher Grocery Co.</v>
      </c>
      <c r="D1543" s="2" t="str">
        <f>'Posted Sales Invoice Lines'!E1543</f>
        <v>F53001</v>
      </c>
      <c r="E1543" s="2" t="str">
        <f>'Posted Sales Invoice Lines'!F1543</f>
        <v>Cs. 4" Brioche Bun 8-12pk</v>
      </c>
      <c r="F1543" s="3">
        <f>'Posted Sales Invoice Lines'!G1543</f>
        <v>46163</v>
      </c>
      <c r="G1543" s="9">
        <f>'Posted Sales Invoice Lines'!L1543</f>
        <v>196</v>
      </c>
      <c r="H1543" s="8">
        <f>'Posted Sales Invoice Lines'!N1543</f>
        <v>40.43</v>
      </c>
      <c r="I1543" s="8">
        <f>'Posted Sales Invoice Lines'!O1543</f>
        <v>7924.28</v>
      </c>
    </row>
    <row r="1544" spans="1:9" x14ac:dyDescent="0.25">
      <c r="A1544" s="2" t="str">
        <f>'Posted Sales Invoice Lines'!A1544</f>
        <v>PS-INV218755</v>
      </c>
      <c r="B1544" s="2" t="str">
        <f>'Posted Sales Invoice Lines'!B1544</f>
        <v>11005</v>
      </c>
      <c r="C1544" s="2" t="str">
        <f>'Posted Sales Invoice Lines'!C1544</f>
        <v>Dot Foods Inc.</v>
      </c>
      <c r="D1544" s="2" t="str">
        <f>'Posted Sales Invoice Lines'!E1544</f>
        <v>F530142</v>
      </c>
      <c r="E1544" s="2" t="str">
        <f>'Posted Sales Invoice Lines'!F1544</f>
        <v>Cs. Knot Roll 8-12pk</v>
      </c>
      <c r="F1544" s="3">
        <f>'Posted Sales Invoice Lines'!G1544</f>
        <v>46163</v>
      </c>
      <c r="G1544" s="9">
        <f>'Posted Sales Invoice Lines'!L1544</f>
        <v>960</v>
      </c>
      <c r="H1544" s="8">
        <f>'Posted Sales Invoice Lines'!N1544</f>
        <v>33.42</v>
      </c>
      <c r="I1544" s="8">
        <f>'Posted Sales Invoice Lines'!O1544</f>
        <v>32083.200000000001</v>
      </c>
    </row>
    <row r="1545" spans="1:9" x14ac:dyDescent="0.25">
      <c r="A1545" s="2" t="str">
        <f>'Posted Sales Invoice Lines'!A1545</f>
        <v>PS-INV218758</v>
      </c>
      <c r="B1545" s="2" t="str">
        <f>'Posted Sales Invoice Lines'!B1545</f>
        <v>12988</v>
      </c>
      <c r="C1545" s="2" t="str">
        <f>'Posted Sales Invoice Lines'!C1545</f>
        <v>Sysco Norman OK</v>
      </c>
      <c r="D1545" s="2" t="str">
        <f>'Posted Sales Invoice Lines'!E1545</f>
        <v>F53001</v>
      </c>
      <c r="E1545" s="2" t="str">
        <f>'Posted Sales Invoice Lines'!F1545</f>
        <v>Cs. 4" Brioche Bun 8-12pk</v>
      </c>
      <c r="F1545" s="3">
        <f>'Posted Sales Invoice Lines'!G1545</f>
        <v>46170</v>
      </c>
      <c r="G1545" s="9">
        <f>'Posted Sales Invoice Lines'!L1545</f>
        <v>476</v>
      </c>
      <c r="H1545" s="8">
        <f>'Posted Sales Invoice Lines'!N1545</f>
        <v>46</v>
      </c>
      <c r="I1545" s="8">
        <f>'Posted Sales Invoice Lines'!O1545</f>
        <v>21896</v>
      </c>
    </row>
    <row r="1546" spans="1:9" x14ac:dyDescent="0.25">
      <c r="A1546" s="2" t="str">
        <f>'Posted Sales Invoice Lines'!A1546</f>
        <v>PS-INV218758</v>
      </c>
      <c r="B1546" s="2" t="str">
        <f>'Posted Sales Invoice Lines'!B1546</f>
        <v>12988</v>
      </c>
      <c r="C1546" s="2" t="str">
        <f>'Posted Sales Invoice Lines'!C1546</f>
        <v>Sysco Norman OK</v>
      </c>
      <c r="D1546" s="2" t="str">
        <f>'Posted Sales Invoice Lines'!E1546</f>
        <v>F530491</v>
      </c>
      <c r="E1546" s="2" t="str">
        <f>'Posted Sales Invoice Lines'!F1546</f>
        <v>Cs. 4.5 Brioche Bun 6-12pk</v>
      </c>
      <c r="F1546" s="3">
        <f>'Posted Sales Invoice Lines'!G1546</f>
        <v>46170</v>
      </c>
      <c r="G1546" s="9">
        <f>'Posted Sales Invoice Lines'!L1546</f>
        <v>49</v>
      </c>
      <c r="H1546" s="8">
        <f>'Posted Sales Invoice Lines'!N1546</f>
        <v>40</v>
      </c>
      <c r="I1546" s="8">
        <f>'Posted Sales Invoice Lines'!O1546</f>
        <v>1960</v>
      </c>
    </row>
    <row r="1547" spans="1:9" x14ac:dyDescent="0.25">
      <c r="A1547" s="2" t="str">
        <f>'Posted Sales Invoice Lines'!A1547</f>
        <v>PS-INV218758</v>
      </c>
      <c r="B1547" s="2" t="str">
        <f>'Posted Sales Invoice Lines'!B1547</f>
        <v>12988</v>
      </c>
      <c r="C1547" s="2" t="str">
        <f>'Posted Sales Invoice Lines'!C1547</f>
        <v>Sysco Norman OK</v>
      </c>
      <c r="D1547" s="2" t="str">
        <f>'Posted Sales Invoice Lines'!E1547</f>
        <v>F51157</v>
      </c>
      <c r="E1547" s="2" t="str">
        <f>'Posted Sales Invoice Lines'!F1547</f>
        <v>Cs. Challah Hearth 7/8" 8lvs</v>
      </c>
      <c r="F1547" s="3">
        <f>'Posted Sales Invoice Lines'!G1547</f>
        <v>46170</v>
      </c>
      <c r="G1547" s="9">
        <f>'Posted Sales Invoice Lines'!L1547</f>
        <v>16</v>
      </c>
      <c r="H1547" s="8">
        <f>'Posted Sales Invoice Lines'!N1547</f>
        <v>42</v>
      </c>
      <c r="I1547" s="8">
        <f>'Posted Sales Invoice Lines'!O1547</f>
        <v>672</v>
      </c>
    </row>
    <row r="1548" spans="1:9" x14ac:dyDescent="0.25">
      <c r="A1548" s="2" t="str">
        <f>'Posted Sales Invoice Lines'!A1548</f>
        <v>PS-INV218758</v>
      </c>
      <c r="B1548" s="2" t="str">
        <f>'Posted Sales Invoice Lines'!B1548</f>
        <v>12988</v>
      </c>
      <c r="C1548" s="2" t="str">
        <f>'Posted Sales Invoice Lines'!C1548</f>
        <v>Sysco Norman OK</v>
      </c>
      <c r="D1548" s="2" t="str">
        <f>'Posted Sales Invoice Lines'!E1548</f>
        <v>F53140</v>
      </c>
      <c r="E1548" s="2" t="str">
        <f>'Posted Sales Invoice Lines'!F1548</f>
        <v>Cs. Knuckies 8" White 12-6pk</v>
      </c>
      <c r="F1548" s="3">
        <f>'Posted Sales Invoice Lines'!G1548</f>
        <v>46170</v>
      </c>
      <c r="G1548" s="9">
        <f>'Posted Sales Invoice Lines'!L1548</f>
        <v>28</v>
      </c>
      <c r="H1548" s="8">
        <f>'Posted Sales Invoice Lines'!N1548</f>
        <v>45</v>
      </c>
      <c r="I1548" s="8">
        <f>'Posted Sales Invoice Lines'!O1548</f>
        <v>1260</v>
      </c>
    </row>
    <row r="1549" spans="1:9" x14ac:dyDescent="0.25">
      <c r="A1549" s="2" t="str">
        <f>'Posted Sales Invoice Lines'!A1549</f>
        <v>PS-INV218758</v>
      </c>
      <c r="B1549" s="2" t="str">
        <f>'Posted Sales Invoice Lines'!B1549</f>
        <v>12988</v>
      </c>
      <c r="C1549" s="2" t="str">
        <f>'Posted Sales Invoice Lines'!C1549</f>
        <v>Sysco Norman OK</v>
      </c>
      <c r="D1549" s="2" t="str">
        <f>'Posted Sales Invoice Lines'!E1549</f>
        <v>F53106</v>
      </c>
      <c r="E1549" s="2" t="str">
        <f>'Posted Sales Invoice Lines'!F1549</f>
        <v>Cs. Large Hot Dog 12-6pk</v>
      </c>
      <c r="F1549" s="3">
        <f>'Posted Sales Invoice Lines'!G1549</f>
        <v>46170</v>
      </c>
      <c r="G1549" s="9">
        <f>'Posted Sales Invoice Lines'!L1549</f>
        <v>28</v>
      </c>
      <c r="H1549" s="8">
        <f>'Posted Sales Invoice Lines'!N1549</f>
        <v>38</v>
      </c>
      <c r="I1549" s="8">
        <f>'Posted Sales Invoice Lines'!O1549</f>
        <v>1064</v>
      </c>
    </row>
    <row r="1550" spans="1:9" x14ac:dyDescent="0.25">
      <c r="A1550" s="2" t="str">
        <f>'Posted Sales Invoice Lines'!A1550</f>
        <v>PS-INV218761</v>
      </c>
      <c r="B1550" s="2" t="str">
        <f>'Posted Sales Invoice Lines'!B1550</f>
        <v>10540-03</v>
      </c>
      <c r="C1550" s="2" t="str">
        <f>'Posted Sales Invoice Lines'!C1550</f>
        <v>PFG Louisville TN</v>
      </c>
      <c r="D1550" s="2" t="str">
        <f>'Posted Sales Invoice Lines'!E1550</f>
        <v>F53001</v>
      </c>
      <c r="E1550" s="2" t="str">
        <f>'Posted Sales Invoice Lines'!F1550</f>
        <v>Cs. 4" Brioche Bun 8-12pk</v>
      </c>
      <c r="F1550" s="3">
        <f>'Posted Sales Invoice Lines'!G1550</f>
        <v>46163</v>
      </c>
      <c r="G1550" s="9">
        <f>'Posted Sales Invoice Lines'!L1550</f>
        <v>224</v>
      </c>
      <c r="H1550" s="8">
        <f>'Posted Sales Invoice Lines'!N1550</f>
        <v>42.6</v>
      </c>
      <c r="I1550" s="8">
        <f>'Posted Sales Invoice Lines'!O1550</f>
        <v>9542.4</v>
      </c>
    </row>
    <row r="1551" spans="1:9" x14ac:dyDescent="0.25">
      <c r="A1551" s="2" t="str">
        <f>'Posted Sales Invoice Lines'!A1551</f>
        <v>PS-INV218761</v>
      </c>
      <c r="B1551" s="2" t="str">
        <f>'Posted Sales Invoice Lines'!B1551</f>
        <v>10540-03</v>
      </c>
      <c r="C1551" s="2" t="str">
        <f>'Posted Sales Invoice Lines'!C1551</f>
        <v>PFG Louisville TN</v>
      </c>
      <c r="D1551" s="2" t="str">
        <f>'Posted Sales Invoice Lines'!E1551</f>
        <v>F53160</v>
      </c>
      <c r="E1551" s="2" t="str">
        <f>'Posted Sales Invoice Lines'!F1551</f>
        <v>Cs. Large White Sub 6-6pk</v>
      </c>
      <c r="F1551" s="3">
        <f>'Posted Sales Invoice Lines'!G1551</f>
        <v>46163</v>
      </c>
      <c r="G1551" s="9">
        <f>'Posted Sales Invoice Lines'!L1551</f>
        <v>16</v>
      </c>
      <c r="H1551" s="8">
        <f>'Posted Sales Invoice Lines'!N1551</f>
        <v>34.200000000000003</v>
      </c>
      <c r="I1551" s="8">
        <f>'Posted Sales Invoice Lines'!O1551</f>
        <v>547.20000000000005</v>
      </c>
    </row>
    <row r="1552" spans="1:9" x14ac:dyDescent="0.25">
      <c r="A1552" s="2" t="str">
        <f>'Posted Sales Invoice Lines'!A1552</f>
        <v>PS-INV218761</v>
      </c>
      <c r="B1552" s="2" t="str">
        <f>'Posted Sales Invoice Lines'!B1552</f>
        <v>10540-03</v>
      </c>
      <c r="C1552" s="2" t="str">
        <f>'Posted Sales Invoice Lines'!C1552</f>
        <v>PFG Louisville TN</v>
      </c>
      <c r="D1552" s="2" t="str">
        <f>'Posted Sales Invoice Lines'!E1552</f>
        <v>F53180</v>
      </c>
      <c r="E1552" s="2" t="str">
        <f>'Posted Sales Invoice Lines'!F1552</f>
        <v>Cs. Large Pumpernickel Sub 6-6pk</v>
      </c>
      <c r="F1552" s="3">
        <f>'Posted Sales Invoice Lines'!G1552</f>
        <v>46163</v>
      </c>
      <c r="G1552" s="9">
        <f>'Posted Sales Invoice Lines'!L1552</f>
        <v>12</v>
      </c>
      <c r="H1552" s="8">
        <f>'Posted Sales Invoice Lines'!N1552</f>
        <v>35.65</v>
      </c>
      <c r="I1552" s="8">
        <f>'Posted Sales Invoice Lines'!O1552</f>
        <v>427.8</v>
      </c>
    </row>
    <row r="1553" spans="1:9" x14ac:dyDescent="0.25">
      <c r="A1553" s="2" t="str">
        <f>'Posted Sales Invoice Lines'!A1553</f>
        <v>PS-INV218761</v>
      </c>
      <c r="B1553" s="2" t="str">
        <f>'Posted Sales Invoice Lines'!B1553</f>
        <v>10540-03</v>
      </c>
      <c r="C1553" s="2" t="str">
        <f>'Posted Sales Invoice Lines'!C1553</f>
        <v>PFG Louisville TN</v>
      </c>
      <c r="D1553" s="2" t="str">
        <f>'Posted Sales Invoice Lines'!E1553</f>
        <v>F51137</v>
      </c>
      <c r="E1553" s="2" t="str">
        <f>'Posted Sales Invoice Lines'!F1553</f>
        <v>Cs. Texas Toast 3/4" 12lvs</v>
      </c>
      <c r="F1553" s="3">
        <f>'Posted Sales Invoice Lines'!G1553</f>
        <v>46163</v>
      </c>
      <c r="G1553" s="9">
        <f>'Posted Sales Invoice Lines'!L1553</f>
        <v>0</v>
      </c>
      <c r="H1553" s="8">
        <f>'Posted Sales Invoice Lines'!N1553</f>
        <v>40.619999999999997</v>
      </c>
      <c r="I1553" s="8">
        <f>'Posted Sales Invoice Lines'!O1553</f>
        <v>0</v>
      </c>
    </row>
    <row r="1554" spans="1:9" x14ac:dyDescent="0.25">
      <c r="A1554" s="2" t="str">
        <f>'Posted Sales Invoice Lines'!A1554</f>
        <v>PS-INV218761</v>
      </c>
      <c r="B1554" s="2" t="str">
        <f>'Posted Sales Invoice Lines'!B1554</f>
        <v>10540-03</v>
      </c>
      <c r="C1554" s="2" t="str">
        <f>'Posted Sales Invoice Lines'!C1554</f>
        <v>PFG Louisville TN</v>
      </c>
      <c r="D1554" s="2" t="str">
        <f>'Posted Sales Invoice Lines'!E1554</f>
        <v>F53091</v>
      </c>
      <c r="E1554" s="2" t="str">
        <f>'Posted Sales Invoice Lines'!F1554</f>
        <v>Cs. 6" Hoagie Slab Cut 12-6pk</v>
      </c>
      <c r="F1554" s="3">
        <f>'Posted Sales Invoice Lines'!G1554</f>
        <v>46163</v>
      </c>
      <c r="G1554" s="9">
        <f>'Posted Sales Invoice Lines'!L1554</f>
        <v>12</v>
      </c>
      <c r="H1554" s="8">
        <f>'Posted Sales Invoice Lines'!N1554</f>
        <v>35</v>
      </c>
      <c r="I1554" s="8">
        <f>'Posted Sales Invoice Lines'!O1554</f>
        <v>420</v>
      </c>
    </row>
    <row r="1555" spans="1:9" x14ac:dyDescent="0.25">
      <c r="A1555" s="2" t="str">
        <f>'Posted Sales Invoice Lines'!A1555</f>
        <v>PS-INV218761</v>
      </c>
      <c r="B1555" s="2" t="str">
        <f>'Posted Sales Invoice Lines'!B1555</f>
        <v>10540-03</v>
      </c>
      <c r="C1555" s="2" t="str">
        <f>'Posted Sales Invoice Lines'!C1555</f>
        <v>PFG Louisville TN</v>
      </c>
      <c r="D1555" s="2" t="str">
        <f>'Posted Sales Invoice Lines'!E1555</f>
        <v>F53110</v>
      </c>
      <c r="E1555" s="2" t="str">
        <f>'Posted Sales Invoice Lines'!F1555</f>
        <v>Cs. Foot Long Challah Hot Dog Buns 10-6pk</v>
      </c>
      <c r="F1555" s="3">
        <f>'Posted Sales Invoice Lines'!G1555</f>
        <v>46163</v>
      </c>
      <c r="G1555" s="9">
        <f>'Posted Sales Invoice Lines'!L1555</f>
        <v>84</v>
      </c>
      <c r="H1555" s="8">
        <f>'Posted Sales Invoice Lines'!N1555</f>
        <v>39.25</v>
      </c>
      <c r="I1555" s="8">
        <f>'Posted Sales Invoice Lines'!O1555</f>
        <v>3297</v>
      </c>
    </row>
    <row r="1556" spans="1:9" x14ac:dyDescent="0.25">
      <c r="A1556" s="2" t="str">
        <f>'Posted Sales Invoice Lines'!A1556</f>
        <v>PS-INV218761</v>
      </c>
      <c r="B1556" s="2" t="str">
        <f>'Posted Sales Invoice Lines'!B1556</f>
        <v>10540-03</v>
      </c>
      <c r="C1556" s="2" t="str">
        <f>'Posted Sales Invoice Lines'!C1556</f>
        <v>PFG Louisville TN</v>
      </c>
      <c r="D1556" s="2" t="str">
        <f>'Posted Sales Invoice Lines'!E1556</f>
        <v>F530421</v>
      </c>
      <c r="E1556" s="2" t="str">
        <f>'Posted Sales Invoice Lines'!F1556</f>
        <v>Cs. 4.5" Challah Buns 6-12pk.</v>
      </c>
      <c r="F1556" s="3">
        <f>'Posted Sales Invoice Lines'!G1556</f>
        <v>46163</v>
      </c>
      <c r="G1556" s="9">
        <f>'Posted Sales Invoice Lines'!L1556</f>
        <v>28</v>
      </c>
      <c r="H1556" s="8">
        <f>'Posted Sales Invoice Lines'!N1556</f>
        <v>38.299999999999997</v>
      </c>
      <c r="I1556" s="8">
        <f>'Posted Sales Invoice Lines'!O1556</f>
        <v>1072.4000000000001</v>
      </c>
    </row>
    <row r="1557" spans="1:9" x14ac:dyDescent="0.25">
      <c r="A1557" s="2" t="str">
        <f>'Posted Sales Invoice Lines'!A1557</f>
        <v>PS-INV218761</v>
      </c>
      <c r="B1557" s="2" t="str">
        <f>'Posted Sales Invoice Lines'!B1557</f>
        <v>10540-03</v>
      </c>
      <c r="C1557" s="2" t="str">
        <f>'Posted Sales Invoice Lines'!C1557</f>
        <v>PFG Louisville TN</v>
      </c>
      <c r="D1557" s="2" t="str">
        <f>'Posted Sales Invoice Lines'!E1557</f>
        <v>F53105</v>
      </c>
      <c r="E1557" s="2" t="str">
        <f>'Posted Sales Invoice Lines'!F1557</f>
        <v>Cs. 6" White Hot Dog 16-8pk</v>
      </c>
      <c r="F1557" s="3">
        <f>'Posted Sales Invoice Lines'!G1557</f>
        <v>46163</v>
      </c>
      <c r="G1557" s="9">
        <f>'Posted Sales Invoice Lines'!L1557</f>
        <v>112</v>
      </c>
      <c r="H1557" s="8">
        <f>'Posted Sales Invoice Lines'!N1557</f>
        <v>34.5</v>
      </c>
      <c r="I1557" s="8">
        <f>'Posted Sales Invoice Lines'!O1557</f>
        <v>3864</v>
      </c>
    </row>
    <row r="1558" spans="1:9" x14ac:dyDescent="0.25">
      <c r="A1558" s="2" t="str">
        <f>'Posted Sales Invoice Lines'!A1558</f>
        <v>PS-INV218761</v>
      </c>
      <c r="B1558" s="2" t="str">
        <f>'Posted Sales Invoice Lines'!B1558</f>
        <v>10540-03</v>
      </c>
      <c r="C1558" s="2" t="str">
        <f>'Posted Sales Invoice Lines'!C1558</f>
        <v>PFG Louisville TN</v>
      </c>
      <c r="D1558" s="2" t="str">
        <f>'Posted Sales Invoice Lines'!E1558</f>
        <v>F53094</v>
      </c>
      <c r="E1558" s="2" t="str">
        <f>'Posted Sales Invoice Lines'!F1558</f>
        <v>Cs. 6" Italian 12-6pks</v>
      </c>
      <c r="F1558" s="3">
        <f>'Posted Sales Invoice Lines'!G1558</f>
        <v>46163</v>
      </c>
      <c r="G1558" s="9">
        <f>'Posted Sales Invoice Lines'!L1558</f>
        <v>56</v>
      </c>
      <c r="H1558" s="8">
        <f>'Posted Sales Invoice Lines'!N1558</f>
        <v>35</v>
      </c>
      <c r="I1558" s="8">
        <f>'Posted Sales Invoice Lines'!O1558</f>
        <v>1960</v>
      </c>
    </row>
    <row r="1559" spans="1:9" x14ac:dyDescent="0.25">
      <c r="A1559" s="2" t="str">
        <f>'Posted Sales Invoice Lines'!A1559</f>
        <v>PS-INV218761</v>
      </c>
      <c r="B1559" s="2" t="str">
        <f>'Posted Sales Invoice Lines'!B1559</f>
        <v>10540-03</v>
      </c>
      <c r="C1559" s="2" t="str">
        <f>'Posted Sales Invoice Lines'!C1559</f>
        <v>PFG Louisville TN</v>
      </c>
      <c r="D1559" s="2" t="str">
        <f>'Posted Sales Invoice Lines'!E1559</f>
        <v>F53100</v>
      </c>
      <c r="E1559" s="2" t="str">
        <f>'Posted Sales Invoice Lines'!F1559</f>
        <v>Cs. Hot Dog pl/sl 12-8pk</v>
      </c>
      <c r="F1559" s="3">
        <f>'Posted Sales Invoice Lines'!G1559</f>
        <v>46163</v>
      </c>
      <c r="G1559" s="9">
        <f>'Posted Sales Invoice Lines'!L1559</f>
        <v>10</v>
      </c>
      <c r="H1559" s="8">
        <f>'Posted Sales Invoice Lines'!N1559</f>
        <v>36.18</v>
      </c>
      <c r="I1559" s="8">
        <f>'Posted Sales Invoice Lines'!O1559</f>
        <v>361.8</v>
      </c>
    </row>
    <row r="1560" spans="1:9" x14ac:dyDescent="0.25">
      <c r="A1560" s="2" t="str">
        <f>'Posted Sales Invoice Lines'!A1560</f>
        <v>PS-INV218761</v>
      </c>
      <c r="B1560" s="2" t="str">
        <f>'Posted Sales Invoice Lines'!B1560</f>
        <v>10540-03</v>
      </c>
      <c r="C1560" s="2" t="str">
        <f>'Posted Sales Invoice Lines'!C1560</f>
        <v>PFG Louisville TN</v>
      </c>
      <c r="D1560" s="2" t="str">
        <f>'Posted Sales Invoice Lines'!E1560</f>
        <v>F53106</v>
      </c>
      <c r="E1560" s="2" t="str">
        <f>'Posted Sales Invoice Lines'!F1560</f>
        <v>Cs. Large Hot Dog 12-6pk</v>
      </c>
      <c r="F1560" s="3">
        <f>'Posted Sales Invoice Lines'!G1560</f>
        <v>46163</v>
      </c>
      <c r="G1560" s="9">
        <f>'Posted Sales Invoice Lines'!L1560</f>
        <v>12</v>
      </c>
      <c r="H1560" s="8">
        <f>'Posted Sales Invoice Lines'!N1560</f>
        <v>36.07</v>
      </c>
      <c r="I1560" s="8">
        <f>'Posted Sales Invoice Lines'!O1560</f>
        <v>432.84</v>
      </c>
    </row>
    <row r="1561" spans="1:9" x14ac:dyDescent="0.25">
      <c r="A1561" s="2" t="str">
        <f>'Posted Sales Invoice Lines'!A1561</f>
        <v>PS-INV218761</v>
      </c>
      <c r="B1561" s="2" t="str">
        <f>'Posted Sales Invoice Lines'!B1561</f>
        <v>10540-03</v>
      </c>
      <c r="C1561" s="2" t="str">
        <f>'Posted Sales Invoice Lines'!C1561</f>
        <v>PFG Louisville TN</v>
      </c>
      <c r="D1561" s="2" t="str">
        <f>'Posted Sales Invoice Lines'!E1561</f>
        <v>F51034</v>
      </c>
      <c r="E1561" s="2" t="str">
        <f>'Posted Sales Invoice Lines'!F1561</f>
        <v>Cs. Sour Dough Hearth 5/8" 8lvs</v>
      </c>
      <c r="F1561" s="3">
        <f>'Posted Sales Invoice Lines'!G1561</f>
        <v>46163</v>
      </c>
      <c r="G1561" s="9">
        <f>'Posted Sales Invoice Lines'!L1561</f>
        <v>40</v>
      </c>
      <c r="H1561" s="8">
        <f>'Posted Sales Invoice Lines'!N1561</f>
        <v>43.82</v>
      </c>
      <c r="I1561" s="8">
        <f>'Posted Sales Invoice Lines'!O1561</f>
        <v>1752.8</v>
      </c>
    </row>
    <row r="1562" spans="1:9" x14ac:dyDescent="0.25">
      <c r="A1562" s="2" t="str">
        <f>'Posted Sales Invoice Lines'!A1562</f>
        <v>PS-INV218773</v>
      </c>
      <c r="B1562" s="2" t="str">
        <f>'Posted Sales Invoice Lines'!B1562</f>
        <v>12692</v>
      </c>
      <c r="C1562" s="2" t="str">
        <f>'Posted Sales Invoice Lines'!C1562</f>
        <v>United Food Service</v>
      </c>
      <c r="D1562" s="2" t="str">
        <f>'Posted Sales Invoice Lines'!E1562</f>
        <v>F53116</v>
      </c>
      <c r="E1562" s="2" t="str">
        <f>'Posted Sales Invoice Lines'!F1562</f>
        <v>Cs. 7" French Hinged 12-6pk</v>
      </c>
      <c r="F1562" s="3">
        <f>'Posted Sales Invoice Lines'!G1562</f>
        <v>46169</v>
      </c>
      <c r="G1562" s="9">
        <f>'Posted Sales Invoice Lines'!L1562</f>
        <v>224</v>
      </c>
      <c r="H1562" s="8">
        <f>'Posted Sales Invoice Lines'!N1562</f>
        <v>32.5</v>
      </c>
      <c r="I1562" s="8">
        <f>'Posted Sales Invoice Lines'!O1562</f>
        <v>7280</v>
      </c>
    </row>
    <row r="1563" spans="1:9" x14ac:dyDescent="0.25">
      <c r="A1563" s="2" t="str">
        <f>'Posted Sales Invoice Lines'!A1563</f>
        <v>PS-INV218773</v>
      </c>
      <c r="B1563" s="2" t="str">
        <f>'Posted Sales Invoice Lines'!B1563</f>
        <v>12692</v>
      </c>
      <c r="C1563" s="2" t="str">
        <f>'Posted Sales Invoice Lines'!C1563</f>
        <v>United Food Service</v>
      </c>
      <c r="D1563" s="2" t="str">
        <f>'Posted Sales Invoice Lines'!E1563</f>
        <v>F53122</v>
      </c>
      <c r="E1563" s="2" t="str">
        <f>'Posted Sales Invoice Lines'!F1563</f>
        <v>Cs. 8" Italian Hinged 12-6pk</v>
      </c>
      <c r="F1563" s="3">
        <f>'Posted Sales Invoice Lines'!G1563</f>
        <v>46169</v>
      </c>
      <c r="G1563" s="9">
        <f>'Posted Sales Invoice Lines'!L1563</f>
        <v>28</v>
      </c>
      <c r="H1563" s="8">
        <f>'Posted Sales Invoice Lines'!N1563</f>
        <v>42.75</v>
      </c>
      <c r="I1563" s="8">
        <f>'Posted Sales Invoice Lines'!O1563</f>
        <v>1197</v>
      </c>
    </row>
    <row r="1564" spans="1:9" x14ac:dyDescent="0.25">
      <c r="A1564" s="2" t="str">
        <f>'Posted Sales Invoice Lines'!A1564</f>
        <v>PS-INV218854</v>
      </c>
      <c r="B1564" s="2" t="str">
        <f>'Posted Sales Invoice Lines'!B1564</f>
        <v>11005</v>
      </c>
      <c r="C1564" s="2" t="str">
        <f>'Posted Sales Invoice Lines'!C1564</f>
        <v>Dot Foods Inc.</v>
      </c>
      <c r="D1564" s="2" t="str">
        <f>'Posted Sales Invoice Lines'!E1564</f>
        <v>F530142</v>
      </c>
      <c r="E1564" s="2" t="str">
        <f>'Posted Sales Invoice Lines'!F1564</f>
        <v>Cs. Knot Roll 8-12pk</v>
      </c>
      <c r="F1564" s="3">
        <f>'Posted Sales Invoice Lines'!G1564</f>
        <v>46170</v>
      </c>
      <c r="G1564" s="9">
        <f>'Posted Sales Invoice Lines'!L1564</f>
        <v>416</v>
      </c>
      <c r="H1564" s="8">
        <f>'Posted Sales Invoice Lines'!N1564</f>
        <v>33.42</v>
      </c>
      <c r="I1564" s="8">
        <f>'Posted Sales Invoice Lines'!O1564</f>
        <v>13902.72</v>
      </c>
    </row>
    <row r="1565" spans="1:9" x14ac:dyDescent="0.25">
      <c r="A1565" s="2" t="str">
        <f>'Posted Sales Invoice Lines'!A1565</f>
        <v>PS-INV219174</v>
      </c>
      <c r="B1565" s="2" t="str">
        <f>'Posted Sales Invoice Lines'!B1565</f>
        <v>Z10700</v>
      </c>
      <c r="C1565" s="2" t="str">
        <f>'Posted Sales Invoice Lines'!C1565</f>
        <v>Sysco-Charlotte</v>
      </c>
      <c r="D1565" s="2" t="str">
        <f>'Posted Sales Invoice Lines'!E1565</f>
        <v>F51384</v>
      </c>
      <c r="E1565" s="2" t="str">
        <f>'Posted Sales Invoice Lines'!F1565</f>
        <v>Cs. Challah Pullman 7/8"</v>
      </c>
      <c r="F1565" s="3">
        <f>'Posted Sales Invoice Lines'!G1565</f>
        <v>46169</v>
      </c>
      <c r="G1565" s="9">
        <f>'Posted Sales Invoice Lines'!L1565</f>
        <v>120</v>
      </c>
      <c r="H1565" s="8">
        <f>'Posted Sales Invoice Lines'!N1565</f>
        <v>51.38</v>
      </c>
      <c r="I1565" s="8">
        <f>'Posted Sales Invoice Lines'!O1565</f>
        <v>6165.6</v>
      </c>
    </row>
    <row r="1566" spans="1:9" x14ac:dyDescent="0.25">
      <c r="A1566" s="2" t="str">
        <f>'Posted Sales Invoice Lines'!A1566</f>
        <v>PS-INV219174</v>
      </c>
      <c r="B1566" s="2" t="str">
        <f>'Posted Sales Invoice Lines'!B1566</f>
        <v>Z10700</v>
      </c>
      <c r="C1566" s="2" t="str">
        <f>'Posted Sales Invoice Lines'!C1566</f>
        <v>Sysco-Charlotte</v>
      </c>
      <c r="D1566" s="2" t="str">
        <f>'Posted Sales Invoice Lines'!E1566</f>
        <v>F51077</v>
      </c>
      <c r="E1566" s="2" t="str">
        <f>'Posted Sales Invoice Lines'!F1566</f>
        <v>Cs. Oatie Multigrain 5/8" 8lvs</v>
      </c>
      <c r="F1566" s="3">
        <f>'Posted Sales Invoice Lines'!G1566</f>
        <v>46169</v>
      </c>
      <c r="G1566" s="9">
        <f>'Posted Sales Invoice Lines'!L1566</f>
        <v>72</v>
      </c>
      <c r="H1566" s="8">
        <f>'Posted Sales Invoice Lines'!N1566</f>
        <v>54.38</v>
      </c>
      <c r="I1566" s="8">
        <f>'Posted Sales Invoice Lines'!O1566</f>
        <v>3915.36</v>
      </c>
    </row>
    <row r="1567" spans="1:9" x14ac:dyDescent="0.25">
      <c r="A1567" s="2" t="str">
        <f>'Posted Sales Invoice Lines'!A1567</f>
        <v>PS-INV219174</v>
      </c>
      <c r="B1567" s="2" t="str">
        <f>'Posted Sales Invoice Lines'!B1567</f>
        <v>Z10700</v>
      </c>
      <c r="C1567" s="2" t="str">
        <f>'Posted Sales Invoice Lines'!C1567</f>
        <v>Sysco-Charlotte</v>
      </c>
      <c r="D1567" s="2" t="str">
        <f>'Posted Sales Invoice Lines'!E1567</f>
        <v>F52544</v>
      </c>
      <c r="E1567" s="2" t="str">
        <f>'Posted Sales Invoice Lines'!F1567</f>
        <v>Cs. Sour Dough Batard 5/8" 8lvs</v>
      </c>
      <c r="F1567" s="3">
        <f>'Posted Sales Invoice Lines'!G1567</f>
        <v>46169</v>
      </c>
      <c r="G1567" s="9">
        <f>'Posted Sales Invoice Lines'!L1567</f>
        <v>220</v>
      </c>
      <c r="H1567" s="8">
        <f>'Posted Sales Invoice Lines'!N1567</f>
        <v>61.02</v>
      </c>
      <c r="I1567" s="8">
        <f>'Posted Sales Invoice Lines'!O1567</f>
        <v>13424.4</v>
      </c>
    </row>
    <row r="1568" spans="1:9" x14ac:dyDescent="0.25">
      <c r="A1568" s="2" t="str">
        <f>'Posted Sales Invoice Lines'!A1568</f>
        <v>PS-INV219174</v>
      </c>
      <c r="B1568" s="2" t="str">
        <f>'Posted Sales Invoice Lines'!B1568</f>
        <v>Z10700</v>
      </c>
      <c r="C1568" s="2" t="str">
        <f>'Posted Sales Invoice Lines'!C1568</f>
        <v>Sysco-Charlotte</v>
      </c>
      <c r="D1568" s="2" t="str">
        <f>'Posted Sales Invoice Lines'!E1568</f>
        <v>F51044</v>
      </c>
      <c r="E1568" s="2" t="str">
        <f>'Posted Sales Invoice Lines'!F1568</f>
        <v>Cs. Vienna 5/8" 8lvs</v>
      </c>
      <c r="F1568" s="3">
        <f>'Posted Sales Invoice Lines'!G1568</f>
        <v>46169</v>
      </c>
      <c r="G1568" s="9">
        <f>'Posted Sales Invoice Lines'!L1568</f>
        <v>48</v>
      </c>
      <c r="H1568" s="8">
        <f>'Posted Sales Invoice Lines'!N1568</f>
        <v>28.5</v>
      </c>
      <c r="I1568" s="8">
        <f>'Posted Sales Invoice Lines'!O1568</f>
        <v>1368</v>
      </c>
    </row>
    <row r="1569" spans="1:9" x14ac:dyDescent="0.25">
      <c r="A1569" s="2" t="str">
        <f>'Posted Sales Invoice Lines'!A1569</f>
        <v>PS-INV219176</v>
      </c>
      <c r="B1569" s="2" t="str">
        <f>'Posted Sales Invoice Lines'!B1569</f>
        <v>10719-9</v>
      </c>
      <c r="C1569" s="2" t="str">
        <f>'Posted Sales Invoice Lines'!C1569</f>
        <v>US Foods -Carolinas/Ft.Mill</v>
      </c>
      <c r="D1569" s="2" t="str">
        <f>'Posted Sales Invoice Lines'!E1569</f>
        <v>F53002</v>
      </c>
      <c r="E1569" s="2" t="str">
        <f>'Posted Sales Invoice Lines'!F1569</f>
        <v>Cs. 4" Challah Sesame Bun 8-12pk</v>
      </c>
      <c r="F1569" s="3">
        <f>'Posted Sales Invoice Lines'!G1569</f>
        <v>46174</v>
      </c>
      <c r="G1569" s="9">
        <f>'Posted Sales Invoice Lines'!L1569</f>
        <v>140</v>
      </c>
      <c r="H1569" s="8">
        <f>'Posted Sales Invoice Lines'!N1569</f>
        <v>37.659999999999997</v>
      </c>
      <c r="I1569" s="8">
        <f>'Posted Sales Invoice Lines'!O1569</f>
        <v>5272.4</v>
      </c>
    </row>
    <row r="1570" spans="1:9" x14ac:dyDescent="0.25">
      <c r="A1570" s="2" t="str">
        <f>'Posted Sales Invoice Lines'!A1570</f>
        <v>PS-INV219176</v>
      </c>
      <c r="B1570" s="2" t="str">
        <f>'Posted Sales Invoice Lines'!B1570</f>
        <v>10719-9</v>
      </c>
      <c r="C1570" s="2" t="str">
        <f>'Posted Sales Invoice Lines'!C1570</f>
        <v>US Foods -Carolinas/Ft.Mill</v>
      </c>
      <c r="D1570" s="2" t="str">
        <f>'Posted Sales Invoice Lines'!E1570</f>
        <v>F52902</v>
      </c>
      <c r="E1570" s="2" t="str">
        <f>'Posted Sales Invoice Lines'!F1570</f>
        <v>Cs. 22" Rye Baguette 10-2pk</v>
      </c>
      <c r="F1570" s="3">
        <f>'Posted Sales Invoice Lines'!G1570</f>
        <v>46174</v>
      </c>
      <c r="G1570" s="9">
        <f>'Posted Sales Invoice Lines'!L1570</f>
        <v>12</v>
      </c>
      <c r="H1570" s="8">
        <f>'Posted Sales Invoice Lines'!N1570</f>
        <v>42.53</v>
      </c>
      <c r="I1570" s="8">
        <f>'Posted Sales Invoice Lines'!O1570</f>
        <v>510.36</v>
      </c>
    </row>
    <row r="1571" spans="1:9" x14ac:dyDescent="0.25">
      <c r="A1571" s="2" t="str">
        <f>'Posted Sales Invoice Lines'!A1571</f>
        <v>PS-INV219176</v>
      </c>
      <c r="B1571" s="2" t="str">
        <f>'Posted Sales Invoice Lines'!B1571</f>
        <v>10719-9</v>
      </c>
      <c r="C1571" s="2" t="str">
        <f>'Posted Sales Invoice Lines'!C1571</f>
        <v>US Foods -Carolinas/Ft.Mill</v>
      </c>
      <c r="D1571" s="2" t="str">
        <f>'Posted Sales Invoice Lines'!E1571</f>
        <v>F52007</v>
      </c>
      <c r="E1571" s="2" t="str">
        <f>'Posted Sales Invoice Lines'!F1571</f>
        <v>Cs. 22" 17oz French 10-2pk</v>
      </c>
      <c r="F1571" s="3">
        <f>'Posted Sales Invoice Lines'!G1571</f>
        <v>46174</v>
      </c>
      <c r="G1571" s="9">
        <f>'Posted Sales Invoice Lines'!L1571</f>
        <v>4</v>
      </c>
      <c r="H1571" s="8">
        <f>'Posted Sales Invoice Lines'!N1571</f>
        <v>39.96</v>
      </c>
      <c r="I1571" s="8">
        <f>'Posted Sales Invoice Lines'!O1571</f>
        <v>159.84</v>
      </c>
    </row>
    <row r="1572" spans="1:9" x14ac:dyDescent="0.25">
      <c r="A1572" s="2" t="str">
        <f>'Posted Sales Invoice Lines'!A1572</f>
        <v>PS-INV219176</v>
      </c>
      <c r="B1572" s="2" t="str">
        <f>'Posted Sales Invoice Lines'!B1572</f>
        <v>10719-9</v>
      </c>
      <c r="C1572" s="2" t="str">
        <f>'Posted Sales Invoice Lines'!C1572</f>
        <v>US Foods -Carolinas/Ft.Mill</v>
      </c>
      <c r="D1572" s="2" t="str">
        <f>'Posted Sales Invoice Lines'!E1572</f>
        <v>F51137</v>
      </c>
      <c r="E1572" s="2" t="str">
        <f>'Posted Sales Invoice Lines'!F1572</f>
        <v>Cs. Texas Toast 3/4" 12lvs</v>
      </c>
      <c r="F1572" s="3">
        <f>'Posted Sales Invoice Lines'!G1572</f>
        <v>46174</v>
      </c>
      <c r="G1572" s="9">
        <f>'Posted Sales Invoice Lines'!L1572</f>
        <v>64</v>
      </c>
      <c r="H1572" s="8">
        <f>'Posted Sales Invoice Lines'!N1572</f>
        <v>40</v>
      </c>
      <c r="I1572" s="8">
        <f>'Posted Sales Invoice Lines'!O1572</f>
        <v>2560</v>
      </c>
    </row>
    <row r="1573" spans="1:9" x14ac:dyDescent="0.25">
      <c r="A1573" s="2" t="str">
        <f>'Posted Sales Invoice Lines'!A1573</f>
        <v>PS-INV219176</v>
      </c>
      <c r="B1573" s="2" t="str">
        <f>'Posted Sales Invoice Lines'!B1573</f>
        <v>10719-9</v>
      </c>
      <c r="C1573" s="2" t="str">
        <f>'Posted Sales Invoice Lines'!C1573</f>
        <v>US Foods -Carolinas/Ft.Mill</v>
      </c>
      <c r="D1573" s="2" t="str">
        <f>'Posted Sales Invoice Lines'!E1573</f>
        <v>F53122</v>
      </c>
      <c r="E1573" s="2" t="str">
        <f>'Posted Sales Invoice Lines'!F1573</f>
        <v>Cs. 8" Italian Hinged 12-6pk</v>
      </c>
      <c r="F1573" s="3">
        <f>'Posted Sales Invoice Lines'!G1573</f>
        <v>46174</v>
      </c>
      <c r="G1573" s="9">
        <f>'Posted Sales Invoice Lines'!L1573</f>
        <v>44</v>
      </c>
      <c r="H1573" s="8">
        <f>'Posted Sales Invoice Lines'!N1573</f>
        <v>39</v>
      </c>
      <c r="I1573" s="8">
        <f>'Posted Sales Invoice Lines'!O1573</f>
        <v>1716</v>
      </c>
    </row>
    <row r="1574" spans="1:9" x14ac:dyDescent="0.25">
      <c r="A1574" s="2" t="str">
        <f>'Posted Sales Invoice Lines'!A1574</f>
        <v>PS-INV219176</v>
      </c>
      <c r="B1574" s="2" t="str">
        <f>'Posted Sales Invoice Lines'!B1574</f>
        <v>10719-9</v>
      </c>
      <c r="C1574" s="2" t="str">
        <f>'Posted Sales Invoice Lines'!C1574</f>
        <v>US Foods -Carolinas/Ft.Mill</v>
      </c>
      <c r="D1574" s="2" t="str">
        <f>'Posted Sales Invoice Lines'!E1574</f>
        <v>F53001</v>
      </c>
      <c r="E1574" s="2" t="str">
        <f>'Posted Sales Invoice Lines'!F1574</f>
        <v>Cs. 4" Brioche Bun 8-12pk</v>
      </c>
      <c r="F1574" s="3">
        <f>'Posted Sales Invoice Lines'!G1574</f>
        <v>46174</v>
      </c>
      <c r="G1574" s="9">
        <f>'Posted Sales Invoice Lines'!L1574</f>
        <v>268</v>
      </c>
      <c r="H1574" s="8">
        <f>'Posted Sales Invoice Lines'!N1574</f>
        <v>44</v>
      </c>
      <c r="I1574" s="8">
        <f>'Posted Sales Invoice Lines'!O1574</f>
        <v>11792</v>
      </c>
    </row>
    <row r="1575" spans="1:9" x14ac:dyDescent="0.25">
      <c r="A1575" s="2" t="str">
        <f>'Posted Sales Invoice Lines'!A1575</f>
        <v>PS-INV219176</v>
      </c>
      <c r="B1575" s="2" t="str">
        <f>'Posted Sales Invoice Lines'!B1575</f>
        <v>10719-9</v>
      </c>
      <c r="C1575" s="2" t="str">
        <f>'Posted Sales Invoice Lines'!C1575</f>
        <v>US Foods -Carolinas/Ft.Mill</v>
      </c>
      <c r="D1575" s="2" t="str">
        <f>'Posted Sales Invoice Lines'!E1575</f>
        <v>F53100</v>
      </c>
      <c r="E1575" s="2" t="str">
        <f>'Posted Sales Invoice Lines'!F1575</f>
        <v>Cs. Hot Dog pl/sl 12-8pk</v>
      </c>
      <c r="F1575" s="3">
        <f>'Posted Sales Invoice Lines'!G1575</f>
        <v>46174</v>
      </c>
      <c r="G1575" s="9">
        <f>'Posted Sales Invoice Lines'!L1575</f>
        <v>4</v>
      </c>
      <c r="H1575" s="8">
        <f>'Posted Sales Invoice Lines'!N1575</f>
        <v>37</v>
      </c>
      <c r="I1575" s="8">
        <f>'Posted Sales Invoice Lines'!O1575</f>
        <v>148</v>
      </c>
    </row>
    <row r="1576" spans="1:9" x14ac:dyDescent="0.25">
      <c r="A1576" s="2" t="str">
        <f>'Posted Sales Invoice Lines'!A1576</f>
        <v>PS-INV219508</v>
      </c>
      <c r="B1576" s="2" t="str">
        <f>'Posted Sales Invoice Lines'!B1576</f>
        <v>10719-6</v>
      </c>
      <c r="C1576" s="2" t="str">
        <f>'Posted Sales Invoice Lines'!C1576</f>
        <v>US Foods - Alcoa TN.</v>
      </c>
      <c r="D1576" s="2" t="str">
        <f>'Posted Sales Invoice Lines'!E1576</f>
        <v>F51136</v>
      </c>
      <c r="E1576" s="2" t="str">
        <f>'Posted Sales Invoice Lines'!F1576</f>
        <v>Cs. Texas Toast 1" 12lvs</v>
      </c>
      <c r="F1576" s="3">
        <f>'Posted Sales Invoice Lines'!G1576</f>
        <v>46175</v>
      </c>
      <c r="G1576" s="9">
        <f>'Posted Sales Invoice Lines'!L1576</f>
        <v>120</v>
      </c>
      <c r="H1576" s="8">
        <f>'Posted Sales Invoice Lines'!N1576</f>
        <v>40.119999999999997</v>
      </c>
      <c r="I1576" s="8">
        <f>'Posted Sales Invoice Lines'!O1576</f>
        <v>4814.3999999999996</v>
      </c>
    </row>
    <row r="1577" spans="1:9" x14ac:dyDescent="0.25">
      <c r="A1577" s="2" t="str">
        <f>'Posted Sales Invoice Lines'!A1577</f>
        <v>PS-INV219508</v>
      </c>
      <c r="B1577" s="2" t="str">
        <f>'Posted Sales Invoice Lines'!B1577</f>
        <v>10719-6</v>
      </c>
      <c r="C1577" s="2" t="str">
        <f>'Posted Sales Invoice Lines'!C1577</f>
        <v>US Foods - Alcoa TN.</v>
      </c>
      <c r="D1577" s="2" t="str">
        <f>'Posted Sales Invoice Lines'!E1577</f>
        <v>F51004</v>
      </c>
      <c r="E1577" s="2" t="str">
        <f>'Posted Sales Invoice Lines'!F1577</f>
        <v>Cs. Rye 5/8" 8lvs</v>
      </c>
      <c r="F1577" s="3">
        <f>'Posted Sales Invoice Lines'!G1577</f>
        <v>46175</v>
      </c>
      <c r="G1577" s="9">
        <f>'Posted Sales Invoice Lines'!L1577</f>
        <v>12</v>
      </c>
      <c r="H1577" s="8">
        <f>'Posted Sales Invoice Lines'!N1577</f>
        <v>42.03</v>
      </c>
      <c r="I1577" s="8">
        <f>'Posted Sales Invoice Lines'!O1577</f>
        <v>504.36</v>
      </c>
    </row>
    <row r="1578" spans="1:9" x14ac:dyDescent="0.25">
      <c r="A1578" s="2" t="str">
        <f>'Posted Sales Invoice Lines'!A1578</f>
        <v>PS-INV219508</v>
      </c>
      <c r="B1578" s="2" t="str">
        <f>'Posted Sales Invoice Lines'!B1578</f>
        <v>10719-6</v>
      </c>
      <c r="C1578" s="2" t="str">
        <f>'Posted Sales Invoice Lines'!C1578</f>
        <v>US Foods - Alcoa TN.</v>
      </c>
      <c r="D1578" s="2" t="str">
        <f>'Posted Sales Invoice Lines'!E1578</f>
        <v>F53025</v>
      </c>
      <c r="E1578" s="2" t="str">
        <f>'Posted Sales Invoice Lines'!F1578</f>
        <v>Cs. Sesame Challah Kaiser 8-12pk</v>
      </c>
      <c r="F1578" s="3">
        <f>'Posted Sales Invoice Lines'!G1578</f>
        <v>46175</v>
      </c>
      <c r="G1578" s="9">
        <f>'Posted Sales Invoice Lines'!L1578</f>
        <v>140</v>
      </c>
      <c r="H1578" s="8">
        <f>'Posted Sales Invoice Lines'!N1578</f>
        <v>39</v>
      </c>
      <c r="I1578" s="8">
        <f>'Posted Sales Invoice Lines'!O1578</f>
        <v>5460</v>
      </c>
    </row>
    <row r="1579" spans="1:9" x14ac:dyDescent="0.25">
      <c r="A1579" s="2" t="str">
        <f>'Posted Sales Invoice Lines'!A1579</f>
        <v>PS-INV219508</v>
      </c>
      <c r="B1579" s="2" t="str">
        <f>'Posted Sales Invoice Lines'!B1579</f>
        <v>10719-6</v>
      </c>
      <c r="C1579" s="2" t="str">
        <f>'Posted Sales Invoice Lines'!C1579</f>
        <v>US Foods - Alcoa TN.</v>
      </c>
      <c r="D1579" s="2" t="str">
        <f>'Posted Sales Invoice Lines'!E1579</f>
        <v>F53087</v>
      </c>
      <c r="E1579" s="2" t="str">
        <f>'Posted Sales Invoice Lines'!F1579</f>
        <v>Cs. 3.5" Challah Bun 8-12 pk</v>
      </c>
      <c r="F1579" s="3">
        <f>'Posted Sales Invoice Lines'!G1579</f>
        <v>46175</v>
      </c>
      <c r="G1579" s="9">
        <f>'Posted Sales Invoice Lines'!L1579</f>
        <v>52</v>
      </c>
      <c r="H1579" s="8">
        <f>'Posted Sales Invoice Lines'!N1579</f>
        <v>36.24</v>
      </c>
      <c r="I1579" s="8">
        <f>'Posted Sales Invoice Lines'!O1579</f>
        <v>1884.48</v>
      </c>
    </row>
    <row r="1580" spans="1:9" x14ac:dyDescent="0.25">
      <c r="A1580" s="2" t="str">
        <f>'Posted Sales Invoice Lines'!A1580</f>
        <v>PS-INV219508</v>
      </c>
      <c r="B1580" s="2" t="str">
        <f>'Posted Sales Invoice Lines'!B1580</f>
        <v>10719-6</v>
      </c>
      <c r="C1580" s="2" t="str">
        <f>'Posted Sales Invoice Lines'!C1580</f>
        <v>US Foods - Alcoa TN.</v>
      </c>
      <c r="D1580" s="2" t="str">
        <f>'Posted Sales Invoice Lines'!E1580</f>
        <v>F56251</v>
      </c>
      <c r="E1580" s="2" t="str">
        <f>'Posted Sales Invoice Lines'!F1580</f>
        <v>Cs. Challah Sliders Sliced 18-12pks</v>
      </c>
      <c r="F1580" s="3">
        <f>'Posted Sales Invoice Lines'!G1580</f>
        <v>46175</v>
      </c>
      <c r="G1580" s="9">
        <f>'Posted Sales Invoice Lines'!L1580</f>
        <v>40</v>
      </c>
      <c r="H1580" s="8">
        <f>'Posted Sales Invoice Lines'!N1580</f>
        <v>41.5</v>
      </c>
      <c r="I1580" s="8">
        <f>'Posted Sales Invoice Lines'!O1580</f>
        <v>1660</v>
      </c>
    </row>
    <row r="1581" spans="1:9" x14ac:dyDescent="0.25">
      <c r="A1581" s="2" t="str">
        <f>'Posted Sales Invoice Lines'!A1581</f>
        <v>PS-INV219508</v>
      </c>
      <c r="B1581" s="2" t="str">
        <f>'Posted Sales Invoice Lines'!B1581</f>
        <v>10719-6</v>
      </c>
      <c r="C1581" s="2" t="str">
        <f>'Posted Sales Invoice Lines'!C1581</f>
        <v>US Foods - Alcoa TN.</v>
      </c>
      <c r="D1581" s="2" t="str">
        <f>'Posted Sales Invoice Lines'!E1581</f>
        <v>F51066</v>
      </c>
      <c r="E1581" s="2" t="str">
        <f>'Posted Sales Invoice Lines'!F1581</f>
        <v>Cs. Honey Wheat 3/4" 8lvs</v>
      </c>
      <c r="F1581" s="3">
        <f>'Posted Sales Invoice Lines'!G1581</f>
        <v>46175</v>
      </c>
      <c r="G1581" s="9">
        <f>'Posted Sales Invoice Lines'!L1581</f>
        <v>28</v>
      </c>
      <c r="H1581" s="8">
        <f>'Posted Sales Invoice Lines'!N1581</f>
        <v>35.21</v>
      </c>
      <c r="I1581" s="8">
        <f>'Posted Sales Invoice Lines'!O1581</f>
        <v>985.88</v>
      </c>
    </row>
    <row r="1582" spans="1:9" x14ac:dyDescent="0.25">
      <c r="A1582" s="2" t="str">
        <f>'Posted Sales Invoice Lines'!A1582</f>
        <v>PS-INV219508</v>
      </c>
      <c r="B1582" s="2" t="str">
        <f>'Posted Sales Invoice Lines'!B1582</f>
        <v>10719-6</v>
      </c>
      <c r="C1582" s="2" t="str">
        <f>'Posted Sales Invoice Lines'!C1582</f>
        <v>US Foods - Alcoa TN.</v>
      </c>
      <c r="D1582" s="2" t="str">
        <f>'Posted Sales Invoice Lines'!E1582</f>
        <v>F53001</v>
      </c>
      <c r="E1582" s="2" t="str">
        <f>'Posted Sales Invoice Lines'!F1582</f>
        <v>Cs. 4" Brioche Bun 8-12pk</v>
      </c>
      <c r="F1582" s="3">
        <f>'Posted Sales Invoice Lines'!G1582</f>
        <v>46175</v>
      </c>
      <c r="G1582" s="9">
        <f>'Posted Sales Invoice Lines'!L1582</f>
        <v>196</v>
      </c>
      <c r="H1582" s="8">
        <f>'Posted Sales Invoice Lines'!N1582</f>
        <v>45.49</v>
      </c>
      <c r="I1582" s="8">
        <f>'Posted Sales Invoice Lines'!O1582</f>
        <v>8916.0400000000009</v>
      </c>
    </row>
    <row r="1583" spans="1:9" x14ac:dyDescent="0.25">
      <c r="A1583" s="2" t="str">
        <f>'Posted Sales Invoice Lines'!A1583</f>
        <v>PS-INV219508</v>
      </c>
      <c r="B1583" s="2" t="str">
        <f>'Posted Sales Invoice Lines'!B1583</f>
        <v>10719-6</v>
      </c>
      <c r="C1583" s="2" t="str">
        <f>'Posted Sales Invoice Lines'!C1583</f>
        <v>US Foods - Alcoa TN.</v>
      </c>
      <c r="D1583" s="2" t="str">
        <f>'Posted Sales Invoice Lines'!E1583</f>
        <v>F530501</v>
      </c>
      <c r="E1583" s="2" t="str">
        <f>'Posted Sales Invoice Lines'!F1583</f>
        <v>Cs. 4.5" Challah Kaiser 6-12pk</v>
      </c>
      <c r="F1583" s="3">
        <f>'Posted Sales Invoice Lines'!G1583</f>
        <v>46175</v>
      </c>
      <c r="G1583" s="9">
        <f>'Posted Sales Invoice Lines'!L1583</f>
        <v>16</v>
      </c>
      <c r="H1583" s="8">
        <f>'Posted Sales Invoice Lines'!N1583</f>
        <v>37.020000000000003</v>
      </c>
      <c r="I1583" s="8">
        <f>'Posted Sales Invoice Lines'!O1583</f>
        <v>592.32000000000005</v>
      </c>
    </row>
    <row r="1584" spans="1:9" x14ac:dyDescent="0.25">
      <c r="A1584" s="2" t="str">
        <f>'Posted Sales Invoice Lines'!A1584</f>
        <v>PS-INV219508</v>
      </c>
      <c r="B1584" s="2" t="str">
        <f>'Posted Sales Invoice Lines'!B1584</f>
        <v>10719-6</v>
      </c>
      <c r="C1584" s="2" t="str">
        <f>'Posted Sales Invoice Lines'!C1584</f>
        <v>US Foods - Alcoa TN.</v>
      </c>
      <c r="D1584" s="2" t="str">
        <f>'Posted Sales Invoice Lines'!E1584</f>
        <v>F51084</v>
      </c>
      <c r="E1584" s="2" t="str">
        <f>'Posted Sales Invoice Lines'!F1584</f>
        <v>Cs. Wheatberry Hearth</v>
      </c>
      <c r="F1584" s="3">
        <f>'Posted Sales Invoice Lines'!G1584</f>
        <v>46175</v>
      </c>
      <c r="G1584" s="9">
        <f>'Posted Sales Invoice Lines'!L1584</f>
        <v>4</v>
      </c>
      <c r="H1584" s="8">
        <f>'Posted Sales Invoice Lines'!N1584</f>
        <v>52.47</v>
      </c>
      <c r="I1584" s="8">
        <f>'Posted Sales Invoice Lines'!O1584</f>
        <v>209.88</v>
      </c>
    </row>
    <row r="1585" spans="1:9" x14ac:dyDescent="0.25">
      <c r="A1585" s="2" t="str">
        <f>'Posted Sales Invoice Lines'!A1585</f>
        <v>PS-INV219508</v>
      </c>
      <c r="B1585" s="2" t="str">
        <f>'Posted Sales Invoice Lines'!B1585</f>
        <v>10719-6</v>
      </c>
      <c r="C1585" s="2" t="str">
        <f>'Posted Sales Invoice Lines'!C1585</f>
        <v>US Foods - Alcoa TN.</v>
      </c>
      <c r="D1585" s="2" t="str">
        <f>'Posted Sales Invoice Lines'!E1585</f>
        <v>F51024</v>
      </c>
      <c r="E1585" s="2" t="str">
        <f>'Posted Sales Invoice Lines'!F1585</f>
        <v>Cs. Marble Rye 5/8" 8lvs</v>
      </c>
      <c r="F1585" s="3">
        <f>'Posted Sales Invoice Lines'!G1585</f>
        <v>46175</v>
      </c>
      <c r="G1585" s="9">
        <f>'Posted Sales Invoice Lines'!L1585</f>
        <v>16</v>
      </c>
      <c r="H1585" s="8">
        <f>'Posted Sales Invoice Lines'!N1585</f>
        <v>54</v>
      </c>
      <c r="I1585" s="8">
        <f>'Posted Sales Invoice Lines'!O1585</f>
        <v>864</v>
      </c>
    </row>
    <row r="1586" spans="1:9" x14ac:dyDescent="0.25">
      <c r="A1586" s="2" t="str">
        <f>'Posted Sales Invoice Lines'!A1586</f>
        <v>PS-INV219508</v>
      </c>
      <c r="B1586" s="2" t="str">
        <f>'Posted Sales Invoice Lines'!B1586</f>
        <v>10719-6</v>
      </c>
      <c r="C1586" s="2" t="str">
        <f>'Posted Sales Invoice Lines'!C1586</f>
        <v>US Foods - Alcoa TN.</v>
      </c>
      <c r="D1586" s="2" t="str">
        <f>'Posted Sales Invoice Lines'!E1586</f>
        <v>F51034</v>
      </c>
      <c r="E1586" s="2" t="str">
        <f>'Posted Sales Invoice Lines'!F1586</f>
        <v>Cs. Sour Dough Hearth 5/8" 8lvs</v>
      </c>
      <c r="F1586" s="3">
        <f>'Posted Sales Invoice Lines'!G1586</f>
        <v>46175</v>
      </c>
      <c r="G1586" s="9">
        <f>'Posted Sales Invoice Lines'!L1586</f>
        <v>12</v>
      </c>
      <c r="H1586" s="8">
        <f>'Posted Sales Invoice Lines'!N1586</f>
        <v>43.2</v>
      </c>
      <c r="I1586" s="8">
        <f>'Posted Sales Invoice Lines'!O1586</f>
        <v>518.4</v>
      </c>
    </row>
    <row r="1587" spans="1:9" x14ac:dyDescent="0.25">
      <c r="A1587" s="2" t="str">
        <f>'Posted Sales Invoice Lines'!A1587</f>
        <v>PS-INV219508</v>
      </c>
      <c r="B1587" s="2" t="str">
        <f>'Posted Sales Invoice Lines'!B1587</f>
        <v>10719-6</v>
      </c>
      <c r="C1587" s="2" t="str">
        <f>'Posted Sales Invoice Lines'!C1587</f>
        <v>US Foods - Alcoa TN.</v>
      </c>
      <c r="D1587" s="2" t="str">
        <f>'Posted Sales Invoice Lines'!E1587</f>
        <v>F51157</v>
      </c>
      <c r="E1587" s="2" t="str">
        <f>'Posted Sales Invoice Lines'!F1587</f>
        <v>Cs. Challah Hearth 7/8" 8lvs</v>
      </c>
      <c r="F1587" s="3">
        <f>'Posted Sales Invoice Lines'!G1587</f>
        <v>46175</v>
      </c>
      <c r="G1587" s="9">
        <f>'Posted Sales Invoice Lines'!L1587</f>
        <v>28</v>
      </c>
      <c r="H1587" s="8">
        <f>'Posted Sales Invoice Lines'!N1587</f>
        <v>44.15</v>
      </c>
      <c r="I1587" s="8">
        <f>'Posted Sales Invoice Lines'!O1587</f>
        <v>1236.2</v>
      </c>
    </row>
    <row r="1588" spans="1:9" x14ac:dyDescent="0.25">
      <c r="A1588" s="2" t="str">
        <f>'Posted Sales Invoice Lines'!A1588</f>
        <v>PS-INV219508</v>
      </c>
      <c r="B1588" s="2" t="str">
        <f>'Posted Sales Invoice Lines'!B1588</f>
        <v>10719-6</v>
      </c>
      <c r="C1588" s="2" t="str">
        <f>'Posted Sales Invoice Lines'!C1588</f>
        <v>US Foods - Alcoa TN.</v>
      </c>
      <c r="D1588" s="2" t="str">
        <f>'Posted Sales Invoice Lines'!E1588</f>
        <v>F53006</v>
      </c>
      <c r="E1588" s="2" t="str">
        <f>'Posted Sales Invoice Lines'!F1588</f>
        <v>Cs. 4" Wheat Bun 8-12pk</v>
      </c>
      <c r="F1588" s="3">
        <f>'Posted Sales Invoice Lines'!G1588</f>
        <v>46175</v>
      </c>
      <c r="G1588" s="9">
        <f>'Posted Sales Invoice Lines'!L1588</f>
        <v>16</v>
      </c>
      <c r="H1588" s="8">
        <f>'Posted Sales Invoice Lines'!N1588</f>
        <v>40.22</v>
      </c>
      <c r="I1588" s="8">
        <f>'Posted Sales Invoice Lines'!O1588</f>
        <v>643.52</v>
      </c>
    </row>
    <row r="1589" spans="1:9" x14ac:dyDescent="0.25">
      <c r="A1589" s="2" t="str">
        <f>'Posted Sales Invoice Lines'!A1589</f>
        <v>PS-INV219508</v>
      </c>
      <c r="B1589" s="2" t="str">
        <f>'Posted Sales Invoice Lines'!B1589</f>
        <v>10719-6</v>
      </c>
      <c r="C1589" s="2" t="str">
        <f>'Posted Sales Invoice Lines'!C1589</f>
        <v>US Foods - Alcoa TN.</v>
      </c>
      <c r="D1589" s="2" t="str">
        <f>'Posted Sales Invoice Lines'!E1589</f>
        <v>F53127</v>
      </c>
      <c r="E1589" s="2" t="str">
        <f>'Posted Sales Invoice Lines'!F1589</f>
        <v>Cs. 8" Philly 10-6pks</v>
      </c>
      <c r="F1589" s="3">
        <f>'Posted Sales Invoice Lines'!G1589</f>
        <v>46175</v>
      </c>
      <c r="G1589" s="9">
        <f>'Posted Sales Invoice Lines'!L1589</f>
        <v>56</v>
      </c>
      <c r="H1589" s="8">
        <f>'Posted Sales Invoice Lines'!N1589</f>
        <v>42.37</v>
      </c>
      <c r="I1589" s="8">
        <f>'Posted Sales Invoice Lines'!O1589</f>
        <v>2372.7199999999998</v>
      </c>
    </row>
    <row r="1590" spans="1:9" x14ac:dyDescent="0.25">
      <c r="A1590" s="2" t="str">
        <f>'Posted Sales Invoice Lines'!A1590</f>
        <v>PS-INV219508</v>
      </c>
      <c r="B1590" s="2" t="str">
        <f>'Posted Sales Invoice Lines'!B1590</f>
        <v>10719-6</v>
      </c>
      <c r="C1590" s="2" t="str">
        <f>'Posted Sales Invoice Lines'!C1590</f>
        <v>US Foods - Alcoa TN.</v>
      </c>
      <c r="D1590" s="2" t="str">
        <f>'Posted Sales Invoice Lines'!E1590</f>
        <v>F51343</v>
      </c>
      <c r="E1590" s="2" t="str">
        <f>'Posted Sales Invoice Lines'!F1590</f>
        <v>Cs. White Bread Pullman 3/4" 10lvs</v>
      </c>
      <c r="F1590" s="3">
        <f>'Posted Sales Invoice Lines'!G1590</f>
        <v>46175</v>
      </c>
      <c r="G1590" s="9">
        <f>'Posted Sales Invoice Lines'!L1590</f>
        <v>14</v>
      </c>
      <c r="H1590" s="8">
        <f>'Posted Sales Invoice Lines'!N1590</f>
        <v>42.22</v>
      </c>
      <c r="I1590" s="8">
        <f>'Posted Sales Invoice Lines'!O1590</f>
        <v>591.08000000000004</v>
      </c>
    </row>
    <row r="1591" spans="1:9" x14ac:dyDescent="0.25">
      <c r="A1591" s="2" t="str">
        <f>'Posted Sales Invoice Lines'!A1591</f>
        <v>PS-INV219508</v>
      </c>
      <c r="B1591" s="2" t="str">
        <f>'Posted Sales Invoice Lines'!B1591</f>
        <v>10719-6</v>
      </c>
      <c r="C1591" s="2" t="str">
        <f>'Posted Sales Invoice Lines'!C1591</f>
        <v>US Foods - Alcoa TN.</v>
      </c>
      <c r="D1591" s="2" t="str">
        <f>'Posted Sales Invoice Lines'!E1591</f>
        <v>F52035</v>
      </c>
      <c r="E1591" s="2" t="str">
        <f>'Posted Sales Invoice Lines'!F1591</f>
        <v>Cs. French Boule 12-2pk</v>
      </c>
      <c r="F1591" s="3">
        <f>'Posted Sales Invoice Lines'!G1591</f>
        <v>46175</v>
      </c>
      <c r="G1591" s="9">
        <f>'Posted Sales Invoice Lines'!L1591</f>
        <v>44</v>
      </c>
      <c r="H1591" s="8">
        <f>'Posted Sales Invoice Lines'!N1591</f>
        <v>32.549999999999997</v>
      </c>
      <c r="I1591" s="8">
        <f>'Posted Sales Invoice Lines'!O1591</f>
        <v>1432.2</v>
      </c>
    </row>
    <row r="1592" spans="1:9" x14ac:dyDescent="0.25">
      <c r="A1592" s="2" t="str">
        <f>'Posted Sales Invoice Lines'!A1592</f>
        <v>PS-INV219508</v>
      </c>
      <c r="B1592" s="2" t="str">
        <f>'Posted Sales Invoice Lines'!B1592</f>
        <v>10719-6</v>
      </c>
      <c r="C1592" s="2" t="str">
        <f>'Posted Sales Invoice Lines'!C1592</f>
        <v>US Foods - Alcoa TN.</v>
      </c>
      <c r="D1592" s="2" t="str">
        <f>'Posted Sales Invoice Lines'!E1592</f>
        <v>F53106</v>
      </c>
      <c r="E1592" s="2" t="str">
        <f>'Posted Sales Invoice Lines'!F1592</f>
        <v>Cs. Large Hot Dog 12-6pk</v>
      </c>
      <c r="F1592" s="3">
        <f>'Posted Sales Invoice Lines'!G1592</f>
        <v>46175</v>
      </c>
      <c r="G1592" s="9">
        <f>'Posted Sales Invoice Lines'!L1592</f>
        <v>28</v>
      </c>
      <c r="H1592" s="8">
        <f>'Posted Sales Invoice Lines'!N1592</f>
        <v>35.57</v>
      </c>
      <c r="I1592" s="8">
        <f>'Posted Sales Invoice Lines'!O1592</f>
        <v>995.96</v>
      </c>
    </row>
    <row r="1593" spans="1:9" x14ac:dyDescent="0.25">
      <c r="A1593" s="2" t="str">
        <f>'Posted Sales Invoice Lines'!A1593</f>
        <v>PS-INV219508</v>
      </c>
      <c r="B1593" s="2" t="str">
        <f>'Posted Sales Invoice Lines'!B1593</f>
        <v>10719-6</v>
      </c>
      <c r="C1593" s="2" t="str">
        <f>'Posted Sales Invoice Lines'!C1593</f>
        <v>US Foods - Alcoa TN.</v>
      </c>
      <c r="D1593" s="2" t="str">
        <f>'Posted Sales Invoice Lines'!E1593</f>
        <v>F53024</v>
      </c>
      <c r="E1593" s="2" t="str">
        <f>'Posted Sales Invoice Lines'!F1593</f>
        <v>Cs. 4" Challah Kaiser 8-12pk</v>
      </c>
      <c r="F1593" s="3">
        <f>'Posted Sales Invoice Lines'!G1593</f>
        <v>46175</v>
      </c>
      <c r="G1593" s="9">
        <f>'Posted Sales Invoice Lines'!L1593</f>
        <v>16</v>
      </c>
      <c r="H1593" s="8">
        <f>'Posted Sales Invoice Lines'!N1593</f>
        <v>40.22</v>
      </c>
      <c r="I1593" s="8">
        <f>'Posted Sales Invoice Lines'!O1593</f>
        <v>643.52</v>
      </c>
    </row>
    <row r="1594" spans="1:9" x14ac:dyDescent="0.25">
      <c r="A1594" s="2" t="str">
        <f>'Posted Sales Invoice Lines'!A1594</f>
        <v>PS-INV219516</v>
      </c>
      <c r="B1594" s="2" t="str">
        <f>'Posted Sales Invoice Lines'!B1594</f>
        <v>10511</v>
      </c>
      <c r="C1594" s="2" t="str">
        <f>'Posted Sales Invoice Lines'!C1594</f>
        <v>Sysco Nashville, LLC</v>
      </c>
      <c r="D1594" s="2" t="str">
        <f>'Posted Sales Invoice Lines'!E1594</f>
        <v>F53072</v>
      </c>
      <c r="E1594" s="2" t="str">
        <f>'Posted Sales Invoice Lines'!F1594</f>
        <v>Cs. 5" Challah Bun 8-8pk</v>
      </c>
      <c r="F1594" s="3">
        <f>'Posted Sales Invoice Lines'!G1594</f>
        <v>46168</v>
      </c>
      <c r="G1594" s="9">
        <f>'Posted Sales Invoice Lines'!L1594</f>
        <v>16</v>
      </c>
      <c r="H1594" s="8">
        <f>'Posted Sales Invoice Lines'!N1594</f>
        <v>37.049999999999997</v>
      </c>
      <c r="I1594" s="8">
        <f>'Posted Sales Invoice Lines'!O1594</f>
        <v>592.79999999999995</v>
      </c>
    </row>
    <row r="1595" spans="1:9" x14ac:dyDescent="0.25">
      <c r="A1595" s="2" t="str">
        <f>'Posted Sales Invoice Lines'!A1595</f>
        <v>PS-INV219516</v>
      </c>
      <c r="B1595" s="2" t="str">
        <f>'Posted Sales Invoice Lines'!B1595</f>
        <v>10511</v>
      </c>
      <c r="C1595" s="2" t="str">
        <f>'Posted Sales Invoice Lines'!C1595</f>
        <v>Sysco Nashville, LLC</v>
      </c>
      <c r="D1595" s="2" t="str">
        <f>'Posted Sales Invoice Lines'!E1595</f>
        <v>F51200</v>
      </c>
      <c r="E1595" s="2" t="str">
        <f>'Posted Sales Invoice Lines'!F1595</f>
        <v>Cs. Jalapeno Corn Hearth 5/8" 8lvs</v>
      </c>
      <c r="F1595" s="3">
        <f>'Posted Sales Invoice Lines'!G1595</f>
        <v>46168</v>
      </c>
      <c r="G1595" s="9">
        <f>'Posted Sales Invoice Lines'!L1595</f>
        <v>48</v>
      </c>
      <c r="H1595" s="8">
        <f>'Posted Sales Invoice Lines'!N1595</f>
        <v>60.07</v>
      </c>
      <c r="I1595" s="8">
        <f>'Posted Sales Invoice Lines'!O1595</f>
        <v>2883.36</v>
      </c>
    </row>
    <row r="1596" spans="1:9" x14ac:dyDescent="0.25">
      <c r="A1596" s="2" t="str">
        <f>'Posted Sales Invoice Lines'!A1596</f>
        <v>PS-INV219516</v>
      </c>
      <c r="B1596" s="2" t="str">
        <f>'Posted Sales Invoice Lines'!B1596</f>
        <v>10511</v>
      </c>
      <c r="C1596" s="2" t="str">
        <f>'Posted Sales Invoice Lines'!C1596</f>
        <v>Sysco Nashville, LLC</v>
      </c>
      <c r="D1596" s="2" t="str">
        <f>'Posted Sales Invoice Lines'!E1596</f>
        <v>F51414</v>
      </c>
      <c r="E1596" s="2" t="str">
        <f>'Posted Sales Invoice Lines'!F1596</f>
        <v>Cs. Cranberry 9 Grain Hearth 5/8" 8lvs</v>
      </c>
      <c r="F1596" s="3">
        <f>'Posted Sales Invoice Lines'!G1596</f>
        <v>46168</v>
      </c>
      <c r="G1596" s="9">
        <f>'Posted Sales Invoice Lines'!L1596</f>
        <v>56</v>
      </c>
      <c r="H1596" s="8">
        <f>'Posted Sales Invoice Lines'!N1596</f>
        <v>64</v>
      </c>
      <c r="I1596" s="8">
        <f>'Posted Sales Invoice Lines'!O1596</f>
        <v>3584</v>
      </c>
    </row>
    <row r="1597" spans="1:9" x14ac:dyDescent="0.25">
      <c r="A1597" s="2" t="str">
        <f>'Posted Sales Invoice Lines'!A1597</f>
        <v>PS-INV219516</v>
      </c>
      <c r="B1597" s="2" t="str">
        <f>'Posted Sales Invoice Lines'!B1597</f>
        <v>10511</v>
      </c>
      <c r="C1597" s="2" t="str">
        <f>'Posted Sales Invoice Lines'!C1597</f>
        <v>Sysco Nashville, LLC</v>
      </c>
      <c r="D1597" s="2" t="str">
        <f>'Posted Sales Invoice Lines'!E1597</f>
        <v>F53001</v>
      </c>
      <c r="E1597" s="2" t="str">
        <f>'Posted Sales Invoice Lines'!F1597</f>
        <v>Cs. 4" Brioche Bun 8-12pk</v>
      </c>
      <c r="F1597" s="3">
        <f>'Posted Sales Invoice Lines'!G1597</f>
        <v>46168</v>
      </c>
      <c r="G1597" s="9">
        <f>'Posted Sales Invoice Lines'!L1597</f>
        <v>108</v>
      </c>
      <c r="H1597" s="8">
        <f>'Posted Sales Invoice Lines'!N1597</f>
        <v>46.1</v>
      </c>
      <c r="I1597" s="8">
        <f>'Posted Sales Invoice Lines'!O1597</f>
        <v>4978.8</v>
      </c>
    </row>
    <row r="1598" spans="1:9" x14ac:dyDescent="0.25">
      <c r="A1598" s="2" t="str">
        <f>'Posted Sales Invoice Lines'!A1598</f>
        <v>PS-INV219516</v>
      </c>
      <c r="B1598" s="2" t="str">
        <f>'Posted Sales Invoice Lines'!B1598</f>
        <v>10511</v>
      </c>
      <c r="C1598" s="2" t="str">
        <f>'Posted Sales Invoice Lines'!C1598</f>
        <v>Sysco Nashville, LLC</v>
      </c>
      <c r="D1598" s="2" t="str">
        <f>'Posted Sales Invoice Lines'!E1598</f>
        <v>F530491</v>
      </c>
      <c r="E1598" s="2" t="str">
        <f>'Posted Sales Invoice Lines'!F1598</f>
        <v>Cs. 4.5 Brioche Bun 6-12pk</v>
      </c>
      <c r="F1598" s="3">
        <f>'Posted Sales Invoice Lines'!G1598</f>
        <v>46168</v>
      </c>
      <c r="G1598" s="9">
        <f>'Posted Sales Invoice Lines'!L1598</f>
        <v>56</v>
      </c>
      <c r="H1598" s="8">
        <f>'Posted Sales Invoice Lines'!N1598</f>
        <v>36.35</v>
      </c>
      <c r="I1598" s="8">
        <f>'Posted Sales Invoice Lines'!O1598</f>
        <v>2035.6</v>
      </c>
    </row>
    <row r="1599" spans="1:9" x14ac:dyDescent="0.25">
      <c r="A1599" s="2" t="str">
        <f>'Posted Sales Invoice Lines'!A1599</f>
        <v>PS-INV219516</v>
      </c>
      <c r="B1599" s="2" t="str">
        <f>'Posted Sales Invoice Lines'!B1599</f>
        <v>10511</v>
      </c>
      <c r="C1599" s="2" t="str">
        <f>'Posted Sales Invoice Lines'!C1599</f>
        <v>Sysco Nashville, LLC</v>
      </c>
      <c r="D1599" s="2" t="str">
        <f>'Posted Sales Invoice Lines'!E1599</f>
        <v>F53128</v>
      </c>
      <c r="E1599" s="2" t="str">
        <f>'Posted Sales Invoice Lines'!F1599</f>
        <v>Cs. 8" Philly Unsliced 10-6pk</v>
      </c>
      <c r="F1599" s="3">
        <f>'Posted Sales Invoice Lines'!G1599</f>
        <v>46168</v>
      </c>
      <c r="G1599" s="9">
        <f>'Posted Sales Invoice Lines'!L1599</f>
        <v>140</v>
      </c>
      <c r="H1599" s="8">
        <f>'Posted Sales Invoice Lines'!N1599</f>
        <v>45</v>
      </c>
      <c r="I1599" s="8">
        <f>'Posted Sales Invoice Lines'!O1599</f>
        <v>6300</v>
      </c>
    </row>
    <row r="1600" spans="1:9" x14ac:dyDescent="0.25">
      <c r="A1600" s="2" t="str">
        <f>'Posted Sales Invoice Lines'!A1600</f>
        <v>PS-INV219524</v>
      </c>
      <c r="B1600" s="2" t="str">
        <f>'Posted Sales Invoice Lines'!B1600</f>
        <v>10138-5</v>
      </c>
      <c r="C1600" s="2" t="str">
        <f>'Posted Sales Invoice Lines'!C1600</f>
        <v>Costco PriceSmart Export</v>
      </c>
      <c r="D1600" s="2" t="str">
        <f>'Posted Sales Invoice Lines'!E1600</f>
        <v>F53106</v>
      </c>
      <c r="E1600" s="2" t="str">
        <f>'Posted Sales Invoice Lines'!F1600</f>
        <v>Cs. Large Hot Dog 12-6pk</v>
      </c>
      <c r="F1600" s="3">
        <f>'Posted Sales Invoice Lines'!G1600</f>
        <v>46175</v>
      </c>
      <c r="G1600" s="9">
        <f>'Posted Sales Invoice Lines'!L1600</f>
        <v>960</v>
      </c>
      <c r="H1600" s="8">
        <f>'Posted Sales Invoice Lines'!N1600</f>
        <v>26.25</v>
      </c>
      <c r="I1600" s="8">
        <f>'Posted Sales Invoice Lines'!O1600</f>
        <v>25200</v>
      </c>
    </row>
    <row r="1601" spans="1:9" x14ac:dyDescent="0.25">
      <c r="A1601" s="2" t="str">
        <f>'Posted Sales Invoice Lines'!A1601</f>
        <v>PS-INV219927</v>
      </c>
      <c r="B1601" s="2" t="str">
        <f>'Posted Sales Invoice Lines'!B1601</f>
        <v>13092</v>
      </c>
      <c r="C1601" s="2" t="str">
        <f>'Posted Sales Invoice Lines'!C1601</f>
        <v>Sysco WEST COAST</v>
      </c>
      <c r="D1601" s="2" t="str">
        <f>'Posted Sales Invoice Lines'!E1601</f>
        <v>F51137</v>
      </c>
      <c r="E1601" s="2" t="str">
        <f>'Posted Sales Invoice Lines'!F1601</f>
        <v>Cs. Texas Toast 3/4" 12lvs</v>
      </c>
      <c r="F1601" s="3">
        <f>'Posted Sales Invoice Lines'!G1601</f>
        <v>46175</v>
      </c>
      <c r="G1601" s="9">
        <f>'Posted Sales Invoice Lines'!L1601</f>
        <v>336</v>
      </c>
      <c r="H1601" s="8">
        <f>'Posted Sales Invoice Lines'!N1601</f>
        <v>35</v>
      </c>
      <c r="I1601" s="8">
        <f>'Posted Sales Invoice Lines'!O1601</f>
        <v>11760</v>
      </c>
    </row>
    <row r="1602" spans="1:9" x14ac:dyDescent="0.25">
      <c r="A1602" s="2" t="str">
        <f>'Posted Sales Invoice Lines'!A1602</f>
        <v>PS-INV219927</v>
      </c>
      <c r="B1602" s="2" t="str">
        <f>'Posted Sales Invoice Lines'!B1602</f>
        <v>13092</v>
      </c>
      <c r="C1602" s="2" t="str">
        <f>'Posted Sales Invoice Lines'!C1602</f>
        <v>Sysco WEST COAST</v>
      </c>
      <c r="D1602" s="2" t="str">
        <f>'Posted Sales Invoice Lines'!E1602</f>
        <v>F530491</v>
      </c>
      <c r="E1602" s="2" t="str">
        <f>'Posted Sales Invoice Lines'!F1602</f>
        <v>Cs. 4.5 Brioche Bun 6-12pk</v>
      </c>
      <c r="F1602" s="3">
        <f>'Posted Sales Invoice Lines'!G1602</f>
        <v>46175</v>
      </c>
      <c r="G1602" s="9">
        <f>'Posted Sales Invoice Lines'!L1602</f>
        <v>112</v>
      </c>
      <c r="H1602" s="8">
        <f>'Posted Sales Invoice Lines'!N1602</f>
        <v>39.65</v>
      </c>
      <c r="I1602" s="8">
        <f>'Posted Sales Invoice Lines'!O1602</f>
        <v>4440.8</v>
      </c>
    </row>
    <row r="1603" spans="1:9" x14ac:dyDescent="0.25">
      <c r="A1603" s="2" t="str">
        <f>'Posted Sales Invoice Lines'!A1603</f>
        <v>PS-INV219927</v>
      </c>
      <c r="B1603" s="2" t="str">
        <f>'Posted Sales Invoice Lines'!B1603</f>
        <v>13092</v>
      </c>
      <c r="C1603" s="2" t="str">
        <f>'Posted Sales Invoice Lines'!C1603</f>
        <v>Sysco WEST COAST</v>
      </c>
      <c r="D1603" s="2" t="str">
        <f>'Posted Sales Invoice Lines'!E1603</f>
        <v>F53127</v>
      </c>
      <c r="E1603" s="2" t="str">
        <f>'Posted Sales Invoice Lines'!F1603</f>
        <v>Cs. 8" Philly 10-6pks</v>
      </c>
      <c r="F1603" s="3">
        <f>'Posted Sales Invoice Lines'!G1603</f>
        <v>46175</v>
      </c>
      <c r="G1603" s="9">
        <f>'Posted Sales Invoice Lines'!L1603</f>
        <v>28</v>
      </c>
      <c r="H1603" s="8">
        <f>'Posted Sales Invoice Lines'!N1603</f>
        <v>65</v>
      </c>
      <c r="I1603" s="8">
        <f>'Posted Sales Invoice Lines'!O1603</f>
        <v>1820</v>
      </c>
    </row>
    <row r="1604" spans="1:9" x14ac:dyDescent="0.25">
      <c r="A1604" s="2" t="str">
        <f>'Posted Sales Invoice Lines'!A1604</f>
        <v>PS-INV219930</v>
      </c>
      <c r="B1604" s="2" t="str">
        <f>'Posted Sales Invoice Lines'!B1604</f>
        <v>10719-13</v>
      </c>
      <c r="C1604" s="2" t="str">
        <f>'Posted Sales Invoice Lines'!C1604</f>
        <v>US Foods - Montgomery</v>
      </c>
      <c r="D1604" s="2" t="str">
        <f>'Posted Sales Invoice Lines'!E1604</f>
        <v>F53070</v>
      </c>
      <c r="E1604" s="2" t="str">
        <f>'Posted Sales Invoice Lines'!F1604</f>
        <v xml:space="preserve">Cs. 5" Challah Sesame Buns </v>
      </c>
      <c r="F1604" s="3">
        <f>'Posted Sales Invoice Lines'!G1604</f>
        <v>46176</v>
      </c>
      <c r="G1604" s="9">
        <f>'Posted Sales Invoice Lines'!L1604</f>
        <v>28</v>
      </c>
      <c r="H1604" s="8">
        <f>'Posted Sales Invoice Lines'!N1604</f>
        <v>37.5</v>
      </c>
      <c r="I1604" s="8">
        <f>'Posted Sales Invoice Lines'!O1604</f>
        <v>1050</v>
      </c>
    </row>
    <row r="1605" spans="1:9" x14ac:dyDescent="0.25">
      <c r="A1605" s="2" t="str">
        <f>'Posted Sales Invoice Lines'!A1605</f>
        <v>PS-INV219930</v>
      </c>
      <c r="B1605" s="2" t="str">
        <f>'Posted Sales Invoice Lines'!B1605</f>
        <v>10719-13</v>
      </c>
      <c r="C1605" s="2" t="str">
        <f>'Posted Sales Invoice Lines'!C1605</f>
        <v>US Foods - Montgomery</v>
      </c>
      <c r="D1605" s="2" t="str">
        <f>'Posted Sales Invoice Lines'!E1605</f>
        <v>F53005</v>
      </c>
      <c r="E1605" s="2" t="str">
        <f>'Posted Sales Invoice Lines'!F1605</f>
        <v>Cs. 4" Gourmet PDS Bun 8-12pk</v>
      </c>
      <c r="F1605" s="3">
        <f>'Posted Sales Invoice Lines'!G1605</f>
        <v>46176</v>
      </c>
      <c r="G1605" s="9">
        <f>'Posted Sales Invoice Lines'!L1605</f>
        <v>56</v>
      </c>
      <c r="H1605" s="8">
        <f>'Posted Sales Invoice Lines'!N1605</f>
        <v>37</v>
      </c>
      <c r="I1605" s="8">
        <f>'Posted Sales Invoice Lines'!O1605</f>
        <v>2072</v>
      </c>
    </row>
    <row r="1606" spans="1:9" x14ac:dyDescent="0.25">
      <c r="A1606" s="2" t="str">
        <f>'Posted Sales Invoice Lines'!A1606</f>
        <v>PS-INV219930</v>
      </c>
      <c r="B1606" s="2" t="str">
        <f>'Posted Sales Invoice Lines'!B1606</f>
        <v>10719-13</v>
      </c>
      <c r="C1606" s="2" t="str">
        <f>'Posted Sales Invoice Lines'!C1606</f>
        <v>US Foods - Montgomery</v>
      </c>
      <c r="D1606" s="2" t="str">
        <f>'Posted Sales Invoice Lines'!E1606</f>
        <v>F53010</v>
      </c>
      <c r="E1606" s="2" t="str">
        <f>'Posted Sales Invoice Lines'!F1606</f>
        <v>Cs. Onion Roll 8-12pk</v>
      </c>
      <c r="F1606" s="3">
        <f>'Posted Sales Invoice Lines'!G1606</f>
        <v>46176</v>
      </c>
      <c r="G1606" s="9">
        <f>'Posted Sales Invoice Lines'!L1606</f>
        <v>56</v>
      </c>
      <c r="H1606" s="8">
        <f>'Posted Sales Invoice Lines'!N1606</f>
        <v>42</v>
      </c>
      <c r="I1606" s="8">
        <f>'Posted Sales Invoice Lines'!O1606</f>
        <v>2352</v>
      </c>
    </row>
    <row r="1607" spans="1:9" x14ac:dyDescent="0.25">
      <c r="A1607" s="2" t="str">
        <f>'Posted Sales Invoice Lines'!A1607</f>
        <v>PS-INV219930</v>
      </c>
      <c r="B1607" s="2" t="str">
        <f>'Posted Sales Invoice Lines'!B1607</f>
        <v>10719-13</v>
      </c>
      <c r="C1607" s="2" t="str">
        <f>'Posted Sales Invoice Lines'!C1607</f>
        <v>US Foods - Montgomery</v>
      </c>
      <c r="D1607" s="2" t="str">
        <f>'Posted Sales Invoice Lines'!E1607</f>
        <v>F53001</v>
      </c>
      <c r="E1607" s="2" t="str">
        <f>'Posted Sales Invoice Lines'!F1607</f>
        <v>Cs. 4" Brioche Bun 8-12pk</v>
      </c>
      <c r="F1607" s="3">
        <f>'Posted Sales Invoice Lines'!G1607</f>
        <v>46176</v>
      </c>
      <c r="G1607" s="9">
        <f>'Posted Sales Invoice Lines'!L1607</f>
        <v>140</v>
      </c>
      <c r="H1607" s="8">
        <f>'Posted Sales Invoice Lines'!N1607</f>
        <v>42</v>
      </c>
      <c r="I1607" s="8">
        <f>'Posted Sales Invoice Lines'!O1607</f>
        <v>5880</v>
      </c>
    </row>
    <row r="1608" spans="1:9" x14ac:dyDescent="0.25">
      <c r="A1608" s="2" t="str">
        <f>'Posted Sales Invoice Lines'!A1608</f>
        <v>PS-INV219930</v>
      </c>
      <c r="B1608" s="2" t="str">
        <f>'Posted Sales Invoice Lines'!B1608</f>
        <v>10719-13</v>
      </c>
      <c r="C1608" s="2" t="str">
        <f>'Posted Sales Invoice Lines'!C1608</f>
        <v>US Foods - Montgomery</v>
      </c>
      <c r="D1608" s="2" t="str">
        <f>'Posted Sales Invoice Lines'!E1608</f>
        <v>F53003</v>
      </c>
      <c r="E1608" s="2" t="str">
        <f>'Posted Sales Invoice Lines'!F1608</f>
        <v>Cs. 4" Unseeded Challah Bun 8-12pk</v>
      </c>
      <c r="F1608" s="3">
        <f>'Posted Sales Invoice Lines'!G1608</f>
        <v>46176</v>
      </c>
      <c r="G1608" s="9">
        <f>'Posted Sales Invoice Lines'!L1608</f>
        <v>280</v>
      </c>
      <c r="H1608" s="8">
        <f>'Posted Sales Invoice Lines'!N1608</f>
        <v>38.08</v>
      </c>
      <c r="I1608" s="8">
        <f>'Posted Sales Invoice Lines'!O1608</f>
        <v>10662.4</v>
      </c>
    </row>
    <row r="1609" spans="1:9" x14ac:dyDescent="0.25">
      <c r="A1609" s="2" t="str">
        <f>'Posted Sales Invoice Lines'!A1609</f>
        <v>PS-INV219937</v>
      </c>
      <c r="B1609" s="2" t="str">
        <f>'Posted Sales Invoice Lines'!B1609</f>
        <v>20334</v>
      </c>
      <c r="C1609" s="2" t="str">
        <f>'Posted Sales Invoice Lines'!C1609</f>
        <v>Sysco Atlanta</v>
      </c>
      <c r="D1609" s="2" t="str">
        <f>'Posted Sales Invoice Lines'!E1609</f>
        <v>F53106</v>
      </c>
      <c r="E1609" s="2" t="str">
        <f>'Posted Sales Invoice Lines'!F1609</f>
        <v>Cs. Large Hot Dog 12-6pk</v>
      </c>
      <c r="F1609" s="3">
        <f>'Posted Sales Invoice Lines'!G1609</f>
        <v>46167</v>
      </c>
      <c r="G1609" s="9">
        <f>'Posted Sales Invoice Lines'!L1609</f>
        <v>16</v>
      </c>
      <c r="H1609" s="8">
        <f>'Posted Sales Invoice Lines'!N1609</f>
        <v>36.5</v>
      </c>
      <c r="I1609" s="8">
        <f>'Posted Sales Invoice Lines'!O1609</f>
        <v>584</v>
      </c>
    </row>
    <row r="1610" spans="1:9" x14ac:dyDescent="0.25">
      <c r="A1610" s="2" t="str">
        <f>'Posted Sales Invoice Lines'!A1610</f>
        <v>PS-INV219937</v>
      </c>
      <c r="B1610" s="2" t="str">
        <f>'Posted Sales Invoice Lines'!B1610</f>
        <v>20334</v>
      </c>
      <c r="C1610" s="2" t="str">
        <f>'Posted Sales Invoice Lines'!C1610</f>
        <v>Sysco Atlanta</v>
      </c>
      <c r="D1610" s="2" t="str">
        <f>'Posted Sales Invoice Lines'!E1610</f>
        <v>F53116</v>
      </c>
      <c r="E1610" s="2" t="str">
        <f>'Posted Sales Invoice Lines'!F1610</f>
        <v>Cs. 7" French Hinged 12-6pk</v>
      </c>
      <c r="F1610" s="3">
        <f>'Posted Sales Invoice Lines'!G1610</f>
        <v>46167</v>
      </c>
      <c r="G1610" s="9">
        <f>'Posted Sales Invoice Lines'!L1610</f>
        <v>84</v>
      </c>
      <c r="H1610" s="8">
        <f>'Posted Sales Invoice Lines'!N1610</f>
        <v>31.42</v>
      </c>
      <c r="I1610" s="8">
        <f>'Posted Sales Invoice Lines'!O1610</f>
        <v>2639.28</v>
      </c>
    </row>
    <row r="1611" spans="1:9" x14ac:dyDescent="0.25">
      <c r="A1611" s="2" t="str">
        <f>'Posted Sales Invoice Lines'!A1611</f>
        <v>PS-INV219937</v>
      </c>
      <c r="B1611" s="2" t="str">
        <f>'Posted Sales Invoice Lines'!B1611</f>
        <v>20334</v>
      </c>
      <c r="C1611" s="2" t="str">
        <f>'Posted Sales Invoice Lines'!C1611</f>
        <v>Sysco Atlanta</v>
      </c>
      <c r="D1611" s="2" t="str">
        <f>'Posted Sales Invoice Lines'!E1611</f>
        <v>F53087</v>
      </c>
      <c r="E1611" s="2" t="str">
        <f>'Posted Sales Invoice Lines'!F1611</f>
        <v>Cs. 3.5" Challah Bun 8-12 pk</v>
      </c>
      <c r="F1611" s="3">
        <f>'Posted Sales Invoice Lines'!G1611</f>
        <v>46167</v>
      </c>
      <c r="G1611" s="9">
        <f>'Posted Sales Invoice Lines'!L1611</f>
        <v>196</v>
      </c>
      <c r="H1611" s="8">
        <f>'Posted Sales Invoice Lines'!N1611</f>
        <v>34</v>
      </c>
      <c r="I1611" s="8">
        <f>'Posted Sales Invoice Lines'!O1611</f>
        <v>6664</v>
      </c>
    </row>
    <row r="1612" spans="1:9" x14ac:dyDescent="0.25">
      <c r="A1612" s="2" t="str">
        <f>'Posted Sales Invoice Lines'!A1612</f>
        <v>PS-INV219937</v>
      </c>
      <c r="B1612" s="2" t="str">
        <f>'Posted Sales Invoice Lines'!B1612</f>
        <v>20334</v>
      </c>
      <c r="C1612" s="2" t="str">
        <f>'Posted Sales Invoice Lines'!C1612</f>
        <v>Sysco Atlanta</v>
      </c>
      <c r="D1612" s="2" t="str">
        <f>'Posted Sales Invoice Lines'!E1612</f>
        <v>F51024</v>
      </c>
      <c r="E1612" s="2" t="str">
        <f>'Posted Sales Invoice Lines'!F1612</f>
        <v>Cs. Marble Rye 5/8" 8lvs</v>
      </c>
      <c r="F1612" s="3">
        <f>'Posted Sales Invoice Lines'!G1612</f>
        <v>46167</v>
      </c>
      <c r="G1612" s="9">
        <f>'Posted Sales Invoice Lines'!L1612</f>
        <v>24</v>
      </c>
      <c r="H1612" s="8">
        <f>'Posted Sales Invoice Lines'!N1612</f>
        <v>43.26</v>
      </c>
      <c r="I1612" s="8">
        <f>'Posted Sales Invoice Lines'!O1612</f>
        <v>1038.24</v>
      </c>
    </row>
    <row r="1613" spans="1:9" x14ac:dyDescent="0.25">
      <c r="A1613" s="2" t="str">
        <f>'Posted Sales Invoice Lines'!A1613</f>
        <v>PS-INV219937</v>
      </c>
      <c r="B1613" s="2" t="str">
        <f>'Posted Sales Invoice Lines'!B1613</f>
        <v>20334</v>
      </c>
      <c r="C1613" s="2" t="str">
        <f>'Posted Sales Invoice Lines'!C1613</f>
        <v>Sysco Atlanta</v>
      </c>
      <c r="D1613" s="2" t="str">
        <f>'Posted Sales Invoice Lines'!E1613</f>
        <v>F51127</v>
      </c>
      <c r="E1613" s="2" t="str">
        <f>'Posted Sales Invoice Lines'!F1613</f>
        <v>Cs. Challah 3-Braid 8</v>
      </c>
      <c r="F1613" s="3">
        <f>'Posted Sales Invoice Lines'!G1613</f>
        <v>46167</v>
      </c>
      <c r="G1613" s="9">
        <f>'Posted Sales Invoice Lines'!L1613</f>
        <v>20</v>
      </c>
      <c r="H1613" s="8">
        <f>'Posted Sales Invoice Lines'!N1613</f>
        <v>43.26</v>
      </c>
      <c r="I1613" s="8">
        <f>'Posted Sales Invoice Lines'!O1613</f>
        <v>865.2</v>
      </c>
    </row>
    <row r="1614" spans="1:9" x14ac:dyDescent="0.25">
      <c r="A1614" s="2" t="str">
        <f>'Posted Sales Invoice Lines'!A1614</f>
        <v>PS-INV219937</v>
      </c>
      <c r="B1614" s="2" t="str">
        <f>'Posted Sales Invoice Lines'!B1614</f>
        <v>20334</v>
      </c>
      <c r="C1614" s="2" t="str">
        <f>'Posted Sales Invoice Lines'!C1614</f>
        <v>Sysco Atlanta</v>
      </c>
      <c r="D1614" s="2" t="str">
        <f>'Posted Sales Invoice Lines'!E1614</f>
        <v>F53001</v>
      </c>
      <c r="E1614" s="2" t="str">
        <f>'Posted Sales Invoice Lines'!F1614</f>
        <v>Cs. 4" Brioche Bun 8-12pk</v>
      </c>
      <c r="F1614" s="3">
        <f>'Posted Sales Invoice Lines'!G1614</f>
        <v>46167</v>
      </c>
      <c r="G1614" s="9">
        <f>'Posted Sales Invoice Lines'!L1614</f>
        <v>84</v>
      </c>
      <c r="H1614" s="8">
        <f>'Posted Sales Invoice Lines'!N1614</f>
        <v>43.36</v>
      </c>
      <c r="I1614" s="8">
        <f>'Posted Sales Invoice Lines'!O1614</f>
        <v>3642.24</v>
      </c>
    </row>
    <row r="1615" spans="1:9" x14ac:dyDescent="0.25">
      <c r="A1615" s="2" t="str">
        <f>'Posted Sales Invoice Lines'!A1615</f>
        <v>PS-INV219937</v>
      </c>
      <c r="B1615" s="2" t="str">
        <f>'Posted Sales Invoice Lines'!B1615</f>
        <v>20334</v>
      </c>
      <c r="C1615" s="2" t="str">
        <f>'Posted Sales Invoice Lines'!C1615</f>
        <v>Sysco Atlanta</v>
      </c>
      <c r="D1615" s="2" t="str">
        <f>'Posted Sales Invoice Lines'!E1615</f>
        <v>F53033</v>
      </c>
      <c r="E1615" s="2" t="str">
        <f>'Posted Sales Invoice Lines'!F1615</f>
        <v>Cs. 4" Parker House 8-12pk</v>
      </c>
      <c r="F1615" s="3">
        <f>'Posted Sales Invoice Lines'!G1615</f>
        <v>46167</v>
      </c>
      <c r="G1615" s="9">
        <f>'Posted Sales Invoice Lines'!L1615</f>
        <v>28</v>
      </c>
      <c r="H1615" s="8">
        <f>'Posted Sales Invoice Lines'!N1615</f>
        <v>39.53</v>
      </c>
      <c r="I1615" s="8">
        <f>'Posted Sales Invoice Lines'!O1615</f>
        <v>1106.8399999999999</v>
      </c>
    </row>
    <row r="1616" spans="1:9" x14ac:dyDescent="0.25">
      <c r="A1616" s="2" t="str">
        <f>'Posted Sales Invoice Lines'!A1616</f>
        <v>PS-INV219937</v>
      </c>
      <c r="B1616" s="2" t="str">
        <f>'Posted Sales Invoice Lines'!B1616</f>
        <v>20334</v>
      </c>
      <c r="C1616" s="2" t="str">
        <f>'Posted Sales Invoice Lines'!C1616</f>
        <v>Sysco Atlanta</v>
      </c>
      <c r="D1616" s="2" t="str">
        <f>'Posted Sales Invoice Lines'!E1616</f>
        <v>F51034</v>
      </c>
      <c r="E1616" s="2" t="str">
        <f>'Posted Sales Invoice Lines'!F1616</f>
        <v>Cs. Sour Dough Hearth 5/8" 8lvs</v>
      </c>
      <c r="F1616" s="3">
        <f>'Posted Sales Invoice Lines'!G1616</f>
        <v>46167</v>
      </c>
      <c r="G1616" s="9">
        <f>'Posted Sales Invoice Lines'!L1616</f>
        <v>20</v>
      </c>
      <c r="H1616" s="8">
        <f>'Posted Sales Invoice Lines'!N1616</f>
        <v>41.2</v>
      </c>
      <c r="I1616" s="8">
        <f>'Posted Sales Invoice Lines'!O1616</f>
        <v>824</v>
      </c>
    </row>
    <row r="1617" spans="1:9" x14ac:dyDescent="0.25">
      <c r="A1617" s="2" t="str">
        <f>'Posted Sales Invoice Lines'!A1617</f>
        <v>PS-INV219937</v>
      </c>
      <c r="B1617" s="2" t="str">
        <f>'Posted Sales Invoice Lines'!B1617</f>
        <v>20334</v>
      </c>
      <c r="C1617" s="2" t="str">
        <f>'Posted Sales Invoice Lines'!C1617</f>
        <v>Sysco Atlanta</v>
      </c>
      <c r="D1617" s="2" t="str">
        <f>'Posted Sales Invoice Lines'!E1617</f>
        <v>F53003</v>
      </c>
      <c r="E1617" s="2" t="str">
        <f>'Posted Sales Invoice Lines'!F1617</f>
        <v>Cs. 4" Unseeded Challah Bun 8-12pk</v>
      </c>
      <c r="F1617" s="3">
        <f>'Posted Sales Invoice Lines'!G1617</f>
        <v>46167</v>
      </c>
      <c r="G1617" s="9">
        <f>'Posted Sales Invoice Lines'!L1617</f>
        <v>12</v>
      </c>
      <c r="H1617" s="8">
        <f>'Posted Sales Invoice Lines'!N1617</f>
        <v>38.19</v>
      </c>
      <c r="I1617" s="8">
        <f>'Posted Sales Invoice Lines'!O1617</f>
        <v>458.28</v>
      </c>
    </row>
    <row r="1618" spans="1:9" x14ac:dyDescent="0.25">
      <c r="A1618" s="2" t="str">
        <f>'Posted Sales Invoice Lines'!A1618</f>
        <v>PS-INV219937</v>
      </c>
      <c r="B1618" s="2" t="str">
        <f>'Posted Sales Invoice Lines'!B1618</f>
        <v>20334</v>
      </c>
      <c r="C1618" s="2" t="str">
        <f>'Posted Sales Invoice Lines'!C1618</f>
        <v>Sysco Atlanta</v>
      </c>
      <c r="D1618" s="2" t="str">
        <f>'Posted Sales Invoice Lines'!E1618</f>
        <v>F53013</v>
      </c>
      <c r="E1618" s="2" t="str">
        <f>'Posted Sales Invoice Lines'!F1618</f>
        <v>Cs. 4" Vidalia 8-12pk</v>
      </c>
      <c r="F1618" s="3">
        <f>'Posted Sales Invoice Lines'!G1618</f>
        <v>46167</v>
      </c>
      <c r="G1618" s="9">
        <f>'Posted Sales Invoice Lines'!L1618</f>
        <v>8</v>
      </c>
      <c r="H1618" s="8">
        <f>'Posted Sales Invoice Lines'!N1618</f>
        <v>45.84</v>
      </c>
      <c r="I1618" s="8">
        <f>'Posted Sales Invoice Lines'!O1618</f>
        <v>366.72</v>
      </c>
    </row>
    <row r="1619" spans="1:9" x14ac:dyDescent="0.25">
      <c r="A1619" s="2" t="str">
        <f>'Posted Sales Invoice Lines'!A1619</f>
        <v>PS-INV219937</v>
      </c>
      <c r="B1619" s="2" t="str">
        <f>'Posted Sales Invoice Lines'!B1619</f>
        <v>20334</v>
      </c>
      <c r="C1619" s="2" t="str">
        <f>'Posted Sales Invoice Lines'!C1619</f>
        <v>Sysco Atlanta</v>
      </c>
      <c r="D1619" s="2" t="str">
        <f>'Posted Sales Invoice Lines'!E1619</f>
        <v>F51157</v>
      </c>
      <c r="E1619" s="2" t="str">
        <f>'Posted Sales Invoice Lines'!F1619</f>
        <v>Cs. Challah Hearth 7/8" 8lvs</v>
      </c>
      <c r="F1619" s="3">
        <f>'Posted Sales Invoice Lines'!G1619</f>
        <v>46167</v>
      </c>
      <c r="G1619" s="9">
        <f>'Posted Sales Invoice Lines'!L1619</f>
        <v>12</v>
      </c>
      <c r="H1619" s="8">
        <f>'Posted Sales Invoice Lines'!N1619</f>
        <v>42.02</v>
      </c>
      <c r="I1619" s="8">
        <f>'Posted Sales Invoice Lines'!O1619</f>
        <v>504.24</v>
      </c>
    </row>
    <row r="1620" spans="1:9" x14ac:dyDescent="0.25">
      <c r="A1620" s="2" t="str">
        <f>'Posted Sales Invoice Lines'!A1620</f>
        <v>PS-INV219937</v>
      </c>
      <c r="B1620" s="2" t="str">
        <f>'Posted Sales Invoice Lines'!B1620</f>
        <v>20334</v>
      </c>
      <c r="C1620" s="2" t="str">
        <f>'Posted Sales Invoice Lines'!C1620</f>
        <v>Sysco Atlanta</v>
      </c>
      <c r="D1620" s="2" t="str">
        <f>'Posted Sales Invoice Lines'!E1620</f>
        <v>F53140</v>
      </c>
      <c r="E1620" s="2" t="str">
        <f>'Posted Sales Invoice Lines'!F1620</f>
        <v>Cs. Knuckies 8" White 12-6pk</v>
      </c>
      <c r="F1620" s="3">
        <f>'Posted Sales Invoice Lines'!G1620</f>
        <v>46167</v>
      </c>
      <c r="G1620" s="9">
        <f>'Posted Sales Invoice Lines'!L1620</f>
        <v>80</v>
      </c>
      <c r="H1620" s="8">
        <f>'Posted Sales Invoice Lines'!N1620</f>
        <v>41</v>
      </c>
      <c r="I1620" s="8">
        <f>'Posted Sales Invoice Lines'!O1620</f>
        <v>3280</v>
      </c>
    </row>
    <row r="1621" spans="1:9" x14ac:dyDescent="0.25">
      <c r="A1621" s="2" t="str">
        <f>'Posted Sales Invoice Lines'!A1621</f>
        <v>PS-INV219946</v>
      </c>
      <c r="B1621" s="2" t="str">
        <f>'Posted Sales Invoice Lines'!B1621</f>
        <v>11005</v>
      </c>
      <c r="C1621" s="2" t="str">
        <f>'Posted Sales Invoice Lines'!C1621</f>
        <v>Dot Foods Inc.</v>
      </c>
      <c r="D1621" s="2" t="str">
        <f>'Posted Sales Invoice Lines'!E1621</f>
        <v>F530142</v>
      </c>
      <c r="E1621" s="2" t="str">
        <f>'Posted Sales Invoice Lines'!F1621</f>
        <v>Cs. Knot Roll 8-12pk</v>
      </c>
      <c r="F1621" s="3">
        <f>'Posted Sales Invoice Lines'!G1621</f>
        <v>46176</v>
      </c>
      <c r="G1621" s="9">
        <f>'Posted Sales Invoice Lines'!L1621</f>
        <v>512</v>
      </c>
      <c r="H1621" s="8">
        <f>'Posted Sales Invoice Lines'!N1621</f>
        <v>33.42</v>
      </c>
      <c r="I1621" s="8">
        <f>'Posted Sales Invoice Lines'!O1621</f>
        <v>17111.04</v>
      </c>
    </row>
    <row r="1622" spans="1:9" x14ac:dyDescent="0.25">
      <c r="A1622" s="2" t="str">
        <f>'Posted Sales Invoice Lines'!A1622</f>
        <v>PS-INV220276</v>
      </c>
      <c r="B1622" s="2" t="str">
        <f>'Posted Sales Invoice Lines'!B1622</f>
        <v>12988</v>
      </c>
      <c r="C1622" s="2" t="str">
        <f>'Posted Sales Invoice Lines'!C1622</f>
        <v>Sysco Norman OK</v>
      </c>
      <c r="D1622" s="2" t="str">
        <f>'Posted Sales Invoice Lines'!E1622</f>
        <v>F53001</v>
      </c>
      <c r="E1622" s="2" t="str">
        <f>'Posted Sales Invoice Lines'!F1622</f>
        <v>Cs. 4" Brioche Bun 8-12pk</v>
      </c>
      <c r="F1622" s="3">
        <f>'Posted Sales Invoice Lines'!G1622</f>
        <v>46176</v>
      </c>
      <c r="G1622" s="9">
        <f>'Posted Sales Invoice Lines'!L1622</f>
        <v>476</v>
      </c>
      <c r="H1622" s="8">
        <f>'Posted Sales Invoice Lines'!N1622</f>
        <v>46</v>
      </c>
      <c r="I1622" s="8">
        <f>'Posted Sales Invoice Lines'!O1622</f>
        <v>21896</v>
      </c>
    </row>
    <row r="1623" spans="1:9" x14ac:dyDescent="0.25">
      <c r="A1623" s="2" t="str">
        <f>'Posted Sales Invoice Lines'!A1623</f>
        <v>PS-INV220276</v>
      </c>
      <c r="B1623" s="2" t="str">
        <f>'Posted Sales Invoice Lines'!B1623</f>
        <v>12988</v>
      </c>
      <c r="C1623" s="2" t="str">
        <f>'Posted Sales Invoice Lines'!C1623</f>
        <v>Sysco Norman OK</v>
      </c>
      <c r="D1623" s="2" t="str">
        <f>'Posted Sales Invoice Lines'!E1623</f>
        <v>F530491</v>
      </c>
      <c r="E1623" s="2" t="str">
        <f>'Posted Sales Invoice Lines'!F1623</f>
        <v>Cs. 4.5 Brioche Bun 6-12pk</v>
      </c>
      <c r="F1623" s="3">
        <f>'Posted Sales Invoice Lines'!G1623</f>
        <v>46176</v>
      </c>
      <c r="G1623" s="9">
        <f>'Posted Sales Invoice Lines'!L1623</f>
        <v>49</v>
      </c>
      <c r="H1623" s="8">
        <f>'Posted Sales Invoice Lines'!N1623</f>
        <v>40</v>
      </c>
      <c r="I1623" s="8">
        <f>'Posted Sales Invoice Lines'!O1623</f>
        <v>1960</v>
      </c>
    </row>
    <row r="1624" spans="1:9" x14ac:dyDescent="0.25">
      <c r="A1624" s="2" t="str">
        <f>'Posted Sales Invoice Lines'!A1624</f>
        <v>PS-INV220297</v>
      </c>
      <c r="B1624" s="2" t="str">
        <f>'Posted Sales Invoice Lines'!B1624</f>
        <v>11394</v>
      </c>
      <c r="C1624" s="2" t="str">
        <f>'Posted Sales Invoice Lines'!C1624</f>
        <v>La Cosecha Food Service</v>
      </c>
      <c r="D1624" s="2" t="str">
        <f>'Posted Sales Invoice Lines'!E1624</f>
        <v>F53003</v>
      </c>
      <c r="E1624" s="2" t="str">
        <f>'Posted Sales Invoice Lines'!F1624</f>
        <v>Cs. 4" Unseeded Challah Bun 8-12pk</v>
      </c>
      <c r="F1624" s="3">
        <f>'Posted Sales Invoice Lines'!G1624</f>
        <v>46157</v>
      </c>
      <c r="G1624" s="9">
        <f>'Posted Sales Invoice Lines'!L1624</f>
        <v>15</v>
      </c>
      <c r="H1624" s="8">
        <f>'Posted Sales Invoice Lines'!N1624</f>
        <v>30.32</v>
      </c>
      <c r="I1624" s="8">
        <f>'Posted Sales Invoice Lines'!O1624</f>
        <v>454.8</v>
      </c>
    </row>
    <row r="1625" spans="1:9" x14ac:dyDescent="0.25">
      <c r="A1625" s="2" t="str">
        <f>'Posted Sales Invoice Lines'!A1625</f>
        <v>PS-INV220297</v>
      </c>
      <c r="B1625" s="2" t="str">
        <f>'Posted Sales Invoice Lines'!B1625</f>
        <v>11394</v>
      </c>
      <c r="C1625" s="2" t="str">
        <f>'Posted Sales Invoice Lines'!C1625</f>
        <v>La Cosecha Food Service</v>
      </c>
      <c r="D1625" s="2" t="str">
        <f>'Posted Sales Invoice Lines'!E1625</f>
        <v>F530401</v>
      </c>
      <c r="E1625" s="2" t="str">
        <f>'Posted Sales Invoice Lines'!F1625</f>
        <v>Cs. 4.5" Sesame 6-12pk</v>
      </c>
      <c r="F1625" s="3">
        <f>'Posted Sales Invoice Lines'!G1625</f>
        <v>46157</v>
      </c>
      <c r="G1625" s="9">
        <f>'Posted Sales Invoice Lines'!L1625</f>
        <v>29</v>
      </c>
      <c r="H1625" s="8">
        <f>'Posted Sales Invoice Lines'!N1625</f>
        <v>34.18</v>
      </c>
      <c r="I1625" s="8">
        <f>'Posted Sales Invoice Lines'!O1625</f>
        <v>991.22</v>
      </c>
    </row>
    <row r="1626" spans="1:9" x14ac:dyDescent="0.25">
      <c r="A1626" s="2" t="str">
        <f>'Posted Sales Invoice Lines'!A1626</f>
        <v>PS-INV220865</v>
      </c>
      <c r="B1626" s="2" t="str">
        <f>'Posted Sales Invoice Lines'!B1626</f>
        <v>10540-03</v>
      </c>
      <c r="C1626" s="2" t="str">
        <f>'Posted Sales Invoice Lines'!C1626</f>
        <v>PFG Louisville TN</v>
      </c>
      <c r="D1626" s="2" t="str">
        <f>'Posted Sales Invoice Lines'!E1626</f>
        <v>F53001</v>
      </c>
      <c r="E1626" s="2" t="str">
        <f>'Posted Sales Invoice Lines'!F1626</f>
        <v>Cs. 4" Brioche Bun 8-12pk</v>
      </c>
      <c r="F1626" s="3">
        <f>'Posted Sales Invoice Lines'!G1626</f>
        <v>46170</v>
      </c>
      <c r="G1626" s="9">
        <f>'Posted Sales Invoice Lines'!L1626</f>
        <v>280</v>
      </c>
      <c r="H1626" s="8">
        <f>'Posted Sales Invoice Lines'!N1626</f>
        <v>42.6</v>
      </c>
      <c r="I1626" s="8">
        <f>'Posted Sales Invoice Lines'!O1626</f>
        <v>11928</v>
      </c>
    </row>
    <row r="1627" spans="1:9" x14ac:dyDescent="0.25">
      <c r="A1627" s="2" t="str">
        <f>'Posted Sales Invoice Lines'!A1627</f>
        <v>PS-INV220865</v>
      </c>
      <c r="B1627" s="2" t="str">
        <f>'Posted Sales Invoice Lines'!B1627</f>
        <v>10540-03</v>
      </c>
      <c r="C1627" s="2" t="str">
        <f>'Posted Sales Invoice Lines'!C1627</f>
        <v>PFG Louisville TN</v>
      </c>
      <c r="D1627" s="2" t="str">
        <f>'Posted Sales Invoice Lines'!E1627</f>
        <v>F53160</v>
      </c>
      <c r="E1627" s="2" t="str">
        <f>'Posted Sales Invoice Lines'!F1627</f>
        <v>Cs. Large White Sub 6-6pk</v>
      </c>
      <c r="F1627" s="3">
        <f>'Posted Sales Invoice Lines'!G1627</f>
        <v>46170</v>
      </c>
      <c r="G1627" s="9">
        <f>'Posted Sales Invoice Lines'!L1627</f>
        <v>24</v>
      </c>
      <c r="H1627" s="8">
        <f>'Posted Sales Invoice Lines'!N1627</f>
        <v>34.200000000000003</v>
      </c>
      <c r="I1627" s="8">
        <f>'Posted Sales Invoice Lines'!O1627</f>
        <v>820.8</v>
      </c>
    </row>
    <row r="1628" spans="1:9" x14ac:dyDescent="0.25">
      <c r="A1628" s="2" t="str">
        <f>'Posted Sales Invoice Lines'!A1628</f>
        <v>PS-INV220865</v>
      </c>
      <c r="B1628" s="2" t="str">
        <f>'Posted Sales Invoice Lines'!B1628</f>
        <v>10540-03</v>
      </c>
      <c r="C1628" s="2" t="str">
        <f>'Posted Sales Invoice Lines'!C1628</f>
        <v>PFG Louisville TN</v>
      </c>
      <c r="D1628" s="2" t="str">
        <f>'Posted Sales Invoice Lines'!E1628</f>
        <v>F53180</v>
      </c>
      <c r="E1628" s="2" t="str">
        <f>'Posted Sales Invoice Lines'!F1628</f>
        <v>Cs. Large Pumpernickel Sub 6-6pk</v>
      </c>
      <c r="F1628" s="3">
        <f>'Posted Sales Invoice Lines'!G1628</f>
        <v>46170</v>
      </c>
      <c r="G1628" s="9">
        <f>'Posted Sales Invoice Lines'!L1628</f>
        <v>12</v>
      </c>
      <c r="H1628" s="8">
        <f>'Posted Sales Invoice Lines'!N1628</f>
        <v>35.65</v>
      </c>
      <c r="I1628" s="8">
        <f>'Posted Sales Invoice Lines'!O1628</f>
        <v>427.8</v>
      </c>
    </row>
    <row r="1629" spans="1:9" x14ac:dyDescent="0.25">
      <c r="A1629" s="2" t="str">
        <f>'Posted Sales Invoice Lines'!A1629</f>
        <v>PS-INV220865</v>
      </c>
      <c r="B1629" s="2" t="str">
        <f>'Posted Sales Invoice Lines'!B1629</f>
        <v>10540-03</v>
      </c>
      <c r="C1629" s="2" t="str">
        <f>'Posted Sales Invoice Lines'!C1629</f>
        <v>PFG Louisville TN</v>
      </c>
      <c r="D1629" s="2" t="str">
        <f>'Posted Sales Invoice Lines'!E1629</f>
        <v>F51137</v>
      </c>
      <c r="E1629" s="2" t="str">
        <f>'Posted Sales Invoice Lines'!F1629</f>
        <v>Cs. Texas Toast 3/4" 12lvs</v>
      </c>
      <c r="F1629" s="3">
        <f>'Posted Sales Invoice Lines'!G1629</f>
        <v>46170</v>
      </c>
      <c r="G1629" s="9">
        <f>'Posted Sales Invoice Lines'!L1629</f>
        <v>28</v>
      </c>
      <c r="H1629" s="8">
        <f>'Posted Sales Invoice Lines'!N1629</f>
        <v>40.619999999999997</v>
      </c>
      <c r="I1629" s="8">
        <f>'Posted Sales Invoice Lines'!O1629</f>
        <v>1137.3599999999999</v>
      </c>
    </row>
    <row r="1630" spans="1:9" x14ac:dyDescent="0.25">
      <c r="A1630" s="2" t="str">
        <f>'Posted Sales Invoice Lines'!A1630</f>
        <v>PS-INV220865</v>
      </c>
      <c r="B1630" s="2" t="str">
        <f>'Posted Sales Invoice Lines'!B1630</f>
        <v>10540-03</v>
      </c>
      <c r="C1630" s="2" t="str">
        <f>'Posted Sales Invoice Lines'!C1630</f>
        <v>PFG Louisville TN</v>
      </c>
      <c r="D1630" s="2" t="str">
        <f>'Posted Sales Invoice Lines'!E1630</f>
        <v>F53091</v>
      </c>
      <c r="E1630" s="2" t="str">
        <f>'Posted Sales Invoice Lines'!F1630</f>
        <v>Cs. 6" Hoagie Slab Cut 12-6pk</v>
      </c>
      <c r="F1630" s="3">
        <f>'Posted Sales Invoice Lines'!G1630</f>
        <v>46170</v>
      </c>
      <c r="G1630" s="9">
        <f>'Posted Sales Invoice Lines'!L1630</f>
        <v>16</v>
      </c>
      <c r="H1630" s="8">
        <f>'Posted Sales Invoice Lines'!N1630</f>
        <v>35</v>
      </c>
      <c r="I1630" s="8">
        <f>'Posted Sales Invoice Lines'!O1630</f>
        <v>560</v>
      </c>
    </row>
    <row r="1631" spans="1:9" x14ac:dyDescent="0.25">
      <c r="A1631" s="2" t="str">
        <f>'Posted Sales Invoice Lines'!A1631</f>
        <v>PS-INV220865</v>
      </c>
      <c r="B1631" s="2" t="str">
        <f>'Posted Sales Invoice Lines'!B1631</f>
        <v>10540-03</v>
      </c>
      <c r="C1631" s="2" t="str">
        <f>'Posted Sales Invoice Lines'!C1631</f>
        <v>PFG Louisville TN</v>
      </c>
      <c r="D1631" s="2" t="str">
        <f>'Posted Sales Invoice Lines'!E1631</f>
        <v>F53110</v>
      </c>
      <c r="E1631" s="2" t="str">
        <f>'Posted Sales Invoice Lines'!F1631</f>
        <v>Cs. Foot Long Challah Hot Dog Buns 10-6pk</v>
      </c>
      <c r="F1631" s="3">
        <f>'Posted Sales Invoice Lines'!G1631</f>
        <v>46170</v>
      </c>
      <c r="G1631" s="9">
        <f>'Posted Sales Invoice Lines'!L1631</f>
        <v>28</v>
      </c>
      <c r="H1631" s="8">
        <f>'Posted Sales Invoice Lines'!N1631</f>
        <v>39.25</v>
      </c>
      <c r="I1631" s="8">
        <f>'Posted Sales Invoice Lines'!O1631</f>
        <v>1099</v>
      </c>
    </row>
    <row r="1632" spans="1:9" x14ac:dyDescent="0.25">
      <c r="A1632" s="2" t="str">
        <f>'Posted Sales Invoice Lines'!A1632</f>
        <v>PS-INV220865</v>
      </c>
      <c r="B1632" s="2" t="str">
        <f>'Posted Sales Invoice Lines'!B1632</f>
        <v>10540-03</v>
      </c>
      <c r="C1632" s="2" t="str">
        <f>'Posted Sales Invoice Lines'!C1632</f>
        <v>PFG Louisville TN</v>
      </c>
      <c r="D1632" s="2" t="str">
        <f>'Posted Sales Invoice Lines'!E1632</f>
        <v>F530421</v>
      </c>
      <c r="E1632" s="2" t="str">
        <f>'Posted Sales Invoice Lines'!F1632</f>
        <v>Cs. 4.5" Challah Buns 6-12pk.</v>
      </c>
      <c r="F1632" s="3">
        <f>'Posted Sales Invoice Lines'!G1632</f>
        <v>46170</v>
      </c>
      <c r="G1632" s="9">
        <f>'Posted Sales Invoice Lines'!L1632</f>
        <v>84</v>
      </c>
      <c r="H1632" s="8">
        <f>'Posted Sales Invoice Lines'!N1632</f>
        <v>38.299999999999997</v>
      </c>
      <c r="I1632" s="8">
        <f>'Posted Sales Invoice Lines'!O1632</f>
        <v>3217.2</v>
      </c>
    </row>
    <row r="1633" spans="1:9" x14ac:dyDescent="0.25">
      <c r="A1633" s="2" t="str">
        <f>'Posted Sales Invoice Lines'!A1633</f>
        <v>PS-INV220865</v>
      </c>
      <c r="B1633" s="2" t="str">
        <f>'Posted Sales Invoice Lines'!B1633</f>
        <v>10540-03</v>
      </c>
      <c r="C1633" s="2" t="str">
        <f>'Posted Sales Invoice Lines'!C1633</f>
        <v>PFG Louisville TN</v>
      </c>
      <c r="D1633" s="2" t="str">
        <f>'Posted Sales Invoice Lines'!E1633</f>
        <v>F53105</v>
      </c>
      <c r="E1633" s="2" t="str">
        <f>'Posted Sales Invoice Lines'!F1633</f>
        <v>Cs. 6" White Hot Dog 16-8pk</v>
      </c>
      <c r="F1633" s="3">
        <f>'Posted Sales Invoice Lines'!G1633</f>
        <v>46170</v>
      </c>
      <c r="G1633" s="9">
        <f>'Posted Sales Invoice Lines'!L1633</f>
        <v>0</v>
      </c>
      <c r="H1633" s="8">
        <f>'Posted Sales Invoice Lines'!N1633</f>
        <v>34.5</v>
      </c>
      <c r="I1633" s="8">
        <f>'Posted Sales Invoice Lines'!O1633</f>
        <v>0</v>
      </c>
    </row>
    <row r="1634" spans="1:9" x14ac:dyDescent="0.25">
      <c r="A1634" s="2" t="str">
        <f>'Posted Sales Invoice Lines'!A1634</f>
        <v>PS-INV220865</v>
      </c>
      <c r="B1634" s="2" t="str">
        <f>'Posted Sales Invoice Lines'!B1634</f>
        <v>10540-03</v>
      </c>
      <c r="C1634" s="2" t="str">
        <f>'Posted Sales Invoice Lines'!C1634</f>
        <v>PFG Louisville TN</v>
      </c>
      <c r="D1634" s="2" t="str">
        <f>'Posted Sales Invoice Lines'!E1634</f>
        <v>F53094</v>
      </c>
      <c r="E1634" s="2" t="str">
        <f>'Posted Sales Invoice Lines'!F1634</f>
        <v>Cs. 6" Italian 12-6pks</v>
      </c>
      <c r="F1634" s="3">
        <f>'Posted Sales Invoice Lines'!G1634</f>
        <v>46170</v>
      </c>
      <c r="G1634" s="9">
        <f>'Posted Sales Invoice Lines'!L1634</f>
        <v>28</v>
      </c>
      <c r="H1634" s="8">
        <f>'Posted Sales Invoice Lines'!N1634</f>
        <v>35</v>
      </c>
      <c r="I1634" s="8">
        <f>'Posted Sales Invoice Lines'!O1634</f>
        <v>980</v>
      </c>
    </row>
    <row r="1635" spans="1:9" x14ac:dyDescent="0.25">
      <c r="A1635" s="2" t="str">
        <f>'Posted Sales Invoice Lines'!A1635</f>
        <v>PS-INV220865</v>
      </c>
      <c r="B1635" s="2" t="str">
        <f>'Posted Sales Invoice Lines'!B1635</f>
        <v>10540-03</v>
      </c>
      <c r="C1635" s="2" t="str">
        <f>'Posted Sales Invoice Lines'!C1635</f>
        <v>PFG Louisville TN</v>
      </c>
      <c r="D1635" s="2" t="str">
        <f>'Posted Sales Invoice Lines'!E1635</f>
        <v>F51030</v>
      </c>
      <c r="E1635" s="2" t="str">
        <f>'Posted Sales Invoice Lines'!F1635</f>
        <v>Cs. Sour Dough Hearth 8lvs</v>
      </c>
      <c r="F1635" s="3">
        <f>'Posted Sales Invoice Lines'!G1635</f>
        <v>46170</v>
      </c>
      <c r="G1635" s="9">
        <f>'Posted Sales Invoice Lines'!L1635</f>
        <v>0</v>
      </c>
      <c r="H1635" s="8">
        <f>'Posted Sales Invoice Lines'!N1635</f>
        <v>43.82</v>
      </c>
      <c r="I1635" s="8">
        <f>'Posted Sales Invoice Lines'!O1635</f>
        <v>0</v>
      </c>
    </row>
    <row r="1636" spans="1:9" x14ac:dyDescent="0.25">
      <c r="A1636" s="2" t="str">
        <f>'Posted Sales Invoice Lines'!A1636</f>
        <v>PS-INV220865</v>
      </c>
      <c r="B1636" s="2" t="str">
        <f>'Posted Sales Invoice Lines'!B1636</f>
        <v>10540-03</v>
      </c>
      <c r="C1636" s="2" t="str">
        <f>'Posted Sales Invoice Lines'!C1636</f>
        <v>PFG Louisville TN</v>
      </c>
      <c r="D1636" s="2" t="str">
        <f>'Posted Sales Invoice Lines'!E1636</f>
        <v>F53100</v>
      </c>
      <c r="E1636" s="2" t="str">
        <f>'Posted Sales Invoice Lines'!F1636</f>
        <v>Cs. Hot Dog pl/sl 12-8pk</v>
      </c>
      <c r="F1636" s="3">
        <f>'Posted Sales Invoice Lines'!G1636</f>
        <v>46170</v>
      </c>
      <c r="G1636" s="9">
        <f>'Posted Sales Invoice Lines'!L1636</f>
        <v>40</v>
      </c>
      <c r="H1636" s="8">
        <f>'Posted Sales Invoice Lines'!N1636</f>
        <v>36.18</v>
      </c>
      <c r="I1636" s="8">
        <f>'Posted Sales Invoice Lines'!O1636</f>
        <v>1447.2</v>
      </c>
    </row>
    <row r="1637" spans="1:9" x14ac:dyDescent="0.25">
      <c r="A1637" s="2" t="str">
        <f>'Posted Sales Invoice Lines'!A1637</f>
        <v>PS-INV220865</v>
      </c>
      <c r="B1637" s="2" t="str">
        <f>'Posted Sales Invoice Lines'!B1637</f>
        <v>10540-03</v>
      </c>
      <c r="C1637" s="2" t="str">
        <f>'Posted Sales Invoice Lines'!C1637</f>
        <v>PFG Louisville TN</v>
      </c>
      <c r="D1637" s="2" t="str">
        <f>'Posted Sales Invoice Lines'!E1637</f>
        <v>F53106</v>
      </c>
      <c r="E1637" s="2" t="str">
        <f>'Posted Sales Invoice Lines'!F1637</f>
        <v>Cs. Large Hot Dog 12-6pk</v>
      </c>
      <c r="F1637" s="3">
        <f>'Posted Sales Invoice Lines'!G1637</f>
        <v>46170</v>
      </c>
      <c r="G1637" s="9">
        <f>'Posted Sales Invoice Lines'!L1637</f>
        <v>16</v>
      </c>
      <c r="H1637" s="8">
        <f>'Posted Sales Invoice Lines'!N1637</f>
        <v>36.07</v>
      </c>
      <c r="I1637" s="8">
        <f>'Posted Sales Invoice Lines'!O1637</f>
        <v>577.12</v>
      </c>
    </row>
    <row r="1638" spans="1:9" x14ac:dyDescent="0.25">
      <c r="A1638" s="2" t="str">
        <f>'Posted Sales Invoice Lines'!A1638</f>
        <v>PS-INV220865</v>
      </c>
      <c r="B1638" s="2" t="str">
        <f>'Posted Sales Invoice Lines'!B1638</f>
        <v>10540-03</v>
      </c>
      <c r="C1638" s="2" t="str">
        <f>'Posted Sales Invoice Lines'!C1638</f>
        <v>PFG Louisville TN</v>
      </c>
      <c r="D1638" s="2" t="str">
        <f>'Posted Sales Invoice Lines'!E1638</f>
        <v>F51034</v>
      </c>
      <c r="E1638" s="2" t="str">
        <f>'Posted Sales Invoice Lines'!F1638</f>
        <v>Cs. Sour Dough Hearth 5/8" 8lvs</v>
      </c>
      <c r="F1638" s="3">
        <f>'Posted Sales Invoice Lines'!G1638</f>
        <v>46170</v>
      </c>
      <c r="G1638" s="9">
        <f>'Posted Sales Invoice Lines'!L1638</f>
        <v>32</v>
      </c>
      <c r="H1638" s="8">
        <f>'Posted Sales Invoice Lines'!N1638</f>
        <v>43.82</v>
      </c>
      <c r="I1638" s="8">
        <f>'Posted Sales Invoice Lines'!O1638</f>
        <v>1402.24</v>
      </c>
    </row>
    <row r="1639" spans="1:9" x14ac:dyDescent="0.25">
      <c r="A1639" s="2" t="str">
        <f>'Posted Sales Invoice Lines'!A1639</f>
        <v>PS-INV220865</v>
      </c>
      <c r="B1639" s="2" t="str">
        <f>'Posted Sales Invoice Lines'!B1639</f>
        <v>10540-03</v>
      </c>
      <c r="C1639" s="2" t="str">
        <f>'Posted Sales Invoice Lines'!C1639</f>
        <v>PFG Louisville TN</v>
      </c>
      <c r="D1639" s="2" t="str">
        <f>'Posted Sales Invoice Lines'!E1639</f>
        <v>F530501</v>
      </c>
      <c r="E1639" s="2" t="str">
        <f>'Posted Sales Invoice Lines'!F1639</f>
        <v>Cs. 4.5" Challah Kaiser 6-12pk</v>
      </c>
      <c r="F1639" s="3">
        <f>'Posted Sales Invoice Lines'!G1639</f>
        <v>46170</v>
      </c>
      <c r="G1639" s="9">
        <f>'Posted Sales Invoice Lines'!L1639</f>
        <v>16</v>
      </c>
      <c r="H1639" s="8">
        <f>'Posted Sales Invoice Lines'!N1639</f>
        <v>38.299999999999997</v>
      </c>
      <c r="I1639" s="8">
        <f>'Posted Sales Invoice Lines'!O1639</f>
        <v>612.79999999999995</v>
      </c>
    </row>
    <row r="1640" spans="1:9" x14ac:dyDescent="0.25">
      <c r="A1640" s="2" t="str">
        <f>'Posted Sales Invoice Lines'!A1640</f>
        <v>PS-INV220962</v>
      </c>
      <c r="B1640" s="2" t="str">
        <f>'Posted Sales Invoice Lines'!B1640</f>
        <v>13260</v>
      </c>
      <c r="C1640" s="2" t="str">
        <f>'Posted Sales Invoice Lines'!C1640</f>
        <v>Tankersley Food Service</v>
      </c>
      <c r="D1640" s="2" t="str">
        <f>'Posted Sales Invoice Lines'!E1640</f>
        <v>F530491</v>
      </c>
      <c r="E1640" s="2" t="str">
        <f>'Posted Sales Invoice Lines'!F1640</f>
        <v>Cs. 4.5 Brioche Bun 6-12pk</v>
      </c>
      <c r="F1640" s="3">
        <f>'Posted Sales Invoice Lines'!G1640</f>
        <v>46175</v>
      </c>
      <c r="G1640" s="9">
        <f>'Posted Sales Invoice Lines'!L1640</f>
        <v>252</v>
      </c>
      <c r="H1640" s="8">
        <f>'Posted Sales Invoice Lines'!N1640</f>
        <v>38.880000000000003</v>
      </c>
      <c r="I1640" s="8">
        <f>'Posted Sales Invoice Lines'!O1640</f>
        <v>9797.76</v>
      </c>
    </row>
    <row r="1641" spans="1:9" x14ac:dyDescent="0.25">
      <c r="A1641" s="2" t="str">
        <f>'Posted Sales Invoice Lines'!A1641</f>
        <v>PS-INV220962</v>
      </c>
      <c r="B1641" s="2" t="str">
        <f>'Posted Sales Invoice Lines'!B1641</f>
        <v>13260</v>
      </c>
      <c r="C1641" s="2" t="str">
        <f>'Posted Sales Invoice Lines'!C1641</f>
        <v>Tankersley Food Service</v>
      </c>
      <c r="D1641" s="2" t="str">
        <f>'Posted Sales Invoice Lines'!E1641</f>
        <v>F53116</v>
      </c>
      <c r="E1641" s="2" t="str">
        <f>'Posted Sales Invoice Lines'!F1641</f>
        <v>Cs. 7" French Hinged 12-6pk</v>
      </c>
      <c r="F1641" s="3">
        <f>'Posted Sales Invoice Lines'!G1641</f>
        <v>46175</v>
      </c>
      <c r="G1641" s="9">
        <f>'Posted Sales Invoice Lines'!L1641</f>
        <v>40</v>
      </c>
      <c r="H1641" s="8">
        <f>'Posted Sales Invoice Lines'!N1641</f>
        <v>31.82</v>
      </c>
      <c r="I1641" s="8">
        <f>'Posted Sales Invoice Lines'!O1641</f>
        <v>1272.8</v>
      </c>
    </row>
    <row r="1642" spans="1:9" x14ac:dyDescent="0.25">
      <c r="A1642" s="2" t="str">
        <f>'Posted Sales Invoice Lines'!A1642</f>
        <v>PS-INV220962</v>
      </c>
      <c r="B1642" s="2" t="str">
        <f>'Posted Sales Invoice Lines'!B1642</f>
        <v>13260</v>
      </c>
      <c r="C1642" s="2" t="str">
        <f>'Posted Sales Invoice Lines'!C1642</f>
        <v>Tankersley Food Service</v>
      </c>
      <c r="D1642" s="2" t="str">
        <f>'Posted Sales Invoice Lines'!E1642</f>
        <v>F51084</v>
      </c>
      <c r="E1642" s="2" t="str">
        <f>'Posted Sales Invoice Lines'!F1642</f>
        <v>Cs. Wheatberry Hearth</v>
      </c>
      <c r="F1642" s="3">
        <f>'Posted Sales Invoice Lines'!G1642</f>
        <v>46175</v>
      </c>
      <c r="G1642" s="9">
        <f>'Posted Sales Invoice Lines'!L1642</f>
        <v>30</v>
      </c>
      <c r="H1642" s="8">
        <f>'Posted Sales Invoice Lines'!N1642</f>
        <v>29.92</v>
      </c>
      <c r="I1642" s="8">
        <f>'Posted Sales Invoice Lines'!O1642</f>
        <v>897.6</v>
      </c>
    </row>
    <row r="1643" spans="1:9" x14ac:dyDescent="0.25">
      <c r="A1643" s="2" t="str">
        <f>'Posted Sales Invoice Lines'!A1643</f>
        <v>PS-INV220965</v>
      </c>
      <c r="B1643" s="2" t="str">
        <f>'Posted Sales Invoice Lines'!B1643</f>
        <v>12438</v>
      </c>
      <c r="C1643" s="2" t="str">
        <f>'Posted Sales Invoice Lines'!C1643</f>
        <v>SGC Foodservice</v>
      </c>
      <c r="D1643" s="2" t="str">
        <f>'Posted Sales Invoice Lines'!E1643</f>
        <v>F56251</v>
      </c>
      <c r="E1643" s="2" t="str">
        <f>'Posted Sales Invoice Lines'!F1643</f>
        <v>Cs. Challah Sliders Sliced 18-12pks</v>
      </c>
      <c r="F1643" s="3">
        <f>'Posted Sales Invoice Lines'!G1643</f>
        <v>46170</v>
      </c>
      <c r="G1643" s="9">
        <f>'Posted Sales Invoice Lines'!L1643</f>
        <v>84</v>
      </c>
      <c r="H1643" s="8">
        <f>'Posted Sales Invoice Lines'!N1643</f>
        <v>44</v>
      </c>
      <c r="I1643" s="8">
        <f>'Posted Sales Invoice Lines'!O1643</f>
        <v>3696</v>
      </c>
    </row>
    <row r="1644" spans="1:9" x14ac:dyDescent="0.25">
      <c r="A1644" s="2" t="str">
        <f>'Posted Sales Invoice Lines'!A1644</f>
        <v>PS-INV220965</v>
      </c>
      <c r="B1644" s="2" t="str">
        <f>'Posted Sales Invoice Lines'!B1644</f>
        <v>12438</v>
      </c>
      <c r="C1644" s="2" t="str">
        <f>'Posted Sales Invoice Lines'!C1644</f>
        <v>SGC Foodservice</v>
      </c>
      <c r="D1644" s="2" t="str">
        <f>'Posted Sales Invoice Lines'!E1644</f>
        <v>F54014</v>
      </c>
      <c r="E1644" s="2" t="str">
        <f>'Posted Sales Invoice Lines'!F1644</f>
        <v>Cs. White Mountain Dinner Rolls 12-12pk</v>
      </c>
      <c r="F1644" s="3">
        <f>'Posted Sales Invoice Lines'!G1644</f>
        <v>46170</v>
      </c>
      <c r="G1644" s="9">
        <f>'Posted Sales Invoice Lines'!L1644</f>
        <v>56</v>
      </c>
      <c r="H1644" s="8">
        <f>'Posted Sales Invoice Lines'!N1644</f>
        <v>38</v>
      </c>
      <c r="I1644" s="8">
        <f>'Posted Sales Invoice Lines'!O1644</f>
        <v>2128</v>
      </c>
    </row>
    <row r="1645" spans="1:9" x14ac:dyDescent="0.25">
      <c r="A1645" s="2" t="str">
        <f>'Posted Sales Invoice Lines'!A1645</f>
        <v>PS-INV220965</v>
      </c>
      <c r="B1645" s="2" t="str">
        <f>'Posted Sales Invoice Lines'!B1645</f>
        <v>12438</v>
      </c>
      <c r="C1645" s="2" t="str">
        <f>'Posted Sales Invoice Lines'!C1645</f>
        <v>SGC Foodservice</v>
      </c>
      <c r="D1645" s="2" t="str">
        <f>'Posted Sales Invoice Lines'!E1645</f>
        <v>F53116</v>
      </c>
      <c r="E1645" s="2" t="str">
        <f>'Posted Sales Invoice Lines'!F1645</f>
        <v>Cs. 7" French Hinged 12-6pk</v>
      </c>
      <c r="F1645" s="3">
        <f>'Posted Sales Invoice Lines'!G1645</f>
        <v>46170</v>
      </c>
      <c r="G1645" s="9">
        <f>'Posted Sales Invoice Lines'!L1645</f>
        <v>56</v>
      </c>
      <c r="H1645" s="8">
        <f>'Posted Sales Invoice Lines'!N1645</f>
        <v>36</v>
      </c>
      <c r="I1645" s="8">
        <f>'Posted Sales Invoice Lines'!O1645</f>
        <v>2016</v>
      </c>
    </row>
    <row r="1646" spans="1:9" x14ac:dyDescent="0.25">
      <c r="A1646" s="2" t="str">
        <f>'Posted Sales Invoice Lines'!A1646</f>
        <v>PS-INV220965</v>
      </c>
      <c r="B1646" s="2" t="str">
        <f>'Posted Sales Invoice Lines'!B1646</f>
        <v>12438</v>
      </c>
      <c r="C1646" s="2" t="str">
        <f>'Posted Sales Invoice Lines'!C1646</f>
        <v>SGC Foodservice</v>
      </c>
      <c r="D1646" s="2" t="str">
        <f>'Posted Sales Invoice Lines'!E1646</f>
        <v>F53094</v>
      </c>
      <c r="E1646" s="2" t="str">
        <f>'Posted Sales Invoice Lines'!F1646</f>
        <v>Cs. 6" Italian 12-6pks</v>
      </c>
      <c r="F1646" s="3">
        <f>'Posted Sales Invoice Lines'!G1646</f>
        <v>46170</v>
      </c>
      <c r="G1646" s="9">
        <f>'Posted Sales Invoice Lines'!L1646</f>
        <v>56</v>
      </c>
      <c r="H1646" s="8">
        <f>'Posted Sales Invoice Lines'!N1646</f>
        <v>35</v>
      </c>
      <c r="I1646" s="8">
        <f>'Posted Sales Invoice Lines'!O1646</f>
        <v>1960</v>
      </c>
    </row>
    <row r="1647" spans="1:9" x14ac:dyDescent="0.25">
      <c r="A1647" s="2" t="str">
        <f>'Posted Sales Invoice Lines'!A1647</f>
        <v>PS-INV220965</v>
      </c>
      <c r="B1647" s="2" t="str">
        <f>'Posted Sales Invoice Lines'!B1647</f>
        <v>12438</v>
      </c>
      <c r="C1647" s="2" t="str">
        <f>'Posted Sales Invoice Lines'!C1647</f>
        <v>SGC Foodservice</v>
      </c>
      <c r="D1647" s="2" t="str">
        <f>'Posted Sales Invoice Lines'!E1647</f>
        <v>F53105</v>
      </c>
      <c r="E1647" s="2" t="str">
        <f>'Posted Sales Invoice Lines'!F1647</f>
        <v>Cs. 6" White Hot Dog 16-8pk</v>
      </c>
      <c r="F1647" s="3">
        <f>'Posted Sales Invoice Lines'!G1647</f>
        <v>46170</v>
      </c>
      <c r="G1647" s="9">
        <f>'Posted Sales Invoice Lines'!L1647</f>
        <v>28</v>
      </c>
      <c r="H1647" s="8">
        <f>'Posted Sales Invoice Lines'!N1647</f>
        <v>34.5</v>
      </c>
      <c r="I1647" s="8">
        <f>'Posted Sales Invoice Lines'!O1647</f>
        <v>966</v>
      </c>
    </row>
    <row r="1648" spans="1:9" x14ac:dyDescent="0.25">
      <c r="A1648" s="2" t="str">
        <f>'Posted Sales Invoice Lines'!A1648</f>
        <v>PS-INV220965</v>
      </c>
      <c r="B1648" s="2" t="str">
        <f>'Posted Sales Invoice Lines'!B1648</f>
        <v>12438</v>
      </c>
      <c r="C1648" s="2" t="str">
        <f>'Posted Sales Invoice Lines'!C1648</f>
        <v>SGC Foodservice</v>
      </c>
      <c r="D1648" s="2" t="str">
        <f>'Posted Sales Invoice Lines'!E1648</f>
        <v>F51034</v>
      </c>
      <c r="E1648" s="2" t="str">
        <f>'Posted Sales Invoice Lines'!F1648</f>
        <v>Cs. Sour Dough Hearth 5/8" 8lvs</v>
      </c>
      <c r="F1648" s="3">
        <f>'Posted Sales Invoice Lines'!G1648</f>
        <v>46170</v>
      </c>
      <c r="G1648" s="9">
        <f>'Posted Sales Invoice Lines'!L1648</f>
        <v>140</v>
      </c>
      <c r="H1648" s="8">
        <f>'Posted Sales Invoice Lines'!N1648</f>
        <v>43.82</v>
      </c>
      <c r="I1648" s="8">
        <f>'Posted Sales Invoice Lines'!O1648</f>
        <v>6134.8</v>
      </c>
    </row>
    <row r="1649" spans="1:9" x14ac:dyDescent="0.25">
      <c r="A1649" s="2" t="str">
        <f>'Posted Sales Invoice Lines'!A1649</f>
        <v>PS-INV220965</v>
      </c>
      <c r="B1649" s="2" t="str">
        <f>'Posted Sales Invoice Lines'!B1649</f>
        <v>12438</v>
      </c>
      <c r="C1649" s="2" t="str">
        <f>'Posted Sales Invoice Lines'!C1649</f>
        <v>SGC Foodservice</v>
      </c>
      <c r="D1649" s="2" t="str">
        <f>'Posted Sales Invoice Lines'!E1649</f>
        <v>F53001</v>
      </c>
      <c r="E1649" s="2" t="str">
        <f>'Posted Sales Invoice Lines'!F1649</f>
        <v>Cs. 4" Brioche Bun 8-12pk</v>
      </c>
      <c r="F1649" s="3">
        <f>'Posted Sales Invoice Lines'!G1649</f>
        <v>46170</v>
      </c>
      <c r="G1649" s="9">
        <f>'Posted Sales Invoice Lines'!L1649</f>
        <v>280</v>
      </c>
      <c r="H1649" s="8">
        <f>'Posted Sales Invoice Lines'!N1649</f>
        <v>42.6</v>
      </c>
      <c r="I1649" s="8">
        <f>'Posted Sales Invoice Lines'!O1649</f>
        <v>11928</v>
      </c>
    </row>
    <row r="1650" spans="1:9" x14ac:dyDescent="0.25">
      <c r="A1650" s="2" t="str">
        <f>'Posted Sales Invoice Lines'!A1650</f>
        <v>PS-INV220965</v>
      </c>
      <c r="B1650" s="2" t="str">
        <f>'Posted Sales Invoice Lines'!B1650</f>
        <v>12438</v>
      </c>
      <c r="C1650" s="2" t="str">
        <f>'Posted Sales Invoice Lines'!C1650</f>
        <v>SGC Foodservice</v>
      </c>
      <c r="D1650" s="2" t="str">
        <f>'Posted Sales Invoice Lines'!E1650</f>
        <v>F53010</v>
      </c>
      <c r="E1650" s="2" t="str">
        <f>'Posted Sales Invoice Lines'!F1650</f>
        <v>Cs. Onion Roll 8-12pk</v>
      </c>
      <c r="F1650" s="3">
        <f>'Posted Sales Invoice Lines'!G1650</f>
        <v>46170</v>
      </c>
      <c r="G1650" s="9">
        <f>'Posted Sales Invoice Lines'!L1650</f>
        <v>28</v>
      </c>
      <c r="H1650" s="8">
        <f>'Posted Sales Invoice Lines'!N1650</f>
        <v>44</v>
      </c>
      <c r="I1650" s="8">
        <f>'Posted Sales Invoice Lines'!O1650</f>
        <v>1232</v>
      </c>
    </row>
    <row r="1651" spans="1:9" x14ac:dyDescent="0.25">
      <c r="A1651" s="2" t="str">
        <f>'Posted Sales Invoice Lines'!A1651</f>
        <v>PS-INV221024</v>
      </c>
      <c r="B1651" s="2" t="str">
        <f>'Posted Sales Invoice Lines'!B1651</f>
        <v>10540-02</v>
      </c>
      <c r="C1651" s="2" t="str">
        <f>'Posted Sales Invoice Lines'!C1651</f>
        <v>PFG Valdosta GA</v>
      </c>
      <c r="D1651" s="2" t="str">
        <f>'Posted Sales Invoice Lines'!E1651</f>
        <v>F53001</v>
      </c>
      <c r="E1651" s="2" t="str">
        <f>'Posted Sales Invoice Lines'!F1651</f>
        <v>Cs. 4" Brioche Bun 8-12pk</v>
      </c>
      <c r="F1651" s="3">
        <f>'Posted Sales Invoice Lines'!G1651</f>
        <v>46174</v>
      </c>
      <c r="G1651" s="9">
        <f>'Posted Sales Invoice Lines'!L1651</f>
        <v>284</v>
      </c>
      <c r="H1651" s="8">
        <f>'Posted Sales Invoice Lines'!N1651</f>
        <v>42.6</v>
      </c>
      <c r="I1651" s="8">
        <f>'Posted Sales Invoice Lines'!O1651</f>
        <v>12098.4</v>
      </c>
    </row>
    <row r="1652" spans="1:9" x14ac:dyDescent="0.25">
      <c r="A1652" s="2" t="str">
        <f>'Posted Sales Invoice Lines'!A1652</f>
        <v>PS-INV221024</v>
      </c>
      <c r="B1652" s="2" t="str">
        <f>'Posted Sales Invoice Lines'!B1652</f>
        <v>10540-02</v>
      </c>
      <c r="C1652" s="2" t="str">
        <f>'Posted Sales Invoice Lines'!C1652</f>
        <v>PFG Valdosta GA</v>
      </c>
      <c r="D1652" s="2" t="str">
        <f>'Posted Sales Invoice Lines'!E1652</f>
        <v>F54301</v>
      </c>
      <c r="E1652" s="2" t="str">
        <f>'Posted Sales Invoice Lines'!F1652</f>
        <v>Cs. Potato Roll Sliced 12-16pk</v>
      </c>
      <c r="F1652" s="3">
        <f>'Posted Sales Invoice Lines'!G1652</f>
        <v>46174</v>
      </c>
      <c r="G1652" s="9">
        <f>'Posted Sales Invoice Lines'!L1652</f>
        <v>12</v>
      </c>
      <c r="H1652" s="8">
        <f>'Posted Sales Invoice Lines'!N1652</f>
        <v>41.15</v>
      </c>
      <c r="I1652" s="8">
        <f>'Posted Sales Invoice Lines'!O1652</f>
        <v>493.8</v>
      </c>
    </row>
    <row r="1653" spans="1:9" x14ac:dyDescent="0.25">
      <c r="A1653" s="2" t="str">
        <f>'Posted Sales Invoice Lines'!A1653</f>
        <v>PS-INV221024</v>
      </c>
      <c r="B1653" s="2" t="str">
        <f>'Posted Sales Invoice Lines'!B1653</f>
        <v>10540-02</v>
      </c>
      <c r="C1653" s="2" t="str">
        <f>'Posted Sales Invoice Lines'!C1653</f>
        <v>PFG Valdosta GA</v>
      </c>
      <c r="D1653" s="2" t="str">
        <f>'Posted Sales Invoice Lines'!E1653</f>
        <v>F53105</v>
      </c>
      <c r="E1653" s="2" t="str">
        <f>'Posted Sales Invoice Lines'!F1653</f>
        <v>Cs. 6" White Hot Dog 16-8pk</v>
      </c>
      <c r="F1653" s="3">
        <f>'Posted Sales Invoice Lines'!G1653</f>
        <v>46174</v>
      </c>
      <c r="G1653" s="9">
        <f>'Posted Sales Invoice Lines'!L1653</f>
        <v>28</v>
      </c>
      <c r="H1653" s="8">
        <f>'Posted Sales Invoice Lines'!N1653</f>
        <v>34.5</v>
      </c>
      <c r="I1653" s="8">
        <f>'Posted Sales Invoice Lines'!O1653</f>
        <v>966</v>
      </c>
    </row>
    <row r="1654" spans="1:9" x14ac:dyDescent="0.25">
      <c r="A1654" s="2" t="str">
        <f>'Posted Sales Invoice Lines'!A1654</f>
        <v>PS-INV221360</v>
      </c>
      <c r="B1654" s="2" t="str">
        <f>'Posted Sales Invoice Lines'!B1654</f>
        <v>10805</v>
      </c>
      <c r="C1654" s="2" t="str">
        <f>'Posted Sales Invoice Lines'!C1654</f>
        <v>Sysco Jacksonville</v>
      </c>
      <c r="D1654" s="2" t="str">
        <f>'Posted Sales Invoice Lines'!E1654</f>
        <v>F53003</v>
      </c>
      <c r="E1654" s="2" t="str">
        <f>'Posted Sales Invoice Lines'!F1654</f>
        <v>Cs. 4" Unseeded Challah Bun 8-12pk</v>
      </c>
      <c r="F1654" s="3">
        <f>'Posted Sales Invoice Lines'!G1654</f>
        <v>46177</v>
      </c>
      <c r="G1654" s="9">
        <f>'Posted Sales Invoice Lines'!L1654</f>
        <v>336</v>
      </c>
      <c r="H1654" s="8">
        <f>'Posted Sales Invoice Lines'!N1654</f>
        <v>40.799999999999997</v>
      </c>
      <c r="I1654" s="8">
        <f>'Posted Sales Invoice Lines'!O1654</f>
        <v>13708.8</v>
      </c>
    </row>
    <row r="1655" spans="1:9" x14ac:dyDescent="0.25">
      <c r="A1655" s="2" t="str">
        <f>'Posted Sales Invoice Lines'!A1655</f>
        <v>PS-INV221360</v>
      </c>
      <c r="B1655" s="2" t="str">
        <f>'Posted Sales Invoice Lines'!B1655</f>
        <v>10805</v>
      </c>
      <c r="C1655" s="2" t="str">
        <f>'Posted Sales Invoice Lines'!C1655</f>
        <v>Sysco Jacksonville</v>
      </c>
      <c r="D1655" s="2" t="str">
        <f>'Posted Sales Invoice Lines'!E1655</f>
        <v>F51137</v>
      </c>
      <c r="E1655" s="2" t="str">
        <f>'Posted Sales Invoice Lines'!F1655</f>
        <v>Cs. Texas Toast 3/4" 12lvs</v>
      </c>
      <c r="F1655" s="3">
        <f>'Posted Sales Invoice Lines'!G1655</f>
        <v>46177</v>
      </c>
      <c r="G1655" s="9">
        <f>'Posted Sales Invoice Lines'!L1655</f>
        <v>112</v>
      </c>
      <c r="H1655" s="8">
        <f>'Posted Sales Invoice Lines'!N1655</f>
        <v>39.9</v>
      </c>
      <c r="I1655" s="8">
        <f>'Posted Sales Invoice Lines'!O1655</f>
        <v>4468.8</v>
      </c>
    </row>
    <row r="1656" spans="1:9" x14ac:dyDescent="0.25">
      <c r="A1656" s="2" t="str">
        <f>'Posted Sales Invoice Lines'!A1656</f>
        <v>PS-INV221360</v>
      </c>
      <c r="B1656" s="2" t="str">
        <f>'Posted Sales Invoice Lines'!B1656</f>
        <v>10805</v>
      </c>
      <c r="C1656" s="2" t="str">
        <f>'Posted Sales Invoice Lines'!C1656</f>
        <v>Sysco Jacksonville</v>
      </c>
      <c r="D1656" s="2" t="str">
        <f>'Posted Sales Invoice Lines'!E1656</f>
        <v>F51034</v>
      </c>
      <c r="E1656" s="2" t="str">
        <f>'Posted Sales Invoice Lines'!F1656</f>
        <v>Cs. Sour Dough Hearth 5/8" 8lvs</v>
      </c>
      <c r="F1656" s="3">
        <f>'Posted Sales Invoice Lines'!G1656</f>
        <v>46177</v>
      </c>
      <c r="G1656" s="9">
        <f>'Posted Sales Invoice Lines'!L1656</f>
        <v>6</v>
      </c>
      <c r="H1656" s="8">
        <f>'Posted Sales Invoice Lines'!N1656</f>
        <v>45</v>
      </c>
      <c r="I1656" s="8">
        <f>'Posted Sales Invoice Lines'!O1656</f>
        <v>270</v>
      </c>
    </row>
    <row r="1657" spans="1:9" x14ac:dyDescent="0.25">
      <c r="A1657" s="2" t="str">
        <f>'Posted Sales Invoice Lines'!A1657</f>
        <v>PS-INV221682</v>
      </c>
      <c r="B1657" s="2" t="str">
        <f>'Posted Sales Invoice Lines'!B1657</f>
        <v>10547</v>
      </c>
      <c r="C1657" s="2" t="str">
        <f>'Posted Sales Invoice Lines'!C1657</f>
        <v>PFG Hale TN</v>
      </c>
      <c r="D1657" s="2" t="str">
        <f>'Posted Sales Invoice Lines'!E1657</f>
        <v>F53001</v>
      </c>
      <c r="E1657" s="2" t="str">
        <f>'Posted Sales Invoice Lines'!F1657</f>
        <v>Cs. 4" Brioche Bun 8-12pk</v>
      </c>
      <c r="F1657" s="3">
        <f>'Posted Sales Invoice Lines'!G1657</f>
        <v>46182</v>
      </c>
      <c r="G1657" s="9">
        <f>'Posted Sales Invoice Lines'!L1657</f>
        <v>180</v>
      </c>
      <c r="H1657" s="8">
        <f>'Posted Sales Invoice Lines'!N1657</f>
        <v>42</v>
      </c>
      <c r="I1657" s="8">
        <f>'Posted Sales Invoice Lines'!O1657</f>
        <v>7560</v>
      </c>
    </row>
    <row r="1658" spans="1:9" x14ac:dyDescent="0.25">
      <c r="A1658" s="2" t="str">
        <f>'Posted Sales Invoice Lines'!A1658</f>
        <v>PS-INV221682</v>
      </c>
      <c r="B1658" s="2" t="str">
        <f>'Posted Sales Invoice Lines'!B1658</f>
        <v>10547</v>
      </c>
      <c r="C1658" s="2" t="str">
        <f>'Posted Sales Invoice Lines'!C1658</f>
        <v>PFG Hale TN</v>
      </c>
      <c r="D1658" s="2" t="str">
        <f>'Posted Sales Invoice Lines'!E1658</f>
        <v>F530421</v>
      </c>
      <c r="E1658" s="2" t="str">
        <f>'Posted Sales Invoice Lines'!F1658</f>
        <v>Cs. 4.5" Challah Buns 6-12pk.</v>
      </c>
      <c r="F1658" s="3">
        <f>'Posted Sales Invoice Lines'!G1658</f>
        <v>46182</v>
      </c>
      <c r="G1658" s="9">
        <f>'Posted Sales Invoice Lines'!L1658</f>
        <v>280</v>
      </c>
      <c r="H1658" s="8">
        <f>'Posted Sales Invoice Lines'!N1658</f>
        <v>38.299999999999997</v>
      </c>
      <c r="I1658" s="8">
        <f>'Posted Sales Invoice Lines'!O1658</f>
        <v>10724</v>
      </c>
    </row>
    <row r="1659" spans="1:9" x14ac:dyDescent="0.25">
      <c r="A1659" s="2" t="str">
        <f>'Posted Sales Invoice Lines'!A1659</f>
        <v>PS-INV221682</v>
      </c>
      <c r="B1659" s="2" t="str">
        <f>'Posted Sales Invoice Lines'!B1659</f>
        <v>10547</v>
      </c>
      <c r="C1659" s="2" t="str">
        <f>'Posted Sales Invoice Lines'!C1659</f>
        <v>PFG Hale TN</v>
      </c>
      <c r="D1659" s="2" t="str">
        <f>'Posted Sales Invoice Lines'!E1659</f>
        <v>F53000</v>
      </c>
      <c r="E1659" s="2" t="str">
        <f>'Posted Sales Invoice Lines'!F1659</f>
        <v>Cs. 4" Hamburger Bun 8-12pk</v>
      </c>
      <c r="F1659" s="3">
        <f>'Posted Sales Invoice Lines'!G1659</f>
        <v>46182</v>
      </c>
      <c r="G1659" s="9">
        <f>'Posted Sales Invoice Lines'!L1659</f>
        <v>36</v>
      </c>
      <c r="H1659" s="8">
        <f>'Posted Sales Invoice Lines'!N1659</f>
        <v>33.25</v>
      </c>
      <c r="I1659" s="8">
        <f>'Posted Sales Invoice Lines'!O1659</f>
        <v>1197</v>
      </c>
    </row>
    <row r="1660" spans="1:9" x14ac:dyDescent="0.25">
      <c r="A1660" s="2" t="str">
        <f>'Posted Sales Invoice Lines'!A1660</f>
        <v>PS-INV221682</v>
      </c>
      <c r="B1660" s="2" t="str">
        <f>'Posted Sales Invoice Lines'!B1660</f>
        <v>10547</v>
      </c>
      <c r="C1660" s="2" t="str">
        <f>'Posted Sales Invoice Lines'!C1660</f>
        <v>PFG Hale TN</v>
      </c>
      <c r="D1660" s="2" t="str">
        <f>'Posted Sales Invoice Lines'!E1660</f>
        <v>F53098</v>
      </c>
      <c r="E1660" s="2" t="str">
        <f>'Posted Sales Invoice Lines'!F1660</f>
        <v>Cs. Onion Club 12-6pk</v>
      </c>
      <c r="F1660" s="3">
        <f>'Posted Sales Invoice Lines'!G1660</f>
        <v>46182</v>
      </c>
      <c r="G1660" s="9">
        <f>'Posted Sales Invoice Lines'!L1660</f>
        <v>60</v>
      </c>
      <c r="H1660" s="8">
        <f>'Posted Sales Invoice Lines'!N1660</f>
        <v>35.75</v>
      </c>
      <c r="I1660" s="8">
        <f>'Posted Sales Invoice Lines'!O1660</f>
        <v>2145</v>
      </c>
    </row>
    <row r="1661" spans="1:9" x14ac:dyDescent="0.25">
      <c r="A1661" s="2" t="str">
        <f>'Posted Sales Invoice Lines'!A1661</f>
        <v>PS-INV221682</v>
      </c>
      <c r="B1661" s="2" t="str">
        <f>'Posted Sales Invoice Lines'!B1661</f>
        <v>10547</v>
      </c>
      <c r="C1661" s="2" t="str">
        <f>'Posted Sales Invoice Lines'!C1661</f>
        <v>PFG Hale TN</v>
      </c>
      <c r="D1661" s="2" t="str">
        <f>'Posted Sales Invoice Lines'!E1661</f>
        <v>F530041</v>
      </c>
      <c r="E1661" s="2" t="str">
        <f>'Posted Sales Invoice Lines'!F1661</f>
        <v>Cs. 4" S&amp;P Brioche Bun 8-12pk</v>
      </c>
      <c r="F1661" s="3">
        <f>'Posted Sales Invoice Lines'!G1661</f>
        <v>46182</v>
      </c>
      <c r="G1661" s="9">
        <f>'Posted Sales Invoice Lines'!L1661</f>
        <v>32</v>
      </c>
      <c r="H1661" s="8">
        <f>'Posted Sales Invoice Lines'!N1661</f>
        <v>46</v>
      </c>
      <c r="I1661" s="8">
        <f>'Posted Sales Invoice Lines'!O1661</f>
        <v>1472</v>
      </c>
    </row>
    <row r="1662" spans="1:9" x14ac:dyDescent="0.25">
      <c r="A1662" s="2" t="str">
        <f>'Posted Sales Invoice Lines'!A1662</f>
        <v>PS-INV221683</v>
      </c>
      <c r="B1662" s="2" t="str">
        <f>'Posted Sales Invoice Lines'!B1662</f>
        <v>13128</v>
      </c>
      <c r="C1662" s="2" t="str">
        <f>'Posted Sales Invoice Lines'!C1662</f>
        <v>Gordon Food Service - Shepherdsville</v>
      </c>
      <c r="D1662" s="2" t="str">
        <f>'Posted Sales Invoice Lines'!E1662</f>
        <v>F51084</v>
      </c>
      <c r="E1662" s="2" t="str">
        <f>'Posted Sales Invoice Lines'!F1662</f>
        <v>Cs. Wheatberry Hearth</v>
      </c>
      <c r="F1662" s="3">
        <f>'Posted Sales Invoice Lines'!G1662</f>
        <v>46176</v>
      </c>
      <c r="G1662" s="9">
        <f>'Posted Sales Invoice Lines'!L1662</f>
        <v>192</v>
      </c>
      <c r="H1662" s="8">
        <f>'Posted Sales Invoice Lines'!N1662</f>
        <v>33.299999999999997</v>
      </c>
      <c r="I1662" s="8">
        <f>'Posted Sales Invoice Lines'!O1662</f>
        <v>6393.6</v>
      </c>
    </row>
    <row r="1663" spans="1:9" x14ac:dyDescent="0.25">
      <c r="A1663" s="2" t="str">
        <f>'Posted Sales Invoice Lines'!A1663</f>
        <v>PS-INV221683</v>
      </c>
      <c r="B1663" s="2" t="str">
        <f>'Posted Sales Invoice Lines'!B1663</f>
        <v>13128</v>
      </c>
      <c r="C1663" s="2" t="str">
        <f>'Posted Sales Invoice Lines'!C1663</f>
        <v>Gordon Food Service - Shepherdsville</v>
      </c>
      <c r="D1663" s="2" t="str">
        <f>'Posted Sales Invoice Lines'!E1663</f>
        <v>F51114</v>
      </c>
      <c r="E1663" s="2" t="str">
        <f>'Posted Sales Invoice Lines'!F1663</f>
        <v>Cs. Old Fashioned Hearth 5/8" 8lvs</v>
      </c>
      <c r="F1663" s="3">
        <f>'Posted Sales Invoice Lines'!G1663</f>
        <v>46176</v>
      </c>
      <c r="G1663" s="9">
        <f>'Posted Sales Invoice Lines'!L1663</f>
        <v>80</v>
      </c>
      <c r="H1663" s="8">
        <f>'Posted Sales Invoice Lines'!N1663</f>
        <v>39.700000000000003</v>
      </c>
      <c r="I1663" s="8">
        <f>'Posted Sales Invoice Lines'!O1663</f>
        <v>3176</v>
      </c>
    </row>
    <row r="1664" spans="1:9" x14ac:dyDescent="0.25">
      <c r="A1664" s="2" t="str">
        <f>'Posted Sales Invoice Lines'!A1664</f>
        <v>PS-INV221683</v>
      </c>
      <c r="B1664" s="2" t="str">
        <f>'Posted Sales Invoice Lines'!B1664</f>
        <v>13128</v>
      </c>
      <c r="C1664" s="2" t="str">
        <f>'Posted Sales Invoice Lines'!C1664</f>
        <v>Gordon Food Service - Shepherdsville</v>
      </c>
      <c r="D1664" s="2" t="str">
        <f>'Posted Sales Invoice Lines'!E1664</f>
        <v>F56251</v>
      </c>
      <c r="E1664" s="2" t="str">
        <f>'Posted Sales Invoice Lines'!F1664</f>
        <v>Cs. Challah Sliders Sliced 18-12pks</v>
      </c>
      <c r="F1664" s="3">
        <f>'Posted Sales Invoice Lines'!G1664</f>
        <v>46176</v>
      </c>
      <c r="G1664" s="9">
        <f>'Posted Sales Invoice Lines'!L1664</f>
        <v>568</v>
      </c>
      <c r="H1664" s="8">
        <f>'Posted Sales Invoice Lines'!N1664</f>
        <v>39.700000000000003</v>
      </c>
      <c r="I1664" s="8">
        <f>'Posted Sales Invoice Lines'!O1664</f>
        <v>22549.599999999999</v>
      </c>
    </row>
    <row r="1665" spans="1:9" x14ac:dyDescent="0.25">
      <c r="A1665" s="2" t="str">
        <f>'Posted Sales Invoice Lines'!A1665</f>
        <v>PS-INV221750</v>
      </c>
      <c r="B1665" s="2" t="str">
        <f>'Posted Sales Invoice Lines'!B1665</f>
        <v>1-4</v>
      </c>
      <c r="C1665" s="2" t="str">
        <f>'Posted Sales Invoice Lines'!C1665</f>
        <v>Heath West</v>
      </c>
      <c r="D1665" s="2" t="str">
        <f>'Posted Sales Invoice Lines'!E1665</f>
        <v>F56251</v>
      </c>
      <c r="E1665" s="2" t="str">
        <f>'Posted Sales Invoice Lines'!F1665</f>
        <v>Cs. Challah Sliders Sliced 18-12pks</v>
      </c>
      <c r="F1665" s="3">
        <f>'Posted Sales Invoice Lines'!G1665</f>
        <v>46168</v>
      </c>
      <c r="G1665" s="9">
        <f>'Posted Sales Invoice Lines'!L1665</f>
        <v>1</v>
      </c>
      <c r="H1665" s="8">
        <f>'Posted Sales Invoice Lines'!N1665</f>
        <v>0</v>
      </c>
      <c r="I1665" s="8">
        <f>'Posted Sales Invoice Lines'!O1665</f>
        <v>0</v>
      </c>
    </row>
    <row r="1666" spans="1:9" x14ac:dyDescent="0.25">
      <c r="A1666" s="2" t="str">
        <f>'Posted Sales Invoice Lines'!A1666</f>
        <v>PS-INV222001</v>
      </c>
      <c r="B1666" s="2" t="str">
        <f>'Posted Sales Invoice Lines'!B1666</f>
        <v>20334</v>
      </c>
      <c r="C1666" s="2" t="str">
        <f>'Posted Sales Invoice Lines'!C1666</f>
        <v>Sysco Atlanta</v>
      </c>
      <c r="D1666" s="2" t="str">
        <f>'Posted Sales Invoice Lines'!E1666</f>
        <v>F53116</v>
      </c>
      <c r="E1666" s="2" t="str">
        <f>'Posted Sales Invoice Lines'!F1666</f>
        <v>Cs. 7" French Hinged 12-6pk</v>
      </c>
      <c r="F1666" s="3">
        <f>'Posted Sales Invoice Lines'!G1666</f>
        <v>46178</v>
      </c>
      <c r="G1666" s="9">
        <f>'Posted Sales Invoice Lines'!L1666</f>
        <v>84</v>
      </c>
      <c r="H1666" s="8">
        <f>'Posted Sales Invoice Lines'!N1666</f>
        <v>31.42</v>
      </c>
      <c r="I1666" s="8">
        <f>'Posted Sales Invoice Lines'!O1666</f>
        <v>2639.28</v>
      </c>
    </row>
    <row r="1667" spans="1:9" x14ac:dyDescent="0.25">
      <c r="A1667" s="2" t="str">
        <f>'Posted Sales Invoice Lines'!A1667</f>
        <v>PS-INV222001</v>
      </c>
      <c r="B1667" s="2" t="str">
        <f>'Posted Sales Invoice Lines'!B1667</f>
        <v>20334</v>
      </c>
      <c r="C1667" s="2" t="str">
        <f>'Posted Sales Invoice Lines'!C1667</f>
        <v>Sysco Atlanta</v>
      </c>
      <c r="D1667" s="2" t="str">
        <f>'Posted Sales Invoice Lines'!E1667</f>
        <v>F53087</v>
      </c>
      <c r="E1667" s="2" t="str">
        <f>'Posted Sales Invoice Lines'!F1667</f>
        <v>Cs. 3.5" Challah Bun 8-12 pk</v>
      </c>
      <c r="F1667" s="3">
        <f>'Posted Sales Invoice Lines'!G1667</f>
        <v>46178</v>
      </c>
      <c r="G1667" s="9">
        <f>'Posted Sales Invoice Lines'!L1667</f>
        <v>168</v>
      </c>
      <c r="H1667" s="8">
        <f>'Posted Sales Invoice Lines'!N1667</f>
        <v>34</v>
      </c>
      <c r="I1667" s="8">
        <f>'Posted Sales Invoice Lines'!O1667</f>
        <v>5712</v>
      </c>
    </row>
    <row r="1668" spans="1:9" x14ac:dyDescent="0.25">
      <c r="A1668" s="2" t="str">
        <f>'Posted Sales Invoice Lines'!A1668</f>
        <v>PS-INV222001</v>
      </c>
      <c r="B1668" s="2" t="str">
        <f>'Posted Sales Invoice Lines'!B1668</f>
        <v>20334</v>
      </c>
      <c r="C1668" s="2" t="str">
        <f>'Posted Sales Invoice Lines'!C1668</f>
        <v>Sysco Atlanta</v>
      </c>
      <c r="D1668" s="2" t="str">
        <f>'Posted Sales Invoice Lines'!E1668</f>
        <v>F51024</v>
      </c>
      <c r="E1668" s="2" t="str">
        <f>'Posted Sales Invoice Lines'!F1668</f>
        <v>Cs. Marble Rye 5/8" 8lvs</v>
      </c>
      <c r="F1668" s="3">
        <f>'Posted Sales Invoice Lines'!G1668</f>
        <v>46178</v>
      </c>
      <c r="G1668" s="9">
        <f>'Posted Sales Invoice Lines'!L1668</f>
        <v>24</v>
      </c>
      <c r="H1668" s="8">
        <f>'Posted Sales Invoice Lines'!N1668</f>
        <v>43.26</v>
      </c>
      <c r="I1668" s="8">
        <f>'Posted Sales Invoice Lines'!O1668</f>
        <v>1038.24</v>
      </c>
    </row>
    <row r="1669" spans="1:9" x14ac:dyDescent="0.25">
      <c r="A1669" s="2" t="str">
        <f>'Posted Sales Invoice Lines'!A1669</f>
        <v>PS-INV222001</v>
      </c>
      <c r="B1669" s="2" t="str">
        <f>'Posted Sales Invoice Lines'!B1669</f>
        <v>20334</v>
      </c>
      <c r="C1669" s="2" t="str">
        <f>'Posted Sales Invoice Lines'!C1669</f>
        <v>Sysco Atlanta</v>
      </c>
      <c r="D1669" s="2" t="str">
        <f>'Posted Sales Invoice Lines'!E1669</f>
        <v>F53001</v>
      </c>
      <c r="E1669" s="2" t="str">
        <f>'Posted Sales Invoice Lines'!F1669</f>
        <v>Cs. 4" Brioche Bun 8-12pk</v>
      </c>
      <c r="F1669" s="3">
        <f>'Posted Sales Invoice Lines'!G1669</f>
        <v>46178</v>
      </c>
      <c r="G1669" s="9">
        <f>'Posted Sales Invoice Lines'!L1669</f>
        <v>56</v>
      </c>
      <c r="H1669" s="8">
        <f>'Posted Sales Invoice Lines'!N1669</f>
        <v>43.36</v>
      </c>
      <c r="I1669" s="8">
        <f>'Posted Sales Invoice Lines'!O1669</f>
        <v>2428.16</v>
      </c>
    </row>
    <row r="1670" spans="1:9" x14ac:dyDescent="0.25">
      <c r="A1670" s="2" t="str">
        <f>'Posted Sales Invoice Lines'!A1670</f>
        <v>PS-INV222001</v>
      </c>
      <c r="B1670" s="2" t="str">
        <f>'Posted Sales Invoice Lines'!B1670</f>
        <v>20334</v>
      </c>
      <c r="C1670" s="2" t="str">
        <f>'Posted Sales Invoice Lines'!C1670</f>
        <v>Sysco Atlanta</v>
      </c>
      <c r="D1670" s="2" t="str">
        <f>'Posted Sales Invoice Lines'!E1670</f>
        <v>F51034</v>
      </c>
      <c r="E1670" s="2" t="str">
        <f>'Posted Sales Invoice Lines'!F1670</f>
        <v>Cs. Sour Dough Hearth 5/8" 8lvs</v>
      </c>
      <c r="F1670" s="3">
        <f>'Posted Sales Invoice Lines'!G1670</f>
        <v>46178</v>
      </c>
      <c r="G1670" s="9">
        <f>'Posted Sales Invoice Lines'!L1670</f>
        <v>20</v>
      </c>
      <c r="H1670" s="8">
        <f>'Posted Sales Invoice Lines'!N1670</f>
        <v>41.2</v>
      </c>
      <c r="I1670" s="8">
        <f>'Posted Sales Invoice Lines'!O1670</f>
        <v>824</v>
      </c>
    </row>
    <row r="1671" spans="1:9" x14ac:dyDescent="0.25">
      <c r="A1671" s="2" t="str">
        <f>'Posted Sales Invoice Lines'!A1671</f>
        <v>PS-INV222001</v>
      </c>
      <c r="B1671" s="2" t="str">
        <f>'Posted Sales Invoice Lines'!B1671</f>
        <v>20334</v>
      </c>
      <c r="C1671" s="2" t="str">
        <f>'Posted Sales Invoice Lines'!C1671</f>
        <v>Sysco Atlanta</v>
      </c>
      <c r="D1671" s="2" t="str">
        <f>'Posted Sales Invoice Lines'!E1671</f>
        <v>F53003</v>
      </c>
      <c r="E1671" s="2" t="str">
        <f>'Posted Sales Invoice Lines'!F1671</f>
        <v>Cs. 4" Unseeded Challah Bun 8-12pk</v>
      </c>
      <c r="F1671" s="3">
        <f>'Posted Sales Invoice Lines'!G1671</f>
        <v>46178</v>
      </c>
      <c r="G1671" s="9">
        <f>'Posted Sales Invoice Lines'!L1671</f>
        <v>48</v>
      </c>
      <c r="H1671" s="8">
        <f>'Posted Sales Invoice Lines'!N1671</f>
        <v>38.19</v>
      </c>
      <c r="I1671" s="8">
        <f>'Posted Sales Invoice Lines'!O1671</f>
        <v>1833.12</v>
      </c>
    </row>
    <row r="1672" spans="1:9" x14ac:dyDescent="0.25">
      <c r="A1672" s="2" t="str">
        <f>'Posted Sales Invoice Lines'!A1672</f>
        <v>PS-INV222001</v>
      </c>
      <c r="B1672" s="2" t="str">
        <f>'Posted Sales Invoice Lines'!B1672</f>
        <v>20334</v>
      </c>
      <c r="C1672" s="2" t="str">
        <f>'Posted Sales Invoice Lines'!C1672</f>
        <v>Sysco Atlanta</v>
      </c>
      <c r="D1672" s="2" t="str">
        <f>'Posted Sales Invoice Lines'!E1672</f>
        <v>F53140</v>
      </c>
      <c r="E1672" s="2" t="str">
        <f>'Posted Sales Invoice Lines'!F1672</f>
        <v>Cs. Knuckies 8" White 12-6pk</v>
      </c>
      <c r="F1672" s="3">
        <f>'Posted Sales Invoice Lines'!G1672</f>
        <v>46178</v>
      </c>
      <c r="G1672" s="9">
        <f>'Posted Sales Invoice Lines'!L1672</f>
        <v>40</v>
      </c>
      <c r="H1672" s="8">
        <f>'Posted Sales Invoice Lines'!N1672</f>
        <v>41</v>
      </c>
      <c r="I1672" s="8">
        <f>'Posted Sales Invoice Lines'!O1672</f>
        <v>1640</v>
      </c>
    </row>
    <row r="1673" spans="1:9" x14ac:dyDescent="0.25">
      <c r="A1673" s="2" t="str">
        <f>'Posted Sales Invoice Lines'!A1673</f>
        <v>PS-INV222006</v>
      </c>
      <c r="B1673" s="2" t="str">
        <f>'Posted Sales Invoice Lines'!B1673</f>
        <v>10719-2</v>
      </c>
      <c r="C1673" s="2" t="str">
        <f>'Posted Sales Invoice Lines'!C1673</f>
        <v>US Foods - Fairburn</v>
      </c>
      <c r="D1673" s="2" t="str">
        <f>'Posted Sales Invoice Lines'!E1673</f>
        <v>F53005</v>
      </c>
      <c r="E1673" s="2" t="str">
        <f>'Posted Sales Invoice Lines'!F1673</f>
        <v>Cs. 4" Gourmet PDS Bun 8-12pk</v>
      </c>
      <c r="F1673" s="3">
        <f>'Posted Sales Invoice Lines'!G1673</f>
        <v>46181</v>
      </c>
      <c r="G1673" s="9">
        <f>'Posted Sales Invoice Lines'!L1673</f>
        <v>48</v>
      </c>
      <c r="H1673" s="8">
        <f>'Posted Sales Invoice Lines'!N1673</f>
        <v>40.11</v>
      </c>
      <c r="I1673" s="8">
        <f>'Posted Sales Invoice Lines'!O1673</f>
        <v>1925.28</v>
      </c>
    </row>
    <row r="1674" spans="1:9" x14ac:dyDescent="0.25">
      <c r="A1674" s="2" t="str">
        <f>'Posted Sales Invoice Lines'!A1674</f>
        <v>PS-INV222006</v>
      </c>
      <c r="B1674" s="2" t="str">
        <f>'Posted Sales Invoice Lines'!B1674</f>
        <v>10719-2</v>
      </c>
      <c r="C1674" s="2" t="str">
        <f>'Posted Sales Invoice Lines'!C1674</f>
        <v>US Foods - Fairburn</v>
      </c>
      <c r="D1674" s="2" t="str">
        <f>'Posted Sales Invoice Lines'!E1674</f>
        <v>F56560</v>
      </c>
      <c r="E1674" s="2" t="str">
        <f>'Posted Sales Invoice Lines'!F1674</f>
        <v>Gluten Free 3.5" Hamburger 36ct</v>
      </c>
      <c r="F1674" s="3">
        <f>'Posted Sales Invoice Lines'!G1674</f>
        <v>46181</v>
      </c>
      <c r="G1674" s="9">
        <f>'Posted Sales Invoice Lines'!L1674</f>
        <v>12</v>
      </c>
      <c r="H1674" s="8">
        <f>'Posted Sales Invoice Lines'!N1674</f>
        <v>48.57</v>
      </c>
      <c r="I1674" s="8">
        <f>'Posted Sales Invoice Lines'!O1674</f>
        <v>582.84</v>
      </c>
    </row>
    <row r="1675" spans="1:9" x14ac:dyDescent="0.25">
      <c r="A1675" s="2" t="str">
        <f>'Posted Sales Invoice Lines'!A1675</f>
        <v>PS-INV222006</v>
      </c>
      <c r="B1675" s="2" t="str">
        <f>'Posted Sales Invoice Lines'!B1675</f>
        <v>10719-2</v>
      </c>
      <c r="C1675" s="2" t="str">
        <f>'Posted Sales Invoice Lines'!C1675</f>
        <v>US Foods - Fairburn</v>
      </c>
      <c r="D1675" s="2" t="str">
        <f>'Posted Sales Invoice Lines'!E1675</f>
        <v>F53010</v>
      </c>
      <c r="E1675" s="2" t="str">
        <f>'Posted Sales Invoice Lines'!F1675</f>
        <v>Cs. Onion Roll 8-12pk</v>
      </c>
      <c r="F1675" s="3">
        <f>'Posted Sales Invoice Lines'!G1675</f>
        <v>46181</v>
      </c>
      <c r="G1675" s="9">
        <f>'Posted Sales Invoice Lines'!L1675</f>
        <v>32</v>
      </c>
      <c r="H1675" s="8">
        <f>'Posted Sales Invoice Lines'!N1675</f>
        <v>40.85</v>
      </c>
      <c r="I1675" s="8">
        <f>'Posted Sales Invoice Lines'!O1675</f>
        <v>1307.2</v>
      </c>
    </row>
    <row r="1676" spans="1:9" x14ac:dyDescent="0.25">
      <c r="A1676" s="2" t="str">
        <f>'Posted Sales Invoice Lines'!A1676</f>
        <v>PS-INV222006</v>
      </c>
      <c r="B1676" s="2" t="str">
        <f>'Posted Sales Invoice Lines'!B1676</f>
        <v>10719-2</v>
      </c>
      <c r="C1676" s="2" t="str">
        <f>'Posted Sales Invoice Lines'!C1676</f>
        <v>US Foods - Fairburn</v>
      </c>
      <c r="D1676" s="2" t="str">
        <f>'Posted Sales Invoice Lines'!E1676</f>
        <v>F53122</v>
      </c>
      <c r="E1676" s="2" t="str">
        <f>'Posted Sales Invoice Lines'!F1676</f>
        <v>Cs. 8" Italian Hinged 12-6pk</v>
      </c>
      <c r="F1676" s="3">
        <f>'Posted Sales Invoice Lines'!G1676</f>
        <v>46181</v>
      </c>
      <c r="G1676" s="9">
        <f>'Posted Sales Invoice Lines'!L1676</f>
        <v>116</v>
      </c>
      <c r="H1676" s="8">
        <f>'Posted Sales Invoice Lines'!N1676</f>
        <v>40.9</v>
      </c>
      <c r="I1676" s="8">
        <f>'Posted Sales Invoice Lines'!O1676</f>
        <v>4744.3999999999996</v>
      </c>
    </row>
    <row r="1677" spans="1:9" x14ac:dyDescent="0.25">
      <c r="A1677" s="2" t="str">
        <f>'Posted Sales Invoice Lines'!A1677</f>
        <v>PS-INV222006</v>
      </c>
      <c r="B1677" s="2" t="str">
        <f>'Posted Sales Invoice Lines'!B1677</f>
        <v>10719-2</v>
      </c>
      <c r="C1677" s="2" t="str">
        <f>'Posted Sales Invoice Lines'!C1677</f>
        <v>US Foods - Fairburn</v>
      </c>
      <c r="D1677" s="2" t="str">
        <f>'Posted Sales Invoice Lines'!E1677</f>
        <v>F53003</v>
      </c>
      <c r="E1677" s="2" t="str">
        <f>'Posted Sales Invoice Lines'!F1677</f>
        <v>Cs. 4" Unseeded Challah Bun 8-12pk</v>
      </c>
      <c r="F1677" s="3">
        <f>'Posted Sales Invoice Lines'!G1677</f>
        <v>46181</v>
      </c>
      <c r="G1677" s="9">
        <f>'Posted Sales Invoice Lines'!L1677</f>
        <v>128</v>
      </c>
      <c r="H1677" s="8">
        <f>'Posted Sales Invoice Lines'!N1677</f>
        <v>38.08</v>
      </c>
      <c r="I1677" s="8">
        <f>'Posted Sales Invoice Lines'!O1677</f>
        <v>4874.24</v>
      </c>
    </row>
    <row r="1678" spans="1:9" x14ac:dyDescent="0.25">
      <c r="A1678" s="2" t="str">
        <f>'Posted Sales Invoice Lines'!A1678</f>
        <v>PS-INV222006</v>
      </c>
      <c r="B1678" s="2" t="str">
        <f>'Posted Sales Invoice Lines'!B1678</f>
        <v>10719-2</v>
      </c>
      <c r="C1678" s="2" t="str">
        <f>'Posted Sales Invoice Lines'!C1678</f>
        <v>US Foods - Fairburn</v>
      </c>
      <c r="D1678" s="2" t="str">
        <f>'Posted Sales Invoice Lines'!E1678</f>
        <v>F53024</v>
      </c>
      <c r="E1678" s="2" t="str">
        <f>'Posted Sales Invoice Lines'!F1678</f>
        <v>Cs. 4" Challah Kaiser 8-12pk</v>
      </c>
      <c r="F1678" s="3">
        <f>'Posted Sales Invoice Lines'!G1678</f>
        <v>46181</v>
      </c>
      <c r="G1678" s="9">
        <f>'Posted Sales Invoice Lines'!L1678</f>
        <v>56</v>
      </c>
      <c r="H1678" s="8">
        <f>'Posted Sales Invoice Lines'!N1678</f>
        <v>40.22</v>
      </c>
      <c r="I1678" s="8">
        <f>'Posted Sales Invoice Lines'!O1678</f>
        <v>2252.3200000000002</v>
      </c>
    </row>
    <row r="1679" spans="1:9" x14ac:dyDescent="0.25">
      <c r="A1679" s="2" t="str">
        <f>'Posted Sales Invoice Lines'!A1679</f>
        <v>PS-INV222225</v>
      </c>
      <c r="B1679" s="2" t="str">
        <f>'Posted Sales Invoice Lines'!B1679</f>
        <v>13257</v>
      </c>
      <c r="C1679" s="2" t="str">
        <f>'Posted Sales Invoice Lines'!C1679</f>
        <v>PFG Springfield MA</v>
      </c>
      <c r="D1679" s="2" t="str">
        <f>'Posted Sales Invoice Lines'!E1679</f>
        <v>F53001</v>
      </c>
      <c r="E1679" s="2" t="str">
        <f>'Posted Sales Invoice Lines'!F1679</f>
        <v>Cs. 4" Brioche Bun 8-12pk</v>
      </c>
      <c r="F1679" s="3">
        <f>'Posted Sales Invoice Lines'!G1679</f>
        <v>46175</v>
      </c>
      <c r="G1679" s="9">
        <f>'Posted Sales Invoice Lines'!L1679</f>
        <v>672</v>
      </c>
      <c r="H1679" s="8">
        <f>'Posted Sales Invoice Lines'!N1679</f>
        <v>42.6</v>
      </c>
      <c r="I1679" s="8">
        <f>'Posted Sales Invoice Lines'!O1679</f>
        <v>28627.200000000001</v>
      </c>
    </row>
    <row r="1680" spans="1:9" x14ac:dyDescent="0.25">
      <c r="A1680" s="2" t="str">
        <f>'Posted Sales Invoice Lines'!A1680</f>
        <v>PS-INV222225</v>
      </c>
      <c r="B1680" s="2" t="str">
        <f>'Posted Sales Invoice Lines'!B1680</f>
        <v>13257</v>
      </c>
      <c r="C1680" s="2" t="str">
        <f>'Posted Sales Invoice Lines'!C1680</f>
        <v>PFG Springfield MA</v>
      </c>
      <c r="D1680" s="2" t="str">
        <f>'Posted Sales Invoice Lines'!E1680</f>
        <v>F53105</v>
      </c>
      <c r="E1680" s="2" t="str">
        <f>'Posted Sales Invoice Lines'!F1680</f>
        <v>Cs. 6" White Hot Dog 16-8pk</v>
      </c>
      <c r="F1680" s="3">
        <f>'Posted Sales Invoice Lines'!G1680</f>
        <v>46175</v>
      </c>
      <c r="G1680" s="9">
        <f>'Posted Sales Invoice Lines'!L1680</f>
        <v>168</v>
      </c>
      <c r="H1680" s="8">
        <f>'Posted Sales Invoice Lines'!N1680</f>
        <v>34.5</v>
      </c>
      <c r="I1680" s="8">
        <f>'Posted Sales Invoice Lines'!O1680</f>
        <v>5796</v>
      </c>
    </row>
    <row r="1681" spans="1:9" x14ac:dyDescent="0.25">
      <c r="A1681" s="2" t="str">
        <f>'Posted Sales Invoice Lines'!A1681</f>
        <v>PS-INV222981</v>
      </c>
      <c r="B1681" s="2" t="str">
        <f>'Posted Sales Invoice Lines'!B1681</f>
        <v>12988</v>
      </c>
      <c r="C1681" s="2" t="str">
        <f>'Posted Sales Invoice Lines'!C1681</f>
        <v>Sysco Norman OK</v>
      </c>
      <c r="D1681" s="2" t="str">
        <f>'Posted Sales Invoice Lines'!E1681</f>
        <v>F53001</v>
      </c>
      <c r="E1681" s="2" t="str">
        <f>'Posted Sales Invoice Lines'!F1681</f>
        <v>Cs. 4" Brioche Bun 8-12pk</v>
      </c>
      <c r="F1681" s="3">
        <f>'Posted Sales Invoice Lines'!G1681</f>
        <v>46183</v>
      </c>
      <c r="G1681" s="9">
        <f>'Posted Sales Invoice Lines'!L1681</f>
        <v>476</v>
      </c>
      <c r="H1681" s="8">
        <f>'Posted Sales Invoice Lines'!N1681</f>
        <v>46</v>
      </c>
      <c r="I1681" s="8">
        <f>'Posted Sales Invoice Lines'!O1681</f>
        <v>21896</v>
      </c>
    </row>
    <row r="1682" spans="1:9" x14ac:dyDescent="0.25">
      <c r="A1682" s="2" t="str">
        <f>'Posted Sales Invoice Lines'!A1682</f>
        <v>PS-INV222981</v>
      </c>
      <c r="B1682" s="2" t="str">
        <f>'Posted Sales Invoice Lines'!B1682</f>
        <v>12988</v>
      </c>
      <c r="C1682" s="2" t="str">
        <f>'Posted Sales Invoice Lines'!C1682</f>
        <v>Sysco Norman OK</v>
      </c>
      <c r="D1682" s="2" t="str">
        <f>'Posted Sales Invoice Lines'!E1682</f>
        <v>F530491</v>
      </c>
      <c r="E1682" s="2" t="str">
        <f>'Posted Sales Invoice Lines'!F1682</f>
        <v>Cs. 4.5 Brioche Bun 6-12pk</v>
      </c>
      <c r="F1682" s="3">
        <f>'Posted Sales Invoice Lines'!G1682</f>
        <v>46183</v>
      </c>
      <c r="G1682" s="9">
        <f>'Posted Sales Invoice Lines'!L1682</f>
        <v>49</v>
      </c>
      <c r="H1682" s="8">
        <f>'Posted Sales Invoice Lines'!N1682</f>
        <v>40</v>
      </c>
      <c r="I1682" s="8">
        <f>'Posted Sales Invoice Lines'!O1682</f>
        <v>1960</v>
      </c>
    </row>
    <row r="1683" spans="1:9" x14ac:dyDescent="0.25">
      <c r="A1683" s="2" t="str">
        <f>'Posted Sales Invoice Lines'!A1683</f>
        <v>PS-INV222981</v>
      </c>
      <c r="B1683" s="2" t="str">
        <f>'Posted Sales Invoice Lines'!B1683</f>
        <v>12988</v>
      </c>
      <c r="C1683" s="2" t="str">
        <f>'Posted Sales Invoice Lines'!C1683</f>
        <v>Sysco Norman OK</v>
      </c>
      <c r="D1683" s="2" t="str">
        <f>'Posted Sales Invoice Lines'!E1683</f>
        <v>F53106</v>
      </c>
      <c r="E1683" s="2" t="str">
        <f>'Posted Sales Invoice Lines'!F1683</f>
        <v>Cs. Large Hot Dog 12-6pk</v>
      </c>
      <c r="F1683" s="3">
        <f>'Posted Sales Invoice Lines'!G1683</f>
        <v>46183</v>
      </c>
      <c r="G1683" s="9">
        <f>'Posted Sales Invoice Lines'!L1683</f>
        <v>28</v>
      </c>
      <c r="H1683" s="8">
        <f>'Posted Sales Invoice Lines'!N1683</f>
        <v>38</v>
      </c>
      <c r="I1683" s="8">
        <f>'Posted Sales Invoice Lines'!O1683</f>
        <v>1064</v>
      </c>
    </row>
    <row r="1684" spans="1:9" x14ac:dyDescent="0.25">
      <c r="A1684" s="2" t="str">
        <f>'Posted Sales Invoice Lines'!A1684</f>
        <v>PS-INV222984</v>
      </c>
      <c r="B1684" s="2" t="str">
        <f>'Posted Sales Invoice Lines'!B1684</f>
        <v>12989</v>
      </c>
      <c r="C1684" s="2" t="str">
        <f>'Posted Sales Invoice Lines'!C1684</f>
        <v>Sysco Little Rock Arkansas</v>
      </c>
      <c r="D1684" s="2" t="str">
        <f>'Posted Sales Invoice Lines'!E1684</f>
        <v>F53116</v>
      </c>
      <c r="E1684" s="2" t="str">
        <f>'Posted Sales Invoice Lines'!F1684</f>
        <v>Cs. 7" French Hinged 12-6pk</v>
      </c>
      <c r="F1684" s="3">
        <f>'Posted Sales Invoice Lines'!G1684</f>
        <v>46183</v>
      </c>
      <c r="G1684" s="9">
        <f>'Posted Sales Invoice Lines'!L1684</f>
        <v>28</v>
      </c>
      <c r="H1684" s="8">
        <f>'Posted Sales Invoice Lines'!N1684</f>
        <v>35.75</v>
      </c>
      <c r="I1684" s="8">
        <f>'Posted Sales Invoice Lines'!O1684</f>
        <v>1001</v>
      </c>
    </row>
    <row r="1685" spans="1:9" x14ac:dyDescent="0.25">
      <c r="A1685" s="2" t="str">
        <f>'Posted Sales Invoice Lines'!A1685</f>
        <v>PS-INV222984</v>
      </c>
      <c r="B1685" s="2" t="str">
        <f>'Posted Sales Invoice Lines'!B1685</f>
        <v>12989</v>
      </c>
      <c r="C1685" s="2" t="str">
        <f>'Posted Sales Invoice Lines'!C1685</f>
        <v>Sysco Little Rock Arkansas</v>
      </c>
      <c r="D1685" s="2" t="str">
        <f>'Posted Sales Invoice Lines'!E1685</f>
        <v>F53001</v>
      </c>
      <c r="E1685" s="2" t="str">
        <f>'Posted Sales Invoice Lines'!F1685</f>
        <v>Cs. 4" Brioche Bun 8-12pk</v>
      </c>
      <c r="F1685" s="3">
        <f>'Posted Sales Invoice Lines'!G1685</f>
        <v>46183</v>
      </c>
      <c r="G1685" s="9">
        <f>'Posted Sales Invoice Lines'!L1685</f>
        <v>56</v>
      </c>
      <c r="H1685" s="8">
        <f>'Posted Sales Invoice Lines'!N1685</f>
        <v>50.6</v>
      </c>
      <c r="I1685" s="8">
        <f>'Posted Sales Invoice Lines'!O1685</f>
        <v>2833.6</v>
      </c>
    </row>
    <row r="1686" spans="1:9" x14ac:dyDescent="0.25">
      <c r="A1686" s="2" t="str">
        <f>'Posted Sales Invoice Lines'!A1686</f>
        <v>PS-INV222984</v>
      </c>
      <c r="B1686" s="2" t="str">
        <f>'Posted Sales Invoice Lines'!B1686</f>
        <v>12989</v>
      </c>
      <c r="C1686" s="2" t="str">
        <f>'Posted Sales Invoice Lines'!C1686</f>
        <v>Sysco Little Rock Arkansas</v>
      </c>
      <c r="D1686" s="2" t="str">
        <f>'Posted Sales Invoice Lines'!E1686</f>
        <v>F53115</v>
      </c>
      <c r="E1686" s="2" t="str">
        <f>'Posted Sales Invoice Lines'!F1686</f>
        <v>Cs. 7" French Unsliced 12-6pk</v>
      </c>
      <c r="F1686" s="3">
        <f>'Posted Sales Invoice Lines'!G1686</f>
        <v>46183</v>
      </c>
      <c r="G1686" s="9">
        <f>'Posted Sales Invoice Lines'!L1686</f>
        <v>196</v>
      </c>
      <c r="H1686" s="8">
        <f>'Posted Sales Invoice Lines'!N1686</f>
        <v>35</v>
      </c>
      <c r="I1686" s="8">
        <f>'Posted Sales Invoice Lines'!O1686</f>
        <v>6860</v>
      </c>
    </row>
    <row r="1687" spans="1:9" x14ac:dyDescent="0.25">
      <c r="A1687" s="2" t="str">
        <f>'Posted Sales Invoice Lines'!A1687</f>
        <v>PS-INV223008</v>
      </c>
      <c r="B1687" s="2" t="str">
        <f>'Posted Sales Invoice Lines'!B1687</f>
        <v>12438</v>
      </c>
      <c r="C1687" s="2" t="str">
        <f>'Posted Sales Invoice Lines'!C1687</f>
        <v>SGC Foodservice</v>
      </c>
      <c r="D1687" s="2" t="str">
        <f>'Posted Sales Invoice Lines'!E1687</f>
        <v>F530142</v>
      </c>
      <c r="E1687" s="2" t="str">
        <f>'Posted Sales Invoice Lines'!F1687</f>
        <v>Cs. Knot Roll 8-12pk</v>
      </c>
      <c r="F1687" s="3">
        <f>'Posted Sales Invoice Lines'!G1687</f>
        <v>46182</v>
      </c>
      <c r="G1687" s="9">
        <f>'Posted Sales Invoice Lines'!L1687</f>
        <v>136</v>
      </c>
      <c r="H1687" s="8">
        <f>'Posted Sales Invoice Lines'!N1687</f>
        <v>33.42</v>
      </c>
      <c r="I1687" s="8">
        <f>'Posted Sales Invoice Lines'!O1687</f>
        <v>4545.12</v>
      </c>
    </row>
    <row r="1688" spans="1:9" x14ac:dyDescent="0.25">
      <c r="A1688" s="2" t="str">
        <f>'Posted Sales Invoice Lines'!A1688</f>
        <v>PS-INV223450</v>
      </c>
      <c r="B1688" s="2" t="str">
        <f>'Posted Sales Invoice Lines'!B1688</f>
        <v>13128</v>
      </c>
      <c r="C1688" s="2" t="str">
        <f>'Posted Sales Invoice Lines'!C1688</f>
        <v>Gordon Food Service - Shepherdsville</v>
      </c>
      <c r="D1688" s="2" t="str">
        <f>'Posted Sales Invoice Lines'!E1688</f>
        <v>F53001</v>
      </c>
      <c r="E1688" s="2" t="str">
        <f>'Posted Sales Invoice Lines'!F1688</f>
        <v>Cs. 4" Brioche Bun 8-12pk</v>
      </c>
      <c r="F1688" s="3">
        <f>'Posted Sales Invoice Lines'!G1688</f>
        <v>46182</v>
      </c>
      <c r="G1688" s="9">
        <f>'Posted Sales Invoice Lines'!L1688</f>
        <v>512</v>
      </c>
      <c r="H1688" s="8">
        <f>'Posted Sales Invoice Lines'!N1688</f>
        <v>36.82</v>
      </c>
      <c r="I1688" s="8">
        <f>'Posted Sales Invoice Lines'!O1688</f>
        <v>18851.84</v>
      </c>
    </row>
    <row r="1689" spans="1:9" x14ac:dyDescent="0.25">
      <c r="A1689" s="2" t="str">
        <f>'Posted Sales Invoice Lines'!A1689</f>
        <v>PS-INV223450</v>
      </c>
      <c r="B1689" s="2" t="str">
        <f>'Posted Sales Invoice Lines'!B1689</f>
        <v>13128</v>
      </c>
      <c r="C1689" s="2" t="str">
        <f>'Posted Sales Invoice Lines'!C1689</f>
        <v>Gordon Food Service - Shepherdsville</v>
      </c>
      <c r="D1689" s="2" t="str">
        <f>'Posted Sales Invoice Lines'!E1689</f>
        <v>F51114</v>
      </c>
      <c r="E1689" s="2" t="str">
        <f>'Posted Sales Invoice Lines'!F1689</f>
        <v>Cs. Old Fashioned Hearth 5/8" 8lvs</v>
      </c>
      <c r="F1689" s="3">
        <f>'Posted Sales Invoice Lines'!G1689</f>
        <v>46182</v>
      </c>
      <c r="G1689" s="9">
        <f>'Posted Sales Invoice Lines'!L1689</f>
        <v>328</v>
      </c>
      <c r="H1689" s="8">
        <f>'Posted Sales Invoice Lines'!N1689</f>
        <v>39.700000000000003</v>
      </c>
      <c r="I1689" s="8">
        <f>'Posted Sales Invoice Lines'!O1689</f>
        <v>13021.6</v>
      </c>
    </row>
    <row r="1690" spans="1:9" x14ac:dyDescent="0.25">
      <c r="A1690" s="2" t="str">
        <f>'Posted Sales Invoice Lines'!A1690</f>
        <v>PS-INV223452</v>
      </c>
      <c r="B1690" s="2" t="str">
        <f>'Posted Sales Invoice Lines'!B1690</f>
        <v>10719-12</v>
      </c>
      <c r="C1690" s="2" t="str">
        <f>'Posted Sales Invoice Lines'!C1690</f>
        <v>US Foods - Port Orange</v>
      </c>
      <c r="D1690" s="2" t="str">
        <f>'Posted Sales Invoice Lines'!E1690</f>
        <v>F53002</v>
      </c>
      <c r="E1690" s="2" t="str">
        <f>'Posted Sales Invoice Lines'!F1690</f>
        <v>Cs. 4" Challah Sesame Bun 8-12pk</v>
      </c>
      <c r="F1690" s="3">
        <f>'Posted Sales Invoice Lines'!G1690</f>
        <v>46188</v>
      </c>
      <c r="G1690" s="9">
        <f>'Posted Sales Invoice Lines'!L1690</f>
        <v>600</v>
      </c>
      <c r="H1690" s="8">
        <f>'Posted Sales Invoice Lines'!N1690</f>
        <v>41.66</v>
      </c>
      <c r="I1690" s="8">
        <f>'Posted Sales Invoice Lines'!O1690</f>
        <v>24996</v>
      </c>
    </row>
    <row r="1691" spans="1:9" x14ac:dyDescent="0.25">
      <c r="A1691" s="2" t="str">
        <f>'Posted Sales Invoice Lines'!A1691</f>
        <v>PS-INV223452</v>
      </c>
      <c r="B1691" s="2" t="str">
        <f>'Posted Sales Invoice Lines'!B1691</f>
        <v>10719-12</v>
      </c>
      <c r="C1691" s="2" t="str">
        <f>'Posted Sales Invoice Lines'!C1691</f>
        <v>US Foods - Port Orange</v>
      </c>
      <c r="D1691" s="2" t="str">
        <f>'Posted Sales Invoice Lines'!E1691</f>
        <v>F52902</v>
      </c>
      <c r="E1691" s="2" t="str">
        <f>'Posted Sales Invoice Lines'!F1691</f>
        <v>Cs. 22" Rye Baguette 10-2pk</v>
      </c>
      <c r="F1691" s="3">
        <f>'Posted Sales Invoice Lines'!G1691</f>
        <v>46188</v>
      </c>
      <c r="G1691" s="9">
        <f>'Posted Sales Invoice Lines'!L1691</f>
        <v>32</v>
      </c>
      <c r="H1691" s="8">
        <f>'Posted Sales Invoice Lines'!N1691</f>
        <v>42.53</v>
      </c>
      <c r="I1691" s="8">
        <f>'Posted Sales Invoice Lines'!O1691</f>
        <v>1360.96</v>
      </c>
    </row>
    <row r="1692" spans="1:9" x14ac:dyDescent="0.25">
      <c r="A1692" s="2" t="str">
        <f>'Posted Sales Invoice Lines'!A1692</f>
        <v>PS-INV223452</v>
      </c>
      <c r="B1692" s="2" t="str">
        <f>'Posted Sales Invoice Lines'!B1692</f>
        <v>10719-12</v>
      </c>
      <c r="C1692" s="2" t="str">
        <f>'Posted Sales Invoice Lines'!C1692</f>
        <v>US Foods - Port Orange</v>
      </c>
      <c r="D1692" s="2" t="str">
        <f>'Posted Sales Invoice Lines'!E1692</f>
        <v>F52007</v>
      </c>
      <c r="E1692" s="2" t="str">
        <f>'Posted Sales Invoice Lines'!F1692</f>
        <v>Cs. 22" 17oz French 10-2pk</v>
      </c>
      <c r="F1692" s="3">
        <f>'Posted Sales Invoice Lines'!G1692</f>
        <v>46188</v>
      </c>
      <c r="G1692" s="9">
        <f>'Posted Sales Invoice Lines'!L1692</f>
        <v>32</v>
      </c>
      <c r="H1692" s="8">
        <f>'Posted Sales Invoice Lines'!N1692</f>
        <v>39.96</v>
      </c>
      <c r="I1692" s="8">
        <f>'Posted Sales Invoice Lines'!O1692</f>
        <v>1278.72</v>
      </c>
    </row>
    <row r="1693" spans="1:9" x14ac:dyDescent="0.25">
      <c r="A1693" s="2" t="str">
        <f>'Posted Sales Invoice Lines'!A1693</f>
        <v>PS-INV223452</v>
      </c>
      <c r="B1693" s="2" t="str">
        <f>'Posted Sales Invoice Lines'!B1693</f>
        <v>10719-12</v>
      </c>
      <c r="C1693" s="2" t="str">
        <f>'Posted Sales Invoice Lines'!C1693</f>
        <v>US Foods - Port Orange</v>
      </c>
      <c r="D1693" s="2" t="str">
        <f>'Posted Sales Invoice Lines'!E1693</f>
        <v>F53000</v>
      </c>
      <c r="E1693" s="2" t="str">
        <f>'Posted Sales Invoice Lines'!F1693</f>
        <v>Cs. 4" Hamburger Bun 8-12pk</v>
      </c>
      <c r="F1693" s="3">
        <f>'Posted Sales Invoice Lines'!G1693</f>
        <v>46188</v>
      </c>
      <c r="G1693" s="9">
        <f>'Posted Sales Invoice Lines'!L1693</f>
        <v>64</v>
      </c>
      <c r="H1693" s="8">
        <f>'Posted Sales Invoice Lines'!N1693</f>
        <v>33.5</v>
      </c>
      <c r="I1693" s="8">
        <f>'Posted Sales Invoice Lines'!O1693</f>
        <v>2144</v>
      </c>
    </row>
    <row r="1694" spans="1:9" x14ac:dyDescent="0.25">
      <c r="A1694" s="2" t="str">
        <f>'Posted Sales Invoice Lines'!A1694</f>
        <v>PS-INV223459</v>
      </c>
      <c r="B1694" s="2" t="str">
        <f>'Posted Sales Invoice Lines'!B1694</f>
        <v>10540-01</v>
      </c>
      <c r="C1694" s="2" t="str">
        <f>'Posted Sales Invoice Lines'!C1694</f>
        <v>PFG Johnson City TN</v>
      </c>
      <c r="D1694" s="2" t="str">
        <f>'Posted Sales Invoice Lines'!E1694</f>
        <v>F53001</v>
      </c>
      <c r="E1694" s="2" t="str">
        <f>'Posted Sales Invoice Lines'!F1694</f>
        <v>Cs. 4" Brioche Bun 8-12pk</v>
      </c>
      <c r="F1694" s="3">
        <f>'Posted Sales Invoice Lines'!G1694</f>
        <v>46183</v>
      </c>
      <c r="G1694" s="9">
        <f>'Posted Sales Invoice Lines'!L1694</f>
        <v>12</v>
      </c>
      <c r="H1694" s="8">
        <f>'Posted Sales Invoice Lines'!N1694</f>
        <v>44</v>
      </c>
      <c r="I1694" s="8">
        <f>'Posted Sales Invoice Lines'!O1694</f>
        <v>528</v>
      </c>
    </row>
    <row r="1695" spans="1:9" x14ac:dyDescent="0.25">
      <c r="A1695" s="2" t="str">
        <f>'Posted Sales Invoice Lines'!A1695</f>
        <v>PS-INV223459</v>
      </c>
      <c r="B1695" s="2" t="str">
        <f>'Posted Sales Invoice Lines'!B1695</f>
        <v>10540-01</v>
      </c>
      <c r="C1695" s="2" t="str">
        <f>'Posted Sales Invoice Lines'!C1695</f>
        <v>PFG Johnson City TN</v>
      </c>
      <c r="D1695" s="2" t="str">
        <f>'Posted Sales Invoice Lines'!E1695</f>
        <v>F56251</v>
      </c>
      <c r="E1695" s="2" t="str">
        <f>'Posted Sales Invoice Lines'!F1695</f>
        <v>Cs. Challah Sliders Sliced 18-12pks</v>
      </c>
      <c r="F1695" s="3">
        <f>'Posted Sales Invoice Lines'!G1695</f>
        <v>46183</v>
      </c>
      <c r="G1695" s="9">
        <f>'Posted Sales Invoice Lines'!L1695</f>
        <v>4</v>
      </c>
      <c r="H1695" s="8">
        <f>'Posted Sales Invoice Lines'!N1695</f>
        <v>42.11</v>
      </c>
      <c r="I1695" s="8">
        <f>'Posted Sales Invoice Lines'!O1695</f>
        <v>168.44</v>
      </c>
    </row>
    <row r="1696" spans="1:9" x14ac:dyDescent="0.25">
      <c r="A1696" s="2" t="str">
        <f>'Posted Sales Invoice Lines'!A1696</f>
        <v>PS-INV223459</v>
      </c>
      <c r="B1696" s="2" t="str">
        <f>'Posted Sales Invoice Lines'!B1696</f>
        <v>10540-01</v>
      </c>
      <c r="C1696" s="2" t="str">
        <f>'Posted Sales Invoice Lines'!C1696</f>
        <v>PFG Johnson City TN</v>
      </c>
      <c r="D1696" s="2" t="str">
        <f>'Posted Sales Invoice Lines'!E1696</f>
        <v>F53003</v>
      </c>
      <c r="E1696" s="2" t="str">
        <f>'Posted Sales Invoice Lines'!F1696</f>
        <v>Cs. 4" Unseeded Challah Bun 8-12pk</v>
      </c>
      <c r="F1696" s="3">
        <f>'Posted Sales Invoice Lines'!G1696</f>
        <v>46183</v>
      </c>
      <c r="G1696" s="9">
        <f>'Posted Sales Invoice Lines'!L1696</f>
        <v>84</v>
      </c>
      <c r="H1696" s="8">
        <f>'Posted Sales Invoice Lines'!N1696</f>
        <v>38.75</v>
      </c>
      <c r="I1696" s="8">
        <f>'Posted Sales Invoice Lines'!O1696</f>
        <v>3255</v>
      </c>
    </row>
    <row r="1697" spans="1:9" x14ac:dyDescent="0.25">
      <c r="A1697" s="2" t="str">
        <f>'Posted Sales Invoice Lines'!A1697</f>
        <v>PS-INV223459</v>
      </c>
      <c r="B1697" s="2" t="str">
        <f>'Posted Sales Invoice Lines'!B1697</f>
        <v>10540-01</v>
      </c>
      <c r="C1697" s="2" t="str">
        <f>'Posted Sales Invoice Lines'!C1697</f>
        <v>PFG Johnson City TN</v>
      </c>
      <c r="D1697" s="2" t="str">
        <f>'Posted Sales Invoice Lines'!E1697</f>
        <v>F531052</v>
      </c>
      <c r="E1697" s="2" t="str">
        <f>'Posted Sales Invoice Lines'!F1697</f>
        <v>Cs. 6" Hot Dog Top Sliced 12-12pk</v>
      </c>
      <c r="F1697" s="3">
        <f>'Posted Sales Invoice Lines'!G1697</f>
        <v>46183</v>
      </c>
      <c r="G1697" s="9">
        <f>'Posted Sales Invoice Lines'!L1697</f>
        <v>16</v>
      </c>
      <c r="H1697" s="8">
        <f>'Posted Sales Invoice Lines'!N1697</f>
        <v>40.78</v>
      </c>
      <c r="I1697" s="8">
        <f>'Posted Sales Invoice Lines'!O1697</f>
        <v>652.48</v>
      </c>
    </row>
    <row r="1698" spans="1:9" x14ac:dyDescent="0.25">
      <c r="A1698" s="2" t="str">
        <f>'Posted Sales Invoice Lines'!A1698</f>
        <v>PS-INV223459</v>
      </c>
      <c r="B1698" s="2" t="str">
        <f>'Posted Sales Invoice Lines'!B1698</f>
        <v>10540-01</v>
      </c>
      <c r="C1698" s="2" t="str">
        <f>'Posted Sales Invoice Lines'!C1698</f>
        <v>PFG Johnson City TN</v>
      </c>
      <c r="D1698" s="2" t="str">
        <f>'Posted Sales Invoice Lines'!E1698</f>
        <v>F51157</v>
      </c>
      <c r="E1698" s="2" t="str">
        <f>'Posted Sales Invoice Lines'!F1698</f>
        <v>Cs. Challah Hearth 7/8" 8lvs</v>
      </c>
      <c r="F1698" s="3">
        <f>'Posted Sales Invoice Lines'!G1698</f>
        <v>46183</v>
      </c>
      <c r="G1698" s="9">
        <f>'Posted Sales Invoice Lines'!L1698</f>
        <v>16</v>
      </c>
      <c r="H1698" s="8">
        <f>'Posted Sales Invoice Lines'!N1698</f>
        <v>44.65</v>
      </c>
      <c r="I1698" s="8">
        <f>'Posted Sales Invoice Lines'!O1698</f>
        <v>714.4</v>
      </c>
    </row>
    <row r="1699" spans="1:9" x14ac:dyDescent="0.25">
      <c r="A1699" s="2" t="str">
        <f>'Posted Sales Invoice Lines'!A1699</f>
        <v>PS-INV223459</v>
      </c>
      <c r="B1699" s="2" t="str">
        <f>'Posted Sales Invoice Lines'!B1699</f>
        <v>10540-01</v>
      </c>
      <c r="C1699" s="2" t="str">
        <f>'Posted Sales Invoice Lines'!C1699</f>
        <v>PFG Johnson City TN</v>
      </c>
      <c r="D1699" s="2" t="str">
        <f>'Posted Sales Invoice Lines'!E1699</f>
        <v>F51136</v>
      </c>
      <c r="E1699" s="2" t="str">
        <f>'Posted Sales Invoice Lines'!F1699</f>
        <v>Cs. Texas Toast 1" 12lvs</v>
      </c>
      <c r="F1699" s="3">
        <f>'Posted Sales Invoice Lines'!G1699</f>
        <v>46183</v>
      </c>
      <c r="G1699" s="9">
        <f>'Posted Sales Invoice Lines'!L1699</f>
        <v>24</v>
      </c>
      <c r="H1699" s="8">
        <f>'Posted Sales Invoice Lines'!N1699</f>
        <v>40.619999999999997</v>
      </c>
      <c r="I1699" s="8">
        <f>'Posted Sales Invoice Lines'!O1699</f>
        <v>974.88</v>
      </c>
    </row>
    <row r="1700" spans="1:9" x14ac:dyDescent="0.25">
      <c r="A1700" s="2" t="str">
        <f>'Posted Sales Invoice Lines'!A1700</f>
        <v>PS-INV223459</v>
      </c>
      <c r="B1700" s="2" t="str">
        <f>'Posted Sales Invoice Lines'!B1700</f>
        <v>10540-01</v>
      </c>
      <c r="C1700" s="2" t="str">
        <f>'Posted Sales Invoice Lines'!C1700</f>
        <v>PFG Johnson City TN</v>
      </c>
      <c r="D1700" s="2" t="str">
        <f>'Posted Sales Invoice Lines'!E1700</f>
        <v>F51000</v>
      </c>
      <c r="E1700" s="2" t="str">
        <f>'Posted Sales Invoice Lines'!F1700</f>
        <v>Cs. Rye Bread 8lvs</v>
      </c>
      <c r="F1700" s="3">
        <f>'Posted Sales Invoice Lines'!G1700</f>
        <v>46183</v>
      </c>
      <c r="G1700" s="9">
        <f>'Posted Sales Invoice Lines'!L1700</f>
        <v>8</v>
      </c>
      <c r="H1700" s="8">
        <f>'Posted Sales Invoice Lines'!N1700</f>
        <v>41.6</v>
      </c>
      <c r="I1700" s="8">
        <f>'Posted Sales Invoice Lines'!O1700</f>
        <v>332.8</v>
      </c>
    </row>
    <row r="1701" spans="1:9" x14ac:dyDescent="0.25">
      <c r="A1701" s="2" t="str">
        <f>'Posted Sales Invoice Lines'!A1701</f>
        <v>PS-INV223459</v>
      </c>
      <c r="B1701" s="2" t="str">
        <f>'Posted Sales Invoice Lines'!B1701</f>
        <v>10540-01</v>
      </c>
      <c r="C1701" s="2" t="str">
        <f>'Posted Sales Invoice Lines'!C1701</f>
        <v>PFG Johnson City TN</v>
      </c>
      <c r="D1701" s="2" t="str">
        <f>'Posted Sales Invoice Lines'!E1701</f>
        <v>F53094</v>
      </c>
      <c r="E1701" s="2" t="str">
        <f>'Posted Sales Invoice Lines'!F1701</f>
        <v>Cs. 6" Italian 12-6pks</v>
      </c>
      <c r="F1701" s="3">
        <f>'Posted Sales Invoice Lines'!G1701</f>
        <v>46183</v>
      </c>
      <c r="G1701" s="9">
        <f>'Posted Sales Invoice Lines'!L1701</f>
        <v>72</v>
      </c>
      <c r="H1701" s="8">
        <f>'Posted Sales Invoice Lines'!N1701</f>
        <v>35</v>
      </c>
      <c r="I1701" s="8">
        <f>'Posted Sales Invoice Lines'!O1701</f>
        <v>2520</v>
      </c>
    </row>
    <row r="1702" spans="1:9" x14ac:dyDescent="0.25">
      <c r="A1702" s="2" t="str">
        <f>'Posted Sales Invoice Lines'!A1702</f>
        <v>PS-INV223459</v>
      </c>
      <c r="B1702" s="2" t="str">
        <f>'Posted Sales Invoice Lines'!B1702</f>
        <v>10540-01</v>
      </c>
      <c r="C1702" s="2" t="str">
        <f>'Posted Sales Invoice Lines'!C1702</f>
        <v>PFG Johnson City TN</v>
      </c>
      <c r="D1702" s="2" t="str">
        <f>'Posted Sales Invoice Lines'!E1702</f>
        <v>F51024</v>
      </c>
      <c r="E1702" s="2" t="str">
        <f>'Posted Sales Invoice Lines'!F1702</f>
        <v>Cs. Marble Rye 5/8" 8lvs</v>
      </c>
      <c r="F1702" s="3">
        <f>'Posted Sales Invoice Lines'!G1702</f>
        <v>46183</v>
      </c>
      <c r="G1702" s="9">
        <f>'Posted Sales Invoice Lines'!L1702</f>
        <v>16</v>
      </c>
      <c r="H1702" s="8">
        <f>'Posted Sales Invoice Lines'!N1702</f>
        <v>53</v>
      </c>
      <c r="I1702" s="8">
        <f>'Posted Sales Invoice Lines'!O1702</f>
        <v>848</v>
      </c>
    </row>
    <row r="1703" spans="1:9" x14ac:dyDescent="0.25">
      <c r="A1703" s="2" t="str">
        <f>'Posted Sales Invoice Lines'!A1703</f>
        <v>PS-INV223459</v>
      </c>
      <c r="B1703" s="2" t="str">
        <f>'Posted Sales Invoice Lines'!B1703</f>
        <v>10540-01</v>
      </c>
      <c r="C1703" s="2" t="str">
        <f>'Posted Sales Invoice Lines'!C1703</f>
        <v>PFG Johnson City TN</v>
      </c>
      <c r="D1703" s="2" t="str">
        <f>'Posted Sales Invoice Lines'!E1703</f>
        <v>F51034</v>
      </c>
      <c r="E1703" s="2" t="str">
        <f>'Posted Sales Invoice Lines'!F1703</f>
        <v>Cs. Sour Dough Hearth 5/8" 8lvs</v>
      </c>
      <c r="F1703" s="3">
        <f>'Posted Sales Invoice Lines'!G1703</f>
        <v>46183</v>
      </c>
      <c r="G1703" s="9">
        <f>'Posted Sales Invoice Lines'!L1703</f>
        <v>48</v>
      </c>
      <c r="H1703" s="8">
        <f>'Posted Sales Invoice Lines'!N1703</f>
        <v>43.82</v>
      </c>
      <c r="I1703" s="8">
        <f>'Posted Sales Invoice Lines'!O1703</f>
        <v>2103.36</v>
      </c>
    </row>
    <row r="1704" spans="1:9" x14ac:dyDescent="0.25">
      <c r="A1704" s="2" t="str">
        <f>'Posted Sales Invoice Lines'!A1704</f>
        <v>PS-INV223459</v>
      </c>
      <c r="B1704" s="2" t="str">
        <f>'Posted Sales Invoice Lines'!B1704</f>
        <v>10540-01</v>
      </c>
      <c r="C1704" s="2" t="str">
        <f>'Posted Sales Invoice Lines'!C1704</f>
        <v>PFG Johnson City TN</v>
      </c>
      <c r="D1704" s="2" t="str">
        <f>'Posted Sales Invoice Lines'!E1704</f>
        <v>F51383</v>
      </c>
      <c r="E1704" s="2" t="str">
        <f>'Posted Sales Invoice Lines'!F1704</f>
        <v>Cs. Challah Pullman 3/4" 10lvs</v>
      </c>
      <c r="F1704" s="3">
        <f>'Posted Sales Invoice Lines'!G1704</f>
        <v>46183</v>
      </c>
      <c r="G1704" s="9">
        <f>'Posted Sales Invoice Lines'!L1704</f>
        <v>16</v>
      </c>
      <c r="H1704" s="8">
        <f>'Posted Sales Invoice Lines'!N1704</f>
        <v>55.13</v>
      </c>
      <c r="I1704" s="8">
        <f>'Posted Sales Invoice Lines'!O1704</f>
        <v>882.08</v>
      </c>
    </row>
    <row r="1705" spans="1:9" x14ac:dyDescent="0.25">
      <c r="A1705" s="2" t="str">
        <f>'Posted Sales Invoice Lines'!A1705</f>
        <v>PS-INV223462</v>
      </c>
      <c r="B1705" s="2" t="str">
        <f>'Posted Sales Invoice Lines'!B1705</f>
        <v>10719-6</v>
      </c>
      <c r="C1705" s="2" t="str">
        <f>'Posted Sales Invoice Lines'!C1705</f>
        <v>US Foods - Alcoa TN.</v>
      </c>
      <c r="D1705" s="2" t="str">
        <f>'Posted Sales Invoice Lines'!E1705</f>
        <v>F53094</v>
      </c>
      <c r="E1705" s="2" t="str">
        <f>'Posted Sales Invoice Lines'!F1705</f>
        <v>Cs. 6" Italian 12-6pks</v>
      </c>
      <c r="F1705" s="3">
        <f>'Posted Sales Invoice Lines'!G1705</f>
        <v>46189</v>
      </c>
      <c r="G1705" s="9">
        <f>'Posted Sales Invoice Lines'!L1705</f>
        <v>28</v>
      </c>
      <c r="H1705" s="8">
        <f>'Posted Sales Invoice Lines'!N1705</f>
        <v>35</v>
      </c>
      <c r="I1705" s="8">
        <f>'Posted Sales Invoice Lines'!O1705</f>
        <v>980</v>
      </c>
    </row>
    <row r="1706" spans="1:9" x14ac:dyDescent="0.25">
      <c r="A1706" s="2" t="str">
        <f>'Posted Sales Invoice Lines'!A1706</f>
        <v>PS-INV223462</v>
      </c>
      <c r="B1706" s="2" t="str">
        <f>'Posted Sales Invoice Lines'!B1706</f>
        <v>10719-6</v>
      </c>
      <c r="C1706" s="2" t="str">
        <f>'Posted Sales Invoice Lines'!C1706</f>
        <v>US Foods - Alcoa TN.</v>
      </c>
      <c r="D1706" s="2" t="str">
        <f>'Posted Sales Invoice Lines'!E1706</f>
        <v>F51136</v>
      </c>
      <c r="E1706" s="2" t="str">
        <f>'Posted Sales Invoice Lines'!F1706</f>
        <v>Cs. Texas Toast 1" 12lvs</v>
      </c>
      <c r="F1706" s="3">
        <f>'Posted Sales Invoice Lines'!G1706</f>
        <v>46189</v>
      </c>
      <c r="G1706" s="9">
        <f>'Posted Sales Invoice Lines'!L1706</f>
        <v>48</v>
      </c>
      <c r="H1706" s="8">
        <f>'Posted Sales Invoice Lines'!N1706</f>
        <v>40.119999999999997</v>
      </c>
      <c r="I1706" s="8">
        <f>'Posted Sales Invoice Lines'!O1706</f>
        <v>1925.76</v>
      </c>
    </row>
    <row r="1707" spans="1:9" x14ac:dyDescent="0.25">
      <c r="A1707" s="2" t="str">
        <f>'Posted Sales Invoice Lines'!A1707</f>
        <v>PS-INV223462</v>
      </c>
      <c r="B1707" s="2" t="str">
        <f>'Posted Sales Invoice Lines'!B1707</f>
        <v>10719-6</v>
      </c>
      <c r="C1707" s="2" t="str">
        <f>'Posted Sales Invoice Lines'!C1707</f>
        <v>US Foods - Alcoa TN.</v>
      </c>
      <c r="D1707" s="2" t="str">
        <f>'Posted Sales Invoice Lines'!E1707</f>
        <v>F51004</v>
      </c>
      <c r="E1707" s="2" t="str">
        <f>'Posted Sales Invoice Lines'!F1707</f>
        <v>Cs. Rye 5/8" 8lvs</v>
      </c>
      <c r="F1707" s="3">
        <f>'Posted Sales Invoice Lines'!G1707</f>
        <v>46189</v>
      </c>
      <c r="G1707" s="9">
        <f>'Posted Sales Invoice Lines'!L1707</f>
        <v>12</v>
      </c>
      <c r="H1707" s="8">
        <f>'Posted Sales Invoice Lines'!N1707</f>
        <v>42.03</v>
      </c>
      <c r="I1707" s="8">
        <f>'Posted Sales Invoice Lines'!O1707</f>
        <v>504.36</v>
      </c>
    </row>
    <row r="1708" spans="1:9" x14ac:dyDescent="0.25">
      <c r="A1708" s="2" t="str">
        <f>'Posted Sales Invoice Lines'!A1708</f>
        <v>PS-INV223462</v>
      </c>
      <c r="B1708" s="2" t="str">
        <f>'Posted Sales Invoice Lines'!B1708</f>
        <v>10719-6</v>
      </c>
      <c r="C1708" s="2" t="str">
        <f>'Posted Sales Invoice Lines'!C1708</f>
        <v>US Foods - Alcoa TN.</v>
      </c>
      <c r="D1708" s="2" t="str">
        <f>'Posted Sales Invoice Lines'!E1708</f>
        <v>F53025</v>
      </c>
      <c r="E1708" s="2" t="str">
        <f>'Posted Sales Invoice Lines'!F1708</f>
        <v>Cs. Sesame Challah Kaiser 8-12pk</v>
      </c>
      <c r="F1708" s="3">
        <f>'Posted Sales Invoice Lines'!G1708</f>
        <v>46189</v>
      </c>
      <c r="G1708" s="9">
        <f>'Posted Sales Invoice Lines'!L1708</f>
        <v>140</v>
      </c>
      <c r="H1708" s="8">
        <f>'Posted Sales Invoice Lines'!N1708</f>
        <v>39</v>
      </c>
      <c r="I1708" s="8">
        <f>'Posted Sales Invoice Lines'!O1708</f>
        <v>5460</v>
      </c>
    </row>
    <row r="1709" spans="1:9" x14ac:dyDescent="0.25">
      <c r="A1709" s="2" t="str">
        <f>'Posted Sales Invoice Lines'!A1709</f>
        <v>PS-INV223462</v>
      </c>
      <c r="B1709" s="2" t="str">
        <f>'Posted Sales Invoice Lines'!B1709</f>
        <v>10719-6</v>
      </c>
      <c r="C1709" s="2" t="str">
        <f>'Posted Sales Invoice Lines'!C1709</f>
        <v>US Foods - Alcoa TN.</v>
      </c>
      <c r="D1709" s="2" t="str">
        <f>'Posted Sales Invoice Lines'!E1709</f>
        <v>F53087</v>
      </c>
      <c r="E1709" s="2" t="str">
        <f>'Posted Sales Invoice Lines'!F1709</f>
        <v>Cs. 3.5" Challah Bun 8-12 pk</v>
      </c>
      <c r="F1709" s="3">
        <f>'Posted Sales Invoice Lines'!G1709</f>
        <v>46189</v>
      </c>
      <c r="G1709" s="9">
        <f>'Posted Sales Invoice Lines'!L1709</f>
        <v>56</v>
      </c>
      <c r="H1709" s="8">
        <f>'Posted Sales Invoice Lines'!N1709</f>
        <v>36.24</v>
      </c>
      <c r="I1709" s="8">
        <f>'Posted Sales Invoice Lines'!O1709</f>
        <v>2029.44</v>
      </c>
    </row>
    <row r="1710" spans="1:9" x14ac:dyDescent="0.25">
      <c r="A1710" s="2" t="str">
        <f>'Posted Sales Invoice Lines'!A1710</f>
        <v>PS-INV223462</v>
      </c>
      <c r="B1710" s="2" t="str">
        <f>'Posted Sales Invoice Lines'!B1710</f>
        <v>10719-6</v>
      </c>
      <c r="C1710" s="2" t="str">
        <f>'Posted Sales Invoice Lines'!C1710</f>
        <v>US Foods - Alcoa TN.</v>
      </c>
      <c r="D1710" s="2" t="str">
        <f>'Posted Sales Invoice Lines'!E1710</f>
        <v>F56251</v>
      </c>
      <c r="E1710" s="2" t="str">
        <f>'Posted Sales Invoice Lines'!F1710</f>
        <v>Cs. Challah Sliders Sliced 18-12pks</v>
      </c>
      <c r="F1710" s="3">
        <f>'Posted Sales Invoice Lines'!G1710</f>
        <v>46189</v>
      </c>
      <c r="G1710" s="9">
        <f>'Posted Sales Invoice Lines'!L1710</f>
        <v>28</v>
      </c>
      <c r="H1710" s="8">
        <f>'Posted Sales Invoice Lines'!N1710</f>
        <v>41.5</v>
      </c>
      <c r="I1710" s="8">
        <f>'Posted Sales Invoice Lines'!O1710</f>
        <v>1162</v>
      </c>
    </row>
    <row r="1711" spans="1:9" x14ac:dyDescent="0.25">
      <c r="A1711" s="2" t="str">
        <f>'Posted Sales Invoice Lines'!A1711</f>
        <v>PS-INV223462</v>
      </c>
      <c r="B1711" s="2" t="str">
        <f>'Posted Sales Invoice Lines'!B1711</f>
        <v>10719-6</v>
      </c>
      <c r="C1711" s="2" t="str">
        <f>'Posted Sales Invoice Lines'!C1711</f>
        <v>US Foods - Alcoa TN.</v>
      </c>
      <c r="D1711" s="2" t="str">
        <f>'Posted Sales Invoice Lines'!E1711</f>
        <v>F51066</v>
      </c>
      <c r="E1711" s="2" t="str">
        <f>'Posted Sales Invoice Lines'!F1711</f>
        <v>Cs. Honey Wheat 3/4" 8lvs</v>
      </c>
      <c r="F1711" s="3">
        <f>'Posted Sales Invoice Lines'!G1711</f>
        <v>46189</v>
      </c>
      <c r="G1711" s="9">
        <f>'Posted Sales Invoice Lines'!L1711</f>
        <v>28</v>
      </c>
      <c r="H1711" s="8">
        <f>'Posted Sales Invoice Lines'!N1711</f>
        <v>35.21</v>
      </c>
      <c r="I1711" s="8">
        <f>'Posted Sales Invoice Lines'!O1711</f>
        <v>985.88</v>
      </c>
    </row>
    <row r="1712" spans="1:9" x14ac:dyDescent="0.25">
      <c r="A1712" s="2" t="str">
        <f>'Posted Sales Invoice Lines'!A1712</f>
        <v>PS-INV223462</v>
      </c>
      <c r="B1712" s="2" t="str">
        <f>'Posted Sales Invoice Lines'!B1712</f>
        <v>10719-6</v>
      </c>
      <c r="C1712" s="2" t="str">
        <f>'Posted Sales Invoice Lines'!C1712</f>
        <v>US Foods - Alcoa TN.</v>
      </c>
      <c r="D1712" s="2" t="str">
        <f>'Posted Sales Invoice Lines'!E1712</f>
        <v>F53001</v>
      </c>
      <c r="E1712" s="2" t="str">
        <f>'Posted Sales Invoice Lines'!F1712</f>
        <v>Cs. 4" Brioche Bun 8-12pk</v>
      </c>
      <c r="F1712" s="3">
        <f>'Posted Sales Invoice Lines'!G1712</f>
        <v>46189</v>
      </c>
      <c r="G1712" s="9">
        <f>'Posted Sales Invoice Lines'!L1712</f>
        <v>152</v>
      </c>
      <c r="H1712" s="8">
        <f>'Posted Sales Invoice Lines'!N1712</f>
        <v>45.49</v>
      </c>
      <c r="I1712" s="8">
        <f>'Posted Sales Invoice Lines'!O1712</f>
        <v>6914.48</v>
      </c>
    </row>
    <row r="1713" spans="1:9" x14ac:dyDescent="0.25">
      <c r="A1713" s="2" t="str">
        <f>'Posted Sales Invoice Lines'!A1713</f>
        <v>PS-INV223462</v>
      </c>
      <c r="B1713" s="2" t="str">
        <f>'Posted Sales Invoice Lines'!B1713</f>
        <v>10719-6</v>
      </c>
      <c r="C1713" s="2" t="str">
        <f>'Posted Sales Invoice Lines'!C1713</f>
        <v>US Foods - Alcoa TN.</v>
      </c>
      <c r="D1713" s="2" t="str">
        <f>'Posted Sales Invoice Lines'!E1713</f>
        <v>F530501</v>
      </c>
      <c r="E1713" s="2" t="str">
        <f>'Posted Sales Invoice Lines'!F1713</f>
        <v>Cs. 4.5" Challah Kaiser 6-12pk</v>
      </c>
      <c r="F1713" s="3">
        <f>'Posted Sales Invoice Lines'!G1713</f>
        <v>46189</v>
      </c>
      <c r="G1713" s="9">
        <f>'Posted Sales Invoice Lines'!L1713</f>
        <v>16</v>
      </c>
      <c r="H1713" s="8">
        <f>'Posted Sales Invoice Lines'!N1713</f>
        <v>37.020000000000003</v>
      </c>
      <c r="I1713" s="8">
        <f>'Posted Sales Invoice Lines'!O1713</f>
        <v>592.32000000000005</v>
      </c>
    </row>
    <row r="1714" spans="1:9" x14ac:dyDescent="0.25">
      <c r="A1714" s="2" t="str">
        <f>'Posted Sales Invoice Lines'!A1714</f>
        <v>PS-INV223462</v>
      </c>
      <c r="B1714" s="2" t="str">
        <f>'Posted Sales Invoice Lines'!B1714</f>
        <v>10719-6</v>
      </c>
      <c r="C1714" s="2" t="str">
        <f>'Posted Sales Invoice Lines'!C1714</f>
        <v>US Foods - Alcoa TN.</v>
      </c>
      <c r="D1714" s="2" t="str">
        <f>'Posted Sales Invoice Lines'!E1714</f>
        <v>F51084</v>
      </c>
      <c r="E1714" s="2" t="str">
        <f>'Posted Sales Invoice Lines'!F1714</f>
        <v>Cs. Wheatberry Hearth</v>
      </c>
      <c r="F1714" s="3">
        <f>'Posted Sales Invoice Lines'!G1714</f>
        <v>46189</v>
      </c>
      <c r="G1714" s="9">
        <f>'Posted Sales Invoice Lines'!L1714</f>
        <v>12</v>
      </c>
      <c r="H1714" s="8">
        <f>'Posted Sales Invoice Lines'!N1714</f>
        <v>52.47</v>
      </c>
      <c r="I1714" s="8">
        <f>'Posted Sales Invoice Lines'!O1714</f>
        <v>629.64</v>
      </c>
    </row>
    <row r="1715" spans="1:9" x14ac:dyDescent="0.25">
      <c r="A1715" s="2" t="str">
        <f>'Posted Sales Invoice Lines'!A1715</f>
        <v>PS-INV223462</v>
      </c>
      <c r="B1715" s="2" t="str">
        <f>'Posted Sales Invoice Lines'!B1715</f>
        <v>10719-6</v>
      </c>
      <c r="C1715" s="2" t="str">
        <f>'Posted Sales Invoice Lines'!C1715</f>
        <v>US Foods - Alcoa TN.</v>
      </c>
      <c r="D1715" s="2" t="str">
        <f>'Posted Sales Invoice Lines'!E1715</f>
        <v>F51024</v>
      </c>
      <c r="E1715" s="2" t="str">
        <f>'Posted Sales Invoice Lines'!F1715</f>
        <v>Cs. Marble Rye 5/8" 8lvs</v>
      </c>
      <c r="F1715" s="3">
        <f>'Posted Sales Invoice Lines'!G1715</f>
        <v>46189</v>
      </c>
      <c r="G1715" s="9">
        <f>'Posted Sales Invoice Lines'!L1715</f>
        <v>20</v>
      </c>
      <c r="H1715" s="8">
        <f>'Posted Sales Invoice Lines'!N1715</f>
        <v>54</v>
      </c>
      <c r="I1715" s="8">
        <f>'Posted Sales Invoice Lines'!O1715</f>
        <v>1080</v>
      </c>
    </row>
    <row r="1716" spans="1:9" x14ac:dyDescent="0.25">
      <c r="A1716" s="2" t="str">
        <f>'Posted Sales Invoice Lines'!A1716</f>
        <v>PS-INV223462</v>
      </c>
      <c r="B1716" s="2" t="str">
        <f>'Posted Sales Invoice Lines'!B1716</f>
        <v>10719-6</v>
      </c>
      <c r="C1716" s="2" t="str">
        <f>'Posted Sales Invoice Lines'!C1716</f>
        <v>US Foods - Alcoa TN.</v>
      </c>
      <c r="D1716" s="2" t="str">
        <f>'Posted Sales Invoice Lines'!E1716</f>
        <v>F51034</v>
      </c>
      <c r="E1716" s="2" t="str">
        <f>'Posted Sales Invoice Lines'!F1716</f>
        <v>Cs. Sour Dough Hearth 5/8" 8lvs</v>
      </c>
      <c r="F1716" s="3">
        <f>'Posted Sales Invoice Lines'!G1716</f>
        <v>46189</v>
      </c>
      <c r="G1716" s="9">
        <f>'Posted Sales Invoice Lines'!L1716</f>
        <v>4</v>
      </c>
      <c r="H1716" s="8">
        <f>'Posted Sales Invoice Lines'!N1716</f>
        <v>43.2</v>
      </c>
      <c r="I1716" s="8">
        <f>'Posted Sales Invoice Lines'!O1716</f>
        <v>172.8</v>
      </c>
    </row>
    <row r="1717" spans="1:9" x14ac:dyDescent="0.25">
      <c r="A1717" s="2" t="str">
        <f>'Posted Sales Invoice Lines'!A1717</f>
        <v>PS-INV223462</v>
      </c>
      <c r="B1717" s="2" t="str">
        <f>'Posted Sales Invoice Lines'!B1717</f>
        <v>10719-6</v>
      </c>
      <c r="C1717" s="2" t="str">
        <f>'Posted Sales Invoice Lines'!C1717</f>
        <v>US Foods - Alcoa TN.</v>
      </c>
      <c r="D1717" s="2" t="str">
        <f>'Posted Sales Invoice Lines'!E1717</f>
        <v>F51157</v>
      </c>
      <c r="E1717" s="2" t="str">
        <f>'Posted Sales Invoice Lines'!F1717</f>
        <v>Cs. Challah Hearth 7/8" 8lvs</v>
      </c>
      <c r="F1717" s="3">
        <f>'Posted Sales Invoice Lines'!G1717</f>
        <v>46189</v>
      </c>
      <c r="G1717" s="9">
        <f>'Posted Sales Invoice Lines'!L1717</f>
        <v>32</v>
      </c>
      <c r="H1717" s="8">
        <f>'Posted Sales Invoice Lines'!N1717</f>
        <v>44.15</v>
      </c>
      <c r="I1717" s="8">
        <f>'Posted Sales Invoice Lines'!O1717</f>
        <v>1412.8</v>
      </c>
    </row>
    <row r="1718" spans="1:9" x14ac:dyDescent="0.25">
      <c r="A1718" s="2" t="str">
        <f>'Posted Sales Invoice Lines'!A1718</f>
        <v>PS-INV223462</v>
      </c>
      <c r="B1718" s="2" t="str">
        <f>'Posted Sales Invoice Lines'!B1718</f>
        <v>10719-6</v>
      </c>
      <c r="C1718" s="2" t="str">
        <f>'Posted Sales Invoice Lines'!C1718</f>
        <v>US Foods - Alcoa TN.</v>
      </c>
      <c r="D1718" s="2" t="str">
        <f>'Posted Sales Invoice Lines'!E1718</f>
        <v>F53006</v>
      </c>
      <c r="E1718" s="2" t="str">
        <f>'Posted Sales Invoice Lines'!F1718</f>
        <v>Cs. 4" Wheat Bun 8-12pk</v>
      </c>
      <c r="F1718" s="3">
        <f>'Posted Sales Invoice Lines'!G1718</f>
        <v>46189</v>
      </c>
      <c r="G1718" s="9">
        <f>'Posted Sales Invoice Lines'!L1718</f>
        <v>8</v>
      </c>
      <c r="H1718" s="8">
        <f>'Posted Sales Invoice Lines'!N1718</f>
        <v>40.22</v>
      </c>
      <c r="I1718" s="8">
        <f>'Posted Sales Invoice Lines'!O1718</f>
        <v>321.76</v>
      </c>
    </row>
    <row r="1719" spans="1:9" x14ac:dyDescent="0.25">
      <c r="A1719" s="2" t="str">
        <f>'Posted Sales Invoice Lines'!A1719</f>
        <v>PS-INV223462</v>
      </c>
      <c r="B1719" s="2" t="str">
        <f>'Posted Sales Invoice Lines'!B1719</f>
        <v>10719-6</v>
      </c>
      <c r="C1719" s="2" t="str">
        <f>'Posted Sales Invoice Lines'!C1719</f>
        <v>US Foods - Alcoa TN.</v>
      </c>
      <c r="D1719" s="2" t="str">
        <f>'Posted Sales Invoice Lines'!E1719</f>
        <v>F53127</v>
      </c>
      <c r="E1719" s="2" t="str">
        <f>'Posted Sales Invoice Lines'!F1719</f>
        <v>Cs. 8" Philly 10-6pks</v>
      </c>
      <c r="F1719" s="3">
        <f>'Posted Sales Invoice Lines'!G1719</f>
        <v>46189</v>
      </c>
      <c r="G1719" s="9">
        <f>'Posted Sales Invoice Lines'!L1719</f>
        <v>63</v>
      </c>
      <c r="H1719" s="8">
        <f>'Posted Sales Invoice Lines'!N1719</f>
        <v>42.37</v>
      </c>
      <c r="I1719" s="8">
        <f>'Posted Sales Invoice Lines'!O1719</f>
        <v>2669.31</v>
      </c>
    </row>
    <row r="1720" spans="1:9" x14ac:dyDescent="0.25">
      <c r="A1720" s="2" t="str">
        <f>'Posted Sales Invoice Lines'!A1720</f>
        <v>PS-INV223462</v>
      </c>
      <c r="B1720" s="2" t="str">
        <f>'Posted Sales Invoice Lines'!B1720</f>
        <v>10719-6</v>
      </c>
      <c r="C1720" s="2" t="str">
        <f>'Posted Sales Invoice Lines'!C1720</f>
        <v>US Foods - Alcoa TN.</v>
      </c>
      <c r="D1720" s="2" t="str">
        <f>'Posted Sales Invoice Lines'!E1720</f>
        <v>F51343</v>
      </c>
      <c r="E1720" s="2" t="str">
        <f>'Posted Sales Invoice Lines'!F1720</f>
        <v>Cs. White Bread Pullman 3/4" 10lvs</v>
      </c>
      <c r="F1720" s="3">
        <f>'Posted Sales Invoice Lines'!G1720</f>
        <v>46189</v>
      </c>
      <c r="G1720" s="9">
        <f>'Posted Sales Invoice Lines'!L1720</f>
        <v>21</v>
      </c>
      <c r="H1720" s="8">
        <f>'Posted Sales Invoice Lines'!N1720</f>
        <v>42.22</v>
      </c>
      <c r="I1720" s="8">
        <f>'Posted Sales Invoice Lines'!O1720</f>
        <v>886.62</v>
      </c>
    </row>
    <row r="1721" spans="1:9" x14ac:dyDescent="0.25">
      <c r="A1721" s="2" t="str">
        <f>'Posted Sales Invoice Lines'!A1721</f>
        <v>PS-INV223462</v>
      </c>
      <c r="B1721" s="2" t="str">
        <f>'Posted Sales Invoice Lines'!B1721</f>
        <v>10719-6</v>
      </c>
      <c r="C1721" s="2" t="str">
        <f>'Posted Sales Invoice Lines'!C1721</f>
        <v>US Foods - Alcoa TN.</v>
      </c>
      <c r="D1721" s="2" t="str">
        <f>'Posted Sales Invoice Lines'!E1721</f>
        <v>F52035</v>
      </c>
      <c r="E1721" s="2" t="str">
        <f>'Posted Sales Invoice Lines'!F1721</f>
        <v>Cs. French Boule 12-2pk</v>
      </c>
      <c r="F1721" s="3">
        <f>'Posted Sales Invoice Lines'!G1721</f>
        <v>46189</v>
      </c>
      <c r="G1721" s="9">
        <f>'Posted Sales Invoice Lines'!L1721</f>
        <v>56</v>
      </c>
      <c r="H1721" s="8">
        <f>'Posted Sales Invoice Lines'!N1721</f>
        <v>32.549999999999997</v>
      </c>
      <c r="I1721" s="8">
        <f>'Posted Sales Invoice Lines'!O1721</f>
        <v>1822.8</v>
      </c>
    </row>
    <row r="1722" spans="1:9" x14ac:dyDescent="0.25">
      <c r="A1722" s="2" t="str">
        <f>'Posted Sales Invoice Lines'!A1722</f>
        <v>PS-INV223462</v>
      </c>
      <c r="B1722" s="2" t="str">
        <f>'Posted Sales Invoice Lines'!B1722</f>
        <v>10719-6</v>
      </c>
      <c r="C1722" s="2" t="str">
        <f>'Posted Sales Invoice Lines'!C1722</f>
        <v>US Foods - Alcoa TN.</v>
      </c>
      <c r="D1722" s="2" t="str">
        <f>'Posted Sales Invoice Lines'!E1722</f>
        <v>F53106</v>
      </c>
      <c r="E1722" s="2" t="str">
        <f>'Posted Sales Invoice Lines'!F1722</f>
        <v>Cs. Large Hot Dog 12-6pk</v>
      </c>
      <c r="F1722" s="3">
        <f>'Posted Sales Invoice Lines'!G1722</f>
        <v>46189</v>
      </c>
      <c r="G1722" s="9">
        <f>'Posted Sales Invoice Lines'!L1722</f>
        <v>60</v>
      </c>
      <c r="H1722" s="8">
        <f>'Posted Sales Invoice Lines'!N1722</f>
        <v>35.57</v>
      </c>
      <c r="I1722" s="8">
        <f>'Posted Sales Invoice Lines'!O1722</f>
        <v>2134.1999999999998</v>
      </c>
    </row>
    <row r="1723" spans="1:9" x14ac:dyDescent="0.25">
      <c r="A1723" s="2" t="str">
        <f>'Posted Sales Invoice Lines'!A1723</f>
        <v>PS-INV223462</v>
      </c>
      <c r="B1723" s="2" t="str">
        <f>'Posted Sales Invoice Lines'!B1723</f>
        <v>10719-6</v>
      </c>
      <c r="C1723" s="2" t="str">
        <f>'Posted Sales Invoice Lines'!C1723</f>
        <v>US Foods - Alcoa TN.</v>
      </c>
      <c r="D1723" s="2" t="str">
        <f>'Posted Sales Invoice Lines'!E1723</f>
        <v>F52032</v>
      </c>
      <c r="E1723" s="2" t="str">
        <f>'Posted Sales Invoice Lines'!F1723</f>
        <v>Cs. 8oz Sour Dough Boule 12-2pk</v>
      </c>
      <c r="F1723" s="3">
        <f>'Posted Sales Invoice Lines'!G1723</f>
        <v>46189</v>
      </c>
      <c r="G1723" s="9">
        <f>'Posted Sales Invoice Lines'!L1723</f>
        <v>28</v>
      </c>
      <c r="H1723" s="8">
        <f>'Posted Sales Invoice Lines'!N1723</f>
        <v>41.25</v>
      </c>
      <c r="I1723" s="8">
        <f>'Posted Sales Invoice Lines'!O1723</f>
        <v>1155</v>
      </c>
    </row>
    <row r="1724" spans="1:9" x14ac:dyDescent="0.25">
      <c r="A1724" s="2" t="str">
        <f>'Posted Sales Invoice Lines'!A1724</f>
        <v>PS-INV223462</v>
      </c>
      <c r="B1724" s="2" t="str">
        <f>'Posted Sales Invoice Lines'!B1724</f>
        <v>10719-6</v>
      </c>
      <c r="C1724" s="2" t="str">
        <f>'Posted Sales Invoice Lines'!C1724</f>
        <v>US Foods - Alcoa TN.</v>
      </c>
      <c r="D1724" s="2" t="str">
        <f>'Posted Sales Invoice Lines'!E1724</f>
        <v>F53024</v>
      </c>
      <c r="E1724" s="2" t="str">
        <f>'Posted Sales Invoice Lines'!F1724</f>
        <v>Cs. 4" Challah Kaiser 8-12pk</v>
      </c>
      <c r="F1724" s="3">
        <f>'Posted Sales Invoice Lines'!G1724</f>
        <v>46189</v>
      </c>
      <c r="G1724" s="9">
        <f>'Posted Sales Invoice Lines'!L1724</f>
        <v>28</v>
      </c>
      <c r="H1724" s="8">
        <f>'Posted Sales Invoice Lines'!N1724</f>
        <v>40.22</v>
      </c>
      <c r="I1724" s="8">
        <f>'Posted Sales Invoice Lines'!O1724</f>
        <v>1126.1600000000001</v>
      </c>
    </row>
    <row r="1725" spans="1:9" x14ac:dyDescent="0.25">
      <c r="A1725" s="2" t="str">
        <f>'Posted Sales Invoice Lines'!A1725</f>
        <v>PS-INV223464</v>
      </c>
      <c r="B1725" s="2" t="str">
        <f>'Posted Sales Invoice Lines'!B1725</f>
        <v>12314</v>
      </c>
      <c r="C1725" s="2" t="str">
        <f>'Posted Sales Invoice Lines'!C1725</f>
        <v>Gordon Food Services - Concord</v>
      </c>
      <c r="D1725" s="2" t="str">
        <f>'Posted Sales Invoice Lines'!E1725</f>
        <v>F56255</v>
      </c>
      <c r="E1725" s="2" t="str">
        <f>'Posted Sales Invoice Lines'!F1725</f>
        <v>Cs. English Muffin 30-6pk</v>
      </c>
      <c r="F1725" s="3">
        <f>'Posted Sales Invoice Lines'!G1725</f>
        <v>46188</v>
      </c>
      <c r="G1725" s="9">
        <f>'Posted Sales Invoice Lines'!L1725</f>
        <v>16</v>
      </c>
      <c r="H1725" s="8">
        <f>'Posted Sales Invoice Lines'!N1725</f>
        <v>36.299999999999997</v>
      </c>
      <c r="I1725" s="8">
        <f>'Posted Sales Invoice Lines'!O1725</f>
        <v>580.79999999999995</v>
      </c>
    </row>
    <row r="1726" spans="1:9" x14ac:dyDescent="0.25">
      <c r="A1726" s="2" t="str">
        <f>'Posted Sales Invoice Lines'!A1726</f>
        <v>PS-INV223464</v>
      </c>
      <c r="B1726" s="2" t="str">
        <f>'Posted Sales Invoice Lines'!B1726</f>
        <v>12314</v>
      </c>
      <c r="C1726" s="2" t="str">
        <f>'Posted Sales Invoice Lines'!C1726</f>
        <v>Gordon Food Services - Concord</v>
      </c>
      <c r="D1726" s="2" t="str">
        <f>'Posted Sales Invoice Lines'!E1726</f>
        <v>F51084</v>
      </c>
      <c r="E1726" s="2" t="str">
        <f>'Posted Sales Invoice Lines'!F1726</f>
        <v>Cs. Wheatberry Hearth</v>
      </c>
      <c r="F1726" s="3">
        <f>'Posted Sales Invoice Lines'!G1726</f>
        <v>46188</v>
      </c>
      <c r="G1726" s="9">
        <f>'Posted Sales Invoice Lines'!L1726</f>
        <v>24</v>
      </c>
      <c r="H1726" s="8">
        <f>'Posted Sales Invoice Lines'!N1726</f>
        <v>33.299999999999997</v>
      </c>
      <c r="I1726" s="8">
        <f>'Posted Sales Invoice Lines'!O1726</f>
        <v>799.2</v>
      </c>
    </row>
    <row r="1727" spans="1:9" x14ac:dyDescent="0.25">
      <c r="A1727" s="2" t="str">
        <f>'Posted Sales Invoice Lines'!A1727</f>
        <v>PS-INV223464</v>
      </c>
      <c r="B1727" s="2" t="str">
        <f>'Posted Sales Invoice Lines'!B1727</f>
        <v>12314</v>
      </c>
      <c r="C1727" s="2" t="str">
        <f>'Posted Sales Invoice Lines'!C1727</f>
        <v>Gordon Food Services - Concord</v>
      </c>
      <c r="D1727" s="2" t="str">
        <f>'Posted Sales Invoice Lines'!E1727</f>
        <v>F56251</v>
      </c>
      <c r="E1727" s="2" t="str">
        <f>'Posted Sales Invoice Lines'!F1727</f>
        <v>Cs. Challah Sliders Sliced 18-12pks</v>
      </c>
      <c r="F1727" s="3">
        <f>'Posted Sales Invoice Lines'!G1727</f>
        <v>46188</v>
      </c>
      <c r="G1727" s="9">
        <f>'Posted Sales Invoice Lines'!L1727</f>
        <v>64</v>
      </c>
      <c r="H1727" s="8">
        <f>'Posted Sales Invoice Lines'!N1727</f>
        <v>39.700000000000003</v>
      </c>
      <c r="I1727" s="8">
        <f>'Posted Sales Invoice Lines'!O1727</f>
        <v>2540.8000000000002</v>
      </c>
    </row>
    <row r="1728" spans="1:9" x14ac:dyDescent="0.25">
      <c r="A1728" s="2" t="str">
        <f>'Posted Sales Invoice Lines'!A1728</f>
        <v>PS-INV223464</v>
      </c>
      <c r="B1728" s="2" t="str">
        <f>'Posted Sales Invoice Lines'!B1728</f>
        <v>12314</v>
      </c>
      <c r="C1728" s="2" t="str">
        <f>'Posted Sales Invoice Lines'!C1728</f>
        <v>Gordon Food Services - Concord</v>
      </c>
      <c r="D1728" s="2" t="str">
        <f>'Posted Sales Invoice Lines'!E1728</f>
        <v>F51384</v>
      </c>
      <c r="E1728" s="2" t="str">
        <f>'Posted Sales Invoice Lines'!F1728</f>
        <v>Cs. Challah Pullman 7/8"</v>
      </c>
      <c r="F1728" s="3">
        <f>'Posted Sales Invoice Lines'!G1728</f>
        <v>46188</v>
      </c>
      <c r="G1728" s="9">
        <f>'Posted Sales Invoice Lines'!L1728</f>
        <v>84</v>
      </c>
      <c r="H1728" s="8">
        <f>'Posted Sales Invoice Lines'!N1728</f>
        <v>48.49</v>
      </c>
      <c r="I1728" s="8">
        <f>'Posted Sales Invoice Lines'!O1728</f>
        <v>4073.16</v>
      </c>
    </row>
    <row r="1729" spans="1:9" x14ac:dyDescent="0.25">
      <c r="A1729" s="2" t="str">
        <f>'Posted Sales Invoice Lines'!A1729</f>
        <v>PS-INV223464</v>
      </c>
      <c r="B1729" s="2" t="str">
        <f>'Posted Sales Invoice Lines'!B1729</f>
        <v>12314</v>
      </c>
      <c r="C1729" s="2" t="str">
        <f>'Posted Sales Invoice Lines'!C1729</f>
        <v>Gordon Food Services - Concord</v>
      </c>
      <c r="D1729" s="2" t="str">
        <f>'Posted Sales Invoice Lines'!E1729</f>
        <v>F51114</v>
      </c>
      <c r="E1729" s="2" t="str">
        <f>'Posted Sales Invoice Lines'!F1729</f>
        <v>Cs. Old Fashioned Hearth 5/8" 8lvs</v>
      </c>
      <c r="F1729" s="3">
        <f>'Posted Sales Invoice Lines'!G1729</f>
        <v>46188</v>
      </c>
      <c r="G1729" s="9">
        <f>'Posted Sales Invoice Lines'!L1729</f>
        <v>24</v>
      </c>
      <c r="H1729" s="8">
        <f>'Posted Sales Invoice Lines'!N1729</f>
        <v>39.700000000000003</v>
      </c>
      <c r="I1729" s="8">
        <f>'Posted Sales Invoice Lines'!O1729</f>
        <v>952.8</v>
      </c>
    </row>
    <row r="1730" spans="1:9" x14ac:dyDescent="0.25">
      <c r="A1730" s="2" t="str">
        <f>'Posted Sales Invoice Lines'!A1730</f>
        <v>PS-INV223464</v>
      </c>
      <c r="B1730" s="2" t="str">
        <f>'Posted Sales Invoice Lines'!B1730</f>
        <v>12314</v>
      </c>
      <c r="C1730" s="2" t="str">
        <f>'Posted Sales Invoice Lines'!C1730</f>
        <v>Gordon Food Services - Concord</v>
      </c>
      <c r="D1730" s="2" t="str">
        <f>'Posted Sales Invoice Lines'!E1730</f>
        <v>F51361</v>
      </c>
      <c r="E1730" s="2" t="str">
        <f>'Posted Sales Invoice Lines'!F1730</f>
        <v>Cs. Honey Wheat Pullman 7/8" 10lvs</v>
      </c>
      <c r="F1730" s="3">
        <f>'Posted Sales Invoice Lines'!G1730</f>
        <v>46188</v>
      </c>
      <c r="G1730" s="9">
        <f>'Posted Sales Invoice Lines'!L1730</f>
        <v>30</v>
      </c>
      <c r="H1730" s="8">
        <f>'Posted Sales Invoice Lines'!N1730</f>
        <v>41.49</v>
      </c>
      <c r="I1730" s="8">
        <f>'Posted Sales Invoice Lines'!O1730</f>
        <v>1244.7</v>
      </c>
    </row>
    <row r="1731" spans="1:9" x14ac:dyDescent="0.25">
      <c r="A1731" s="2" t="str">
        <f>'Posted Sales Invoice Lines'!A1731</f>
        <v>PS-INV223464</v>
      </c>
      <c r="B1731" s="2" t="str">
        <f>'Posted Sales Invoice Lines'!B1731</f>
        <v>12314</v>
      </c>
      <c r="C1731" s="2" t="str">
        <f>'Posted Sales Invoice Lines'!C1731</f>
        <v>Gordon Food Services - Concord</v>
      </c>
      <c r="D1731" s="2" t="str">
        <f>'Posted Sales Invoice Lines'!E1731</f>
        <v>F53001</v>
      </c>
      <c r="E1731" s="2" t="str">
        <f>'Posted Sales Invoice Lines'!F1731</f>
        <v>Cs. 4" Brioche Bun 8-12pk</v>
      </c>
      <c r="F1731" s="3">
        <f>'Posted Sales Invoice Lines'!G1731</f>
        <v>46188</v>
      </c>
      <c r="G1731" s="9">
        <f>'Posted Sales Invoice Lines'!L1731</f>
        <v>32</v>
      </c>
      <c r="H1731" s="8">
        <f>'Posted Sales Invoice Lines'!N1731</f>
        <v>36.82</v>
      </c>
      <c r="I1731" s="8">
        <f>'Posted Sales Invoice Lines'!O1731</f>
        <v>1178.24</v>
      </c>
    </row>
    <row r="1732" spans="1:9" x14ac:dyDescent="0.25">
      <c r="A1732" s="2" t="str">
        <f>'Posted Sales Invoice Lines'!A1732</f>
        <v>PS-INV223464</v>
      </c>
      <c r="B1732" s="2" t="str">
        <f>'Posted Sales Invoice Lines'!B1732</f>
        <v>12314</v>
      </c>
      <c r="C1732" s="2" t="str">
        <f>'Posted Sales Invoice Lines'!C1732</f>
        <v>Gordon Food Services - Concord</v>
      </c>
      <c r="D1732" s="2" t="str">
        <f>'Posted Sales Invoice Lines'!E1732</f>
        <v>F53002</v>
      </c>
      <c r="E1732" s="2" t="str">
        <f>'Posted Sales Invoice Lines'!F1732</f>
        <v>Cs. 4" Challah Sesame Bun 8-12pk</v>
      </c>
      <c r="F1732" s="3">
        <f>'Posted Sales Invoice Lines'!G1732</f>
        <v>46188</v>
      </c>
      <c r="G1732" s="9">
        <f>'Posted Sales Invoice Lines'!L1732</f>
        <v>15</v>
      </c>
      <c r="H1732" s="8">
        <f>'Posted Sales Invoice Lines'!N1732</f>
        <v>41.7</v>
      </c>
      <c r="I1732" s="8">
        <f>'Posted Sales Invoice Lines'!O1732</f>
        <v>625.5</v>
      </c>
    </row>
    <row r="1733" spans="1:9" x14ac:dyDescent="0.25">
      <c r="A1733" s="2" t="str">
        <f>'Posted Sales Invoice Lines'!A1733</f>
        <v>PS-INV223466</v>
      </c>
      <c r="B1733" s="2" t="str">
        <f>'Posted Sales Invoice Lines'!B1733</f>
        <v>X10540-3</v>
      </c>
      <c r="C1733" s="2" t="str">
        <f>'Posted Sales Invoice Lines'!C1733</f>
        <v>PFG Pittsburgh PA</v>
      </c>
      <c r="D1733" s="2" t="str">
        <f>'Posted Sales Invoice Lines'!E1733</f>
        <v>F53105</v>
      </c>
      <c r="E1733" s="2" t="str">
        <f>'Posted Sales Invoice Lines'!F1733</f>
        <v>Cs. 6" White Hot Dog 16-8pk</v>
      </c>
      <c r="F1733" s="3">
        <f>'Posted Sales Invoice Lines'!G1733</f>
        <v>46176</v>
      </c>
      <c r="G1733" s="9">
        <f>'Posted Sales Invoice Lines'!L1733</f>
        <v>504</v>
      </c>
      <c r="H1733" s="8">
        <f>'Posted Sales Invoice Lines'!N1733</f>
        <v>34.5</v>
      </c>
      <c r="I1733" s="8">
        <f>'Posted Sales Invoice Lines'!O1733</f>
        <v>17388</v>
      </c>
    </row>
    <row r="1734" spans="1:9" x14ac:dyDescent="0.25">
      <c r="A1734" s="2" t="str">
        <f>'Posted Sales Invoice Lines'!A1734</f>
        <v>PS-INV223468</v>
      </c>
      <c r="B1734" s="2" t="str">
        <f>'Posted Sales Invoice Lines'!B1734</f>
        <v>11005</v>
      </c>
      <c r="C1734" s="2" t="str">
        <f>'Posted Sales Invoice Lines'!C1734</f>
        <v>Dot Foods Inc.</v>
      </c>
      <c r="D1734" s="2" t="str">
        <f>'Posted Sales Invoice Lines'!E1734</f>
        <v>F530142</v>
      </c>
      <c r="E1734" s="2" t="str">
        <f>'Posted Sales Invoice Lines'!F1734</f>
        <v>Cs. Knot Roll 8-12pk</v>
      </c>
      <c r="F1734" s="3">
        <f>'Posted Sales Invoice Lines'!G1734</f>
        <v>46182</v>
      </c>
      <c r="G1734" s="9">
        <f>'Posted Sales Invoice Lines'!L1734</f>
        <v>512</v>
      </c>
      <c r="H1734" s="8">
        <f>'Posted Sales Invoice Lines'!N1734</f>
        <v>33.42</v>
      </c>
      <c r="I1734" s="8">
        <f>'Posted Sales Invoice Lines'!O1734</f>
        <v>17111.04</v>
      </c>
    </row>
    <row r="1735" spans="1:9" x14ac:dyDescent="0.25">
      <c r="A1735" s="2" t="str">
        <f>'Posted Sales Invoice Lines'!A1735</f>
        <v>PS-INV223470</v>
      </c>
      <c r="B1735" s="2" t="str">
        <f>'Posted Sales Invoice Lines'!B1735</f>
        <v>11005</v>
      </c>
      <c r="C1735" s="2" t="str">
        <f>'Posted Sales Invoice Lines'!C1735</f>
        <v>Dot Foods Inc.</v>
      </c>
      <c r="D1735" s="2" t="str">
        <f>'Posted Sales Invoice Lines'!E1735</f>
        <v>F530142</v>
      </c>
      <c r="E1735" s="2" t="str">
        <f>'Posted Sales Invoice Lines'!F1735</f>
        <v>Cs. Knot Roll 8-12pk</v>
      </c>
      <c r="F1735" s="3">
        <f>'Posted Sales Invoice Lines'!G1735</f>
        <v>46184</v>
      </c>
      <c r="G1735" s="9">
        <f>'Posted Sales Invoice Lines'!L1735</f>
        <v>960</v>
      </c>
      <c r="H1735" s="8">
        <f>'Posted Sales Invoice Lines'!N1735</f>
        <v>33.42</v>
      </c>
      <c r="I1735" s="8">
        <f>'Posted Sales Invoice Lines'!O1735</f>
        <v>32083.200000000001</v>
      </c>
    </row>
    <row r="1736" spans="1:9" x14ac:dyDescent="0.25">
      <c r="A1736" s="2" t="str">
        <f>'Posted Sales Invoice Lines'!A1736</f>
        <v>PS-INV223472</v>
      </c>
      <c r="B1736" s="2" t="str">
        <f>'Posted Sales Invoice Lines'!B1736</f>
        <v>10899</v>
      </c>
      <c r="C1736" s="2" t="str">
        <f>'Posted Sales Invoice Lines'!C1736</f>
        <v>Wood Fruitticher Grocery Co.</v>
      </c>
      <c r="D1736" s="2" t="str">
        <f>'Posted Sales Invoice Lines'!E1736</f>
        <v>F53003</v>
      </c>
      <c r="E1736" s="2" t="str">
        <f>'Posted Sales Invoice Lines'!F1736</f>
        <v>Cs. 4" Unseeded Challah Bun 8-12pk</v>
      </c>
      <c r="F1736" s="3">
        <f>'Posted Sales Invoice Lines'!G1736</f>
        <v>46183</v>
      </c>
      <c r="G1736" s="9">
        <f>'Posted Sales Invoice Lines'!L1736</f>
        <v>120</v>
      </c>
      <c r="H1736" s="8">
        <f>'Posted Sales Invoice Lines'!N1736</f>
        <v>35.479999999999997</v>
      </c>
      <c r="I1736" s="8">
        <f>'Posted Sales Invoice Lines'!O1736</f>
        <v>4257.6000000000004</v>
      </c>
    </row>
    <row r="1737" spans="1:9" x14ac:dyDescent="0.25">
      <c r="A1737" s="2" t="str">
        <f>'Posted Sales Invoice Lines'!A1737</f>
        <v>PS-INV223472</v>
      </c>
      <c r="B1737" s="2" t="str">
        <f>'Posted Sales Invoice Lines'!B1737</f>
        <v>10899</v>
      </c>
      <c r="C1737" s="2" t="str">
        <f>'Posted Sales Invoice Lines'!C1737</f>
        <v>Wood Fruitticher Grocery Co.</v>
      </c>
      <c r="D1737" s="2" t="str">
        <f>'Posted Sales Invoice Lines'!E1737</f>
        <v>F53000</v>
      </c>
      <c r="E1737" s="2" t="str">
        <f>'Posted Sales Invoice Lines'!F1737</f>
        <v>Cs. 4" Hamburger Bun 8-12pk</v>
      </c>
      <c r="F1737" s="3">
        <f>'Posted Sales Invoice Lines'!G1737</f>
        <v>46183</v>
      </c>
      <c r="G1737" s="9">
        <f>'Posted Sales Invoice Lines'!L1737</f>
        <v>280</v>
      </c>
      <c r="H1737" s="8">
        <f>'Posted Sales Invoice Lines'!N1737</f>
        <v>28.33</v>
      </c>
      <c r="I1737" s="8">
        <f>'Posted Sales Invoice Lines'!O1737</f>
        <v>7932.4</v>
      </c>
    </row>
    <row r="1738" spans="1:9" x14ac:dyDescent="0.25">
      <c r="A1738" s="2" t="str">
        <f>'Posted Sales Invoice Lines'!A1738</f>
        <v>PS-INV223472</v>
      </c>
      <c r="B1738" s="2" t="str">
        <f>'Posted Sales Invoice Lines'!B1738</f>
        <v>10899</v>
      </c>
      <c r="C1738" s="2" t="str">
        <f>'Posted Sales Invoice Lines'!C1738</f>
        <v>Wood Fruitticher Grocery Co.</v>
      </c>
      <c r="D1738" s="2" t="str">
        <f>'Posted Sales Invoice Lines'!E1738</f>
        <v>F51137</v>
      </c>
      <c r="E1738" s="2" t="str">
        <f>'Posted Sales Invoice Lines'!F1738</f>
        <v>Cs. Texas Toast 3/4" 12lvs</v>
      </c>
      <c r="F1738" s="3">
        <f>'Posted Sales Invoice Lines'!G1738</f>
        <v>46183</v>
      </c>
      <c r="G1738" s="9">
        <f>'Posted Sales Invoice Lines'!L1738</f>
        <v>96</v>
      </c>
      <c r="H1738" s="8">
        <f>'Posted Sales Invoice Lines'!N1738</f>
        <v>28.49</v>
      </c>
      <c r="I1738" s="8">
        <f>'Posted Sales Invoice Lines'!O1738</f>
        <v>2735.04</v>
      </c>
    </row>
    <row r="1739" spans="1:9" x14ac:dyDescent="0.25">
      <c r="A1739" s="2" t="str">
        <f>'Posted Sales Invoice Lines'!A1739</f>
        <v>PS-INV223472</v>
      </c>
      <c r="B1739" s="2" t="str">
        <f>'Posted Sales Invoice Lines'!B1739</f>
        <v>10899</v>
      </c>
      <c r="C1739" s="2" t="str">
        <f>'Posted Sales Invoice Lines'!C1739</f>
        <v>Wood Fruitticher Grocery Co.</v>
      </c>
      <c r="D1739" s="2" t="str">
        <f>'Posted Sales Invoice Lines'!E1739</f>
        <v>F51136</v>
      </c>
      <c r="E1739" s="2" t="str">
        <f>'Posted Sales Invoice Lines'!F1739</f>
        <v>Cs. Texas Toast 1" 12lvs</v>
      </c>
      <c r="F1739" s="3">
        <f>'Posted Sales Invoice Lines'!G1739</f>
        <v>46183</v>
      </c>
      <c r="G1739" s="9">
        <f>'Posted Sales Invoice Lines'!L1739</f>
        <v>112</v>
      </c>
      <c r="H1739" s="8">
        <f>'Posted Sales Invoice Lines'!N1739</f>
        <v>28.49</v>
      </c>
      <c r="I1739" s="8">
        <f>'Posted Sales Invoice Lines'!O1739</f>
        <v>3190.88</v>
      </c>
    </row>
    <row r="1740" spans="1:9" x14ac:dyDescent="0.25">
      <c r="A1740" s="2" t="str">
        <f>'Posted Sales Invoice Lines'!A1740</f>
        <v>PS-INV223472</v>
      </c>
      <c r="B1740" s="2" t="str">
        <f>'Posted Sales Invoice Lines'!B1740</f>
        <v>10899</v>
      </c>
      <c r="C1740" s="2" t="str">
        <f>'Posted Sales Invoice Lines'!C1740</f>
        <v>Wood Fruitticher Grocery Co.</v>
      </c>
      <c r="D1740" s="2" t="str">
        <f>'Posted Sales Invoice Lines'!E1740</f>
        <v>F53094</v>
      </c>
      <c r="E1740" s="2" t="str">
        <f>'Posted Sales Invoice Lines'!F1740</f>
        <v>Cs. 6" Italian 12-6pks</v>
      </c>
      <c r="F1740" s="3">
        <f>'Posted Sales Invoice Lines'!G1740</f>
        <v>46183</v>
      </c>
      <c r="G1740" s="9">
        <f>'Posted Sales Invoice Lines'!L1740</f>
        <v>168</v>
      </c>
      <c r="H1740" s="8">
        <f>'Posted Sales Invoice Lines'!N1740</f>
        <v>25.25</v>
      </c>
      <c r="I1740" s="8">
        <f>'Posted Sales Invoice Lines'!O1740</f>
        <v>4242</v>
      </c>
    </row>
    <row r="1741" spans="1:9" x14ac:dyDescent="0.25">
      <c r="A1741" s="2" t="str">
        <f>'Posted Sales Invoice Lines'!A1741</f>
        <v>PS-INV223472</v>
      </c>
      <c r="B1741" s="2" t="str">
        <f>'Posted Sales Invoice Lines'!B1741</f>
        <v>10899</v>
      </c>
      <c r="C1741" s="2" t="str">
        <f>'Posted Sales Invoice Lines'!C1741</f>
        <v>Wood Fruitticher Grocery Co.</v>
      </c>
      <c r="D1741" s="2" t="str">
        <f>'Posted Sales Invoice Lines'!E1741</f>
        <v>F53116</v>
      </c>
      <c r="E1741" s="2" t="str">
        <f>'Posted Sales Invoice Lines'!F1741</f>
        <v>Cs. 7" French Hinged 12-6pk</v>
      </c>
      <c r="F1741" s="3">
        <f>'Posted Sales Invoice Lines'!G1741</f>
        <v>46183</v>
      </c>
      <c r="G1741" s="9">
        <f>'Posted Sales Invoice Lines'!L1741</f>
        <v>60</v>
      </c>
      <c r="H1741" s="8">
        <f>'Posted Sales Invoice Lines'!N1741</f>
        <v>28.88</v>
      </c>
      <c r="I1741" s="8">
        <f>'Posted Sales Invoice Lines'!O1741</f>
        <v>1732.8</v>
      </c>
    </row>
    <row r="1742" spans="1:9" x14ac:dyDescent="0.25">
      <c r="A1742" s="2" t="str">
        <f>'Posted Sales Invoice Lines'!A1742</f>
        <v>PS-INV223472</v>
      </c>
      <c r="B1742" s="2" t="str">
        <f>'Posted Sales Invoice Lines'!B1742</f>
        <v>10899</v>
      </c>
      <c r="C1742" s="2" t="str">
        <f>'Posted Sales Invoice Lines'!C1742</f>
        <v>Wood Fruitticher Grocery Co.</v>
      </c>
      <c r="D1742" s="2" t="str">
        <f>'Posted Sales Invoice Lines'!E1742</f>
        <v>F51070</v>
      </c>
      <c r="E1742" s="2" t="str">
        <f>'Posted Sales Invoice Lines'!F1742</f>
        <v>Cs. 8-Grain 5/8" 8lvs</v>
      </c>
      <c r="F1742" s="3">
        <f>'Posted Sales Invoice Lines'!G1742</f>
        <v>46183</v>
      </c>
      <c r="G1742" s="9">
        <f>'Posted Sales Invoice Lines'!L1742</f>
        <v>12</v>
      </c>
      <c r="H1742" s="8">
        <f>'Posted Sales Invoice Lines'!N1742</f>
        <v>47.74</v>
      </c>
      <c r="I1742" s="8">
        <f>'Posted Sales Invoice Lines'!O1742</f>
        <v>572.88</v>
      </c>
    </row>
    <row r="1743" spans="1:9" x14ac:dyDescent="0.25">
      <c r="A1743" s="2" t="str">
        <f>'Posted Sales Invoice Lines'!A1743</f>
        <v>PS-INV223875</v>
      </c>
      <c r="B1743" s="2" t="str">
        <f>'Posted Sales Invoice Lines'!B1743</f>
        <v>10719-4</v>
      </c>
      <c r="C1743" s="2" t="str">
        <f>'Posted Sales Invoice Lines'!C1743</f>
        <v>US Foods - Columbia/Lexington</v>
      </c>
      <c r="D1743" s="2" t="str">
        <f>'Posted Sales Invoice Lines'!E1743</f>
        <v>F51077</v>
      </c>
      <c r="E1743" s="2" t="str">
        <f>'Posted Sales Invoice Lines'!F1743</f>
        <v>Cs. Oatie Multigrain 5/8" 8lvs</v>
      </c>
      <c r="F1743" s="3">
        <f>'Posted Sales Invoice Lines'!G1743</f>
        <v>46184</v>
      </c>
      <c r="G1743" s="9">
        <f>'Posted Sales Invoice Lines'!L1743</f>
        <v>40</v>
      </c>
      <c r="H1743" s="8">
        <f>'Posted Sales Invoice Lines'!N1743</f>
        <v>56</v>
      </c>
      <c r="I1743" s="8">
        <f>'Posted Sales Invoice Lines'!O1743</f>
        <v>2240</v>
      </c>
    </row>
    <row r="1744" spans="1:9" x14ac:dyDescent="0.25">
      <c r="A1744" s="2" t="str">
        <f>'Posted Sales Invoice Lines'!A1744</f>
        <v>PS-INV223875</v>
      </c>
      <c r="B1744" s="2" t="str">
        <f>'Posted Sales Invoice Lines'!B1744</f>
        <v>10719-4</v>
      </c>
      <c r="C1744" s="2" t="str">
        <f>'Posted Sales Invoice Lines'!C1744</f>
        <v>US Foods - Columbia/Lexington</v>
      </c>
      <c r="D1744" s="2" t="str">
        <f>'Posted Sales Invoice Lines'!E1744</f>
        <v>F530041</v>
      </c>
      <c r="E1744" s="2" t="str">
        <f>'Posted Sales Invoice Lines'!F1744</f>
        <v>Cs. 4" S&amp;P Brioche Bun 8-12pk</v>
      </c>
      <c r="F1744" s="3">
        <f>'Posted Sales Invoice Lines'!G1744</f>
        <v>46184</v>
      </c>
      <c r="G1744" s="9">
        <f>'Posted Sales Invoice Lines'!L1744</f>
        <v>20</v>
      </c>
      <c r="H1744" s="8">
        <f>'Posted Sales Invoice Lines'!N1744</f>
        <v>46</v>
      </c>
      <c r="I1744" s="8">
        <f>'Posted Sales Invoice Lines'!O1744</f>
        <v>920</v>
      </c>
    </row>
    <row r="1745" spans="1:9" x14ac:dyDescent="0.25">
      <c r="A1745" s="2" t="str">
        <f>'Posted Sales Invoice Lines'!A1745</f>
        <v>PS-INV223875</v>
      </c>
      <c r="B1745" s="2" t="str">
        <f>'Posted Sales Invoice Lines'!B1745</f>
        <v>10719-4</v>
      </c>
      <c r="C1745" s="2" t="str">
        <f>'Posted Sales Invoice Lines'!C1745</f>
        <v>US Foods - Columbia/Lexington</v>
      </c>
      <c r="D1745" s="2" t="str">
        <f>'Posted Sales Invoice Lines'!E1745</f>
        <v>F51044</v>
      </c>
      <c r="E1745" s="2" t="str">
        <f>'Posted Sales Invoice Lines'!F1745</f>
        <v>Cs. Vienna 5/8" 8lvs</v>
      </c>
      <c r="F1745" s="3">
        <f>'Posted Sales Invoice Lines'!G1745</f>
        <v>46184</v>
      </c>
      <c r="G1745" s="9">
        <f>'Posted Sales Invoice Lines'!L1745</f>
        <v>24</v>
      </c>
      <c r="H1745" s="8">
        <f>'Posted Sales Invoice Lines'!N1745</f>
        <v>40</v>
      </c>
      <c r="I1745" s="8">
        <f>'Posted Sales Invoice Lines'!O1745</f>
        <v>960</v>
      </c>
    </row>
    <row r="1746" spans="1:9" x14ac:dyDescent="0.25">
      <c r="A1746" s="2" t="str">
        <f>'Posted Sales Invoice Lines'!A1746</f>
        <v>PS-INV223875</v>
      </c>
      <c r="B1746" s="2" t="str">
        <f>'Posted Sales Invoice Lines'!B1746</f>
        <v>10719-4</v>
      </c>
      <c r="C1746" s="2" t="str">
        <f>'Posted Sales Invoice Lines'!C1746</f>
        <v>US Foods - Columbia/Lexington</v>
      </c>
      <c r="D1746" s="2" t="str">
        <f>'Posted Sales Invoice Lines'!E1746</f>
        <v>F53010</v>
      </c>
      <c r="E1746" s="2" t="str">
        <f>'Posted Sales Invoice Lines'!F1746</f>
        <v>Cs. Onion Roll 8-12pk</v>
      </c>
      <c r="F1746" s="3">
        <f>'Posted Sales Invoice Lines'!G1746</f>
        <v>46184</v>
      </c>
      <c r="G1746" s="9">
        <f>'Posted Sales Invoice Lines'!L1746</f>
        <v>4</v>
      </c>
      <c r="H1746" s="8">
        <f>'Posted Sales Invoice Lines'!N1746</f>
        <v>41.85</v>
      </c>
      <c r="I1746" s="8">
        <f>'Posted Sales Invoice Lines'!O1746</f>
        <v>167.4</v>
      </c>
    </row>
    <row r="1747" spans="1:9" x14ac:dyDescent="0.25">
      <c r="A1747" s="2" t="str">
        <f>'Posted Sales Invoice Lines'!A1747</f>
        <v>PS-INV223875</v>
      </c>
      <c r="B1747" s="2" t="str">
        <f>'Posted Sales Invoice Lines'!B1747</f>
        <v>10719-4</v>
      </c>
      <c r="C1747" s="2" t="str">
        <f>'Posted Sales Invoice Lines'!C1747</f>
        <v>US Foods - Columbia/Lexington</v>
      </c>
      <c r="D1747" s="2" t="str">
        <f>'Posted Sales Invoice Lines'!E1747</f>
        <v>F53093</v>
      </c>
      <c r="E1747" s="2" t="str">
        <f>'Posted Sales Invoice Lines'!F1747</f>
        <v>Cs. 6" Philly Unsliced 12-6pk</v>
      </c>
      <c r="F1747" s="3">
        <f>'Posted Sales Invoice Lines'!G1747</f>
        <v>46184</v>
      </c>
      <c r="G1747" s="9">
        <f>'Posted Sales Invoice Lines'!L1747</f>
        <v>8</v>
      </c>
      <c r="H1747" s="8">
        <f>'Posted Sales Invoice Lines'!N1747</f>
        <v>47.2</v>
      </c>
      <c r="I1747" s="8">
        <f>'Posted Sales Invoice Lines'!O1747</f>
        <v>377.6</v>
      </c>
    </row>
    <row r="1748" spans="1:9" x14ac:dyDescent="0.25">
      <c r="A1748" s="2" t="str">
        <f>'Posted Sales Invoice Lines'!A1748</f>
        <v>PS-INV223875</v>
      </c>
      <c r="B1748" s="2" t="str">
        <f>'Posted Sales Invoice Lines'!B1748</f>
        <v>10719-4</v>
      </c>
      <c r="C1748" s="2" t="str">
        <f>'Posted Sales Invoice Lines'!C1748</f>
        <v>US Foods - Columbia/Lexington</v>
      </c>
      <c r="D1748" s="2" t="str">
        <f>'Posted Sales Invoice Lines'!E1748</f>
        <v>F51026</v>
      </c>
      <c r="E1748" s="2" t="str">
        <f>'Posted Sales Invoice Lines'!F1748</f>
        <v>Cs. Marble Rye 3/4" 8lvs</v>
      </c>
      <c r="F1748" s="3">
        <f>'Posted Sales Invoice Lines'!G1748</f>
        <v>46184</v>
      </c>
      <c r="G1748" s="9">
        <f>'Posted Sales Invoice Lines'!L1748</f>
        <v>16</v>
      </c>
      <c r="H1748" s="8">
        <f>'Posted Sales Invoice Lines'!N1748</f>
        <v>52</v>
      </c>
      <c r="I1748" s="8">
        <f>'Posted Sales Invoice Lines'!O1748</f>
        <v>832</v>
      </c>
    </row>
    <row r="1749" spans="1:9" x14ac:dyDescent="0.25">
      <c r="A1749" s="2" t="str">
        <f>'Posted Sales Invoice Lines'!A1749</f>
        <v>PS-INV223875</v>
      </c>
      <c r="B1749" s="2" t="str">
        <f>'Posted Sales Invoice Lines'!B1749</f>
        <v>10719-4</v>
      </c>
      <c r="C1749" s="2" t="str">
        <f>'Posted Sales Invoice Lines'!C1749</f>
        <v>US Foods - Columbia/Lexington</v>
      </c>
      <c r="D1749" s="2" t="str">
        <f>'Posted Sales Invoice Lines'!E1749</f>
        <v>F51024</v>
      </c>
      <c r="E1749" s="2" t="str">
        <f>'Posted Sales Invoice Lines'!F1749</f>
        <v>Cs. Marble Rye 5/8" 8lvs</v>
      </c>
      <c r="F1749" s="3">
        <f>'Posted Sales Invoice Lines'!G1749</f>
        <v>46184</v>
      </c>
      <c r="G1749" s="9">
        <f>'Posted Sales Invoice Lines'!L1749</f>
        <v>1</v>
      </c>
      <c r="H1749" s="8">
        <f>'Posted Sales Invoice Lines'!N1749</f>
        <v>54</v>
      </c>
      <c r="I1749" s="8">
        <f>'Posted Sales Invoice Lines'!O1749</f>
        <v>54</v>
      </c>
    </row>
    <row r="1750" spans="1:9" x14ac:dyDescent="0.25">
      <c r="A1750" s="2" t="str">
        <f>'Posted Sales Invoice Lines'!A1750</f>
        <v>PS-INV223875</v>
      </c>
      <c r="B1750" s="2" t="str">
        <f>'Posted Sales Invoice Lines'!B1750</f>
        <v>10719-4</v>
      </c>
      <c r="C1750" s="2" t="str">
        <f>'Posted Sales Invoice Lines'!C1750</f>
        <v>US Foods - Columbia/Lexington</v>
      </c>
      <c r="D1750" s="2" t="str">
        <f>'Posted Sales Invoice Lines'!E1750</f>
        <v>F51020</v>
      </c>
      <c r="E1750" s="2" t="str">
        <f>'Posted Sales Invoice Lines'!F1750</f>
        <v>Cs. Marble Rye 1/2" 8lvs</v>
      </c>
      <c r="F1750" s="3">
        <f>'Posted Sales Invoice Lines'!G1750</f>
        <v>46184</v>
      </c>
      <c r="G1750" s="9">
        <f>'Posted Sales Invoice Lines'!L1750</f>
        <v>12</v>
      </c>
      <c r="H1750" s="8">
        <f>'Posted Sales Invoice Lines'!N1750</f>
        <v>52</v>
      </c>
      <c r="I1750" s="8">
        <f>'Posted Sales Invoice Lines'!O1750</f>
        <v>624</v>
      </c>
    </row>
    <row r="1751" spans="1:9" x14ac:dyDescent="0.25">
      <c r="A1751" s="2" t="str">
        <f>'Posted Sales Invoice Lines'!A1751</f>
        <v>PS-INV223875</v>
      </c>
      <c r="B1751" s="2" t="str">
        <f>'Posted Sales Invoice Lines'!B1751</f>
        <v>10719-4</v>
      </c>
      <c r="C1751" s="2" t="str">
        <f>'Posted Sales Invoice Lines'!C1751</f>
        <v>US Foods - Columbia/Lexington</v>
      </c>
      <c r="D1751" s="2" t="str">
        <f>'Posted Sales Invoice Lines'!E1751</f>
        <v>F53024</v>
      </c>
      <c r="E1751" s="2" t="str">
        <f>'Posted Sales Invoice Lines'!F1751</f>
        <v>Cs. 4" Challah Kaiser 8-12pk</v>
      </c>
      <c r="F1751" s="3">
        <f>'Posted Sales Invoice Lines'!G1751</f>
        <v>46184</v>
      </c>
      <c r="G1751" s="9">
        <f>'Posted Sales Invoice Lines'!L1751</f>
        <v>20</v>
      </c>
      <c r="H1751" s="8">
        <f>'Posted Sales Invoice Lines'!N1751</f>
        <v>38.25</v>
      </c>
      <c r="I1751" s="8">
        <f>'Posted Sales Invoice Lines'!O1751</f>
        <v>765</v>
      </c>
    </row>
    <row r="1752" spans="1:9" x14ac:dyDescent="0.25">
      <c r="A1752" s="2" t="str">
        <f>'Posted Sales Invoice Lines'!A1752</f>
        <v>PS-INV223887</v>
      </c>
      <c r="B1752" s="2" t="str">
        <f>'Posted Sales Invoice Lines'!B1752</f>
        <v>20334</v>
      </c>
      <c r="C1752" s="2" t="str">
        <f>'Posted Sales Invoice Lines'!C1752</f>
        <v>Sysco Atlanta</v>
      </c>
      <c r="D1752" s="2" t="str">
        <f>'Posted Sales Invoice Lines'!E1752</f>
        <v>F53116</v>
      </c>
      <c r="E1752" s="2" t="str">
        <f>'Posted Sales Invoice Lines'!F1752</f>
        <v>Cs. 7" French Hinged 12-6pk</v>
      </c>
      <c r="F1752" s="3">
        <f>'Posted Sales Invoice Lines'!G1752</f>
        <v>46184</v>
      </c>
      <c r="G1752" s="9">
        <f>'Posted Sales Invoice Lines'!L1752</f>
        <v>84</v>
      </c>
      <c r="H1752" s="8">
        <f>'Posted Sales Invoice Lines'!N1752</f>
        <v>31.42</v>
      </c>
      <c r="I1752" s="8">
        <f>'Posted Sales Invoice Lines'!O1752</f>
        <v>2639.28</v>
      </c>
    </row>
    <row r="1753" spans="1:9" x14ac:dyDescent="0.25">
      <c r="A1753" s="2" t="str">
        <f>'Posted Sales Invoice Lines'!A1753</f>
        <v>PS-INV223887</v>
      </c>
      <c r="B1753" s="2" t="str">
        <f>'Posted Sales Invoice Lines'!B1753</f>
        <v>20334</v>
      </c>
      <c r="C1753" s="2" t="str">
        <f>'Posted Sales Invoice Lines'!C1753</f>
        <v>Sysco Atlanta</v>
      </c>
      <c r="D1753" s="2" t="str">
        <f>'Posted Sales Invoice Lines'!E1753</f>
        <v>F53087</v>
      </c>
      <c r="E1753" s="2" t="str">
        <f>'Posted Sales Invoice Lines'!F1753</f>
        <v>Cs. 3.5" Challah Bun 8-12 pk</v>
      </c>
      <c r="F1753" s="3">
        <f>'Posted Sales Invoice Lines'!G1753</f>
        <v>46184</v>
      </c>
      <c r="G1753" s="9">
        <f>'Posted Sales Invoice Lines'!L1753</f>
        <v>140</v>
      </c>
      <c r="H1753" s="8">
        <f>'Posted Sales Invoice Lines'!N1753</f>
        <v>34</v>
      </c>
      <c r="I1753" s="8">
        <f>'Posted Sales Invoice Lines'!O1753</f>
        <v>4760</v>
      </c>
    </row>
    <row r="1754" spans="1:9" x14ac:dyDescent="0.25">
      <c r="A1754" s="2" t="str">
        <f>'Posted Sales Invoice Lines'!A1754</f>
        <v>PS-INV223887</v>
      </c>
      <c r="B1754" s="2" t="str">
        <f>'Posted Sales Invoice Lines'!B1754</f>
        <v>20334</v>
      </c>
      <c r="C1754" s="2" t="str">
        <f>'Posted Sales Invoice Lines'!C1754</f>
        <v>Sysco Atlanta</v>
      </c>
      <c r="D1754" s="2" t="str">
        <f>'Posted Sales Invoice Lines'!E1754</f>
        <v>F51024</v>
      </c>
      <c r="E1754" s="2" t="str">
        <f>'Posted Sales Invoice Lines'!F1754</f>
        <v>Cs. Marble Rye 5/8" 8lvs</v>
      </c>
      <c r="F1754" s="3">
        <f>'Posted Sales Invoice Lines'!G1754</f>
        <v>46184</v>
      </c>
      <c r="G1754" s="9">
        <f>'Posted Sales Invoice Lines'!L1754</f>
        <v>12</v>
      </c>
      <c r="H1754" s="8">
        <f>'Posted Sales Invoice Lines'!N1754</f>
        <v>43.26</v>
      </c>
      <c r="I1754" s="8">
        <f>'Posted Sales Invoice Lines'!O1754</f>
        <v>519.12</v>
      </c>
    </row>
    <row r="1755" spans="1:9" x14ac:dyDescent="0.25">
      <c r="A1755" s="2" t="str">
        <f>'Posted Sales Invoice Lines'!A1755</f>
        <v>PS-INV223887</v>
      </c>
      <c r="B1755" s="2" t="str">
        <f>'Posted Sales Invoice Lines'!B1755</f>
        <v>20334</v>
      </c>
      <c r="C1755" s="2" t="str">
        <f>'Posted Sales Invoice Lines'!C1755</f>
        <v>Sysco Atlanta</v>
      </c>
      <c r="D1755" s="2" t="str">
        <f>'Posted Sales Invoice Lines'!E1755</f>
        <v>F51127</v>
      </c>
      <c r="E1755" s="2" t="str">
        <f>'Posted Sales Invoice Lines'!F1755</f>
        <v>Cs. Challah 3-Braid 8</v>
      </c>
      <c r="F1755" s="3">
        <f>'Posted Sales Invoice Lines'!G1755</f>
        <v>46184</v>
      </c>
      <c r="G1755" s="9">
        <f>'Posted Sales Invoice Lines'!L1755</f>
        <v>20</v>
      </c>
      <c r="H1755" s="8">
        <f>'Posted Sales Invoice Lines'!N1755</f>
        <v>43.26</v>
      </c>
      <c r="I1755" s="8">
        <f>'Posted Sales Invoice Lines'!O1755</f>
        <v>865.2</v>
      </c>
    </row>
    <row r="1756" spans="1:9" x14ac:dyDescent="0.25">
      <c r="A1756" s="2" t="str">
        <f>'Posted Sales Invoice Lines'!A1756</f>
        <v>PS-INV223887</v>
      </c>
      <c r="B1756" s="2" t="str">
        <f>'Posted Sales Invoice Lines'!B1756</f>
        <v>20334</v>
      </c>
      <c r="C1756" s="2" t="str">
        <f>'Posted Sales Invoice Lines'!C1756</f>
        <v>Sysco Atlanta</v>
      </c>
      <c r="D1756" s="2" t="str">
        <f>'Posted Sales Invoice Lines'!E1756</f>
        <v>F53001</v>
      </c>
      <c r="E1756" s="2" t="str">
        <f>'Posted Sales Invoice Lines'!F1756</f>
        <v>Cs. 4" Brioche Bun 8-12pk</v>
      </c>
      <c r="F1756" s="3">
        <f>'Posted Sales Invoice Lines'!G1756</f>
        <v>46184</v>
      </c>
      <c r="G1756" s="9">
        <f>'Posted Sales Invoice Lines'!L1756</f>
        <v>196</v>
      </c>
      <c r="H1756" s="8">
        <f>'Posted Sales Invoice Lines'!N1756</f>
        <v>43.36</v>
      </c>
      <c r="I1756" s="8">
        <f>'Posted Sales Invoice Lines'!O1756</f>
        <v>8498.56</v>
      </c>
    </row>
    <row r="1757" spans="1:9" x14ac:dyDescent="0.25">
      <c r="A1757" s="2" t="str">
        <f>'Posted Sales Invoice Lines'!A1757</f>
        <v>PS-INV223887</v>
      </c>
      <c r="B1757" s="2" t="str">
        <f>'Posted Sales Invoice Lines'!B1757</f>
        <v>20334</v>
      </c>
      <c r="C1757" s="2" t="str">
        <f>'Posted Sales Invoice Lines'!C1757</f>
        <v>Sysco Atlanta</v>
      </c>
      <c r="D1757" s="2" t="str">
        <f>'Posted Sales Invoice Lines'!E1757</f>
        <v>F53033</v>
      </c>
      <c r="E1757" s="2" t="str">
        <f>'Posted Sales Invoice Lines'!F1757</f>
        <v>Cs. 4" Parker House 8-12pk</v>
      </c>
      <c r="F1757" s="3">
        <f>'Posted Sales Invoice Lines'!G1757</f>
        <v>46184</v>
      </c>
      <c r="G1757" s="9">
        <f>'Posted Sales Invoice Lines'!L1757</f>
        <v>28</v>
      </c>
      <c r="H1757" s="8">
        <f>'Posted Sales Invoice Lines'!N1757</f>
        <v>39.53</v>
      </c>
      <c r="I1757" s="8">
        <f>'Posted Sales Invoice Lines'!O1757</f>
        <v>1106.8399999999999</v>
      </c>
    </row>
    <row r="1758" spans="1:9" x14ac:dyDescent="0.25">
      <c r="A1758" s="2" t="str">
        <f>'Posted Sales Invoice Lines'!A1758</f>
        <v>PS-INV223887</v>
      </c>
      <c r="B1758" s="2" t="str">
        <f>'Posted Sales Invoice Lines'!B1758</f>
        <v>20334</v>
      </c>
      <c r="C1758" s="2" t="str">
        <f>'Posted Sales Invoice Lines'!C1758</f>
        <v>Sysco Atlanta</v>
      </c>
      <c r="D1758" s="2" t="str">
        <f>'Posted Sales Invoice Lines'!E1758</f>
        <v>F51034</v>
      </c>
      <c r="E1758" s="2" t="str">
        <f>'Posted Sales Invoice Lines'!F1758</f>
        <v>Cs. Sour Dough Hearth 5/8" 8lvs</v>
      </c>
      <c r="F1758" s="3">
        <f>'Posted Sales Invoice Lines'!G1758</f>
        <v>46184</v>
      </c>
      <c r="G1758" s="9">
        <f>'Posted Sales Invoice Lines'!L1758</f>
        <v>40</v>
      </c>
      <c r="H1758" s="8">
        <f>'Posted Sales Invoice Lines'!N1758</f>
        <v>41.2</v>
      </c>
      <c r="I1758" s="8">
        <f>'Posted Sales Invoice Lines'!O1758</f>
        <v>1648</v>
      </c>
    </row>
    <row r="1759" spans="1:9" x14ac:dyDescent="0.25">
      <c r="A1759" s="2" t="str">
        <f>'Posted Sales Invoice Lines'!A1759</f>
        <v>PS-INV223887</v>
      </c>
      <c r="B1759" s="2" t="str">
        <f>'Posted Sales Invoice Lines'!B1759</f>
        <v>20334</v>
      </c>
      <c r="C1759" s="2" t="str">
        <f>'Posted Sales Invoice Lines'!C1759</f>
        <v>Sysco Atlanta</v>
      </c>
      <c r="D1759" s="2" t="str">
        <f>'Posted Sales Invoice Lines'!E1759</f>
        <v>F53003</v>
      </c>
      <c r="E1759" s="2" t="str">
        <f>'Posted Sales Invoice Lines'!F1759</f>
        <v>Cs. 4" Unseeded Challah Bun 8-12pk</v>
      </c>
      <c r="F1759" s="3">
        <f>'Posted Sales Invoice Lines'!G1759</f>
        <v>46184</v>
      </c>
      <c r="G1759" s="9">
        <f>'Posted Sales Invoice Lines'!L1759</f>
        <v>24</v>
      </c>
      <c r="H1759" s="8">
        <f>'Posted Sales Invoice Lines'!N1759</f>
        <v>38.19</v>
      </c>
      <c r="I1759" s="8">
        <f>'Posted Sales Invoice Lines'!O1759</f>
        <v>916.56</v>
      </c>
    </row>
    <row r="1760" spans="1:9" x14ac:dyDescent="0.25">
      <c r="A1760" s="2" t="str">
        <f>'Posted Sales Invoice Lines'!A1760</f>
        <v>PS-INV223887</v>
      </c>
      <c r="B1760" s="2" t="str">
        <f>'Posted Sales Invoice Lines'!B1760</f>
        <v>20334</v>
      </c>
      <c r="C1760" s="2" t="str">
        <f>'Posted Sales Invoice Lines'!C1760</f>
        <v>Sysco Atlanta</v>
      </c>
      <c r="D1760" s="2" t="str">
        <f>'Posted Sales Invoice Lines'!E1760</f>
        <v>F51157</v>
      </c>
      <c r="E1760" s="2" t="str">
        <f>'Posted Sales Invoice Lines'!F1760</f>
        <v>Cs. Challah Hearth 7/8" 8lvs</v>
      </c>
      <c r="F1760" s="3">
        <f>'Posted Sales Invoice Lines'!G1760</f>
        <v>46184</v>
      </c>
      <c r="G1760" s="9">
        <f>'Posted Sales Invoice Lines'!L1760</f>
        <v>12</v>
      </c>
      <c r="H1760" s="8">
        <f>'Posted Sales Invoice Lines'!N1760</f>
        <v>42.02</v>
      </c>
      <c r="I1760" s="8">
        <f>'Posted Sales Invoice Lines'!O1760</f>
        <v>504.24</v>
      </c>
    </row>
    <row r="1761" spans="1:9" x14ac:dyDescent="0.25">
      <c r="A1761" s="2" t="str">
        <f>'Posted Sales Invoice Lines'!A1761</f>
        <v>PS-INV223887</v>
      </c>
      <c r="B1761" s="2" t="str">
        <f>'Posted Sales Invoice Lines'!B1761</f>
        <v>20334</v>
      </c>
      <c r="C1761" s="2" t="str">
        <f>'Posted Sales Invoice Lines'!C1761</f>
        <v>Sysco Atlanta</v>
      </c>
      <c r="D1761" s="2" t="str">
        <f>'Posted Sales Invoice Lines'!E1761</f>
        <v>F53140</v>
      </c>
      <c r="E1761" s="2" t="str">
        <f>'Posted Sales Invoice Lines'!F1761</f>
        <v>Cs. Knuckies 8" White 12-6pk</v>
      </c>
      <c r="F1761" s="3">
        <f>'Posted Sales Invoice Lines'!G1761</f>
        <v>46184</v>
      </c>
      <c r="G1761" s="9">
        <f>'Posted Sales Invoice Lines'!L1761</f>
        <v>40</v>
      </c>
      <c r="H1761" s="8">
        <f>'Posted Sales Invoice Lines'!N1761</f>
        <v>41</v>
      </c>
      <c r="I1761" s="8">
        <f>'Posted Sales Invoice Lines'!O1761</f>
        <v>1640</v>
      </c>
    </row>
    <row r="1762" spans="1:9" x14ac:dyDescent="0.25">
      <c r="A1762" s="2" t="str">
        <f>'Posted Sales Invoice Lines'!A1762</f>
        <v>PS-INV223891</v>
      </c>
      <c r="B1762" s="2" t="str">
        <f>'Posted Sales Invoice Lines'!B1762</f>
        <v>10711</v>
      </c>
      <c r="C1762" s="2" t="str">
        <f>'Posted Sales Invoice Lines'!C1762</f>
        <v>Cheney Bros Statesville</v>
      </c>
      <c r="D1762" s="2" t="str">
        <f>'Posted Sales Invoice Lines'!E1762</f>
        <v>F530142</v>
      </c>
      <c r="E1762" s="2" t="str">
        <f>'Posted Sales Invoice Lines'!F1762</f>
        <v>Cs. Knot Roll 8-12pk</v>
      </c>
      <c r="F1762" s="3">
        <f>'Posted Sales Invoice Lines'!G1762</f>
        <v>46184</v>
      </c>
      <c r="G1762" s="9">
        <f>'Posted Sales Invoice Lines'!L1762</f>
        <v>532</v>
      </c>
      <c r="H1762" s="8">
        <f>'Posted Sales Invoice Lines'!N1762</f>
        <v>33.42</v>
      </c>
      <c r="I1762" s="8">
        <f>'Posted Sales Invoice Lines'!O1762</f>
        <v>17779.439999999999</v>
      </c>
    </row>
    <row r="1763" spans="1:9" x14ac:dyDescent="0.25">
      <c r="A1763" s="2" t="str">
        <f>'Posted Sales Invoice Lines'!A1763</f>
        <v>PS-INV223891</v>
      </c>
      <c r="B1763" s="2" t="str">
        <f>'Posted Sales Invoice Lines'!B1763</f>
        <v>10711</v>
      </c>
      <c r="C1763" s="2" t="str">
        <f>'Posted Sales Invoice Lines'!C1763</f>
        <v>Cheney Bros Statesville</v>
      </c>
      <c r="D1763" s="2" t="str">
        <f>'Posted Sales Invoice Lines'!E1763</f>
        <v>F540202</v>
      </c>
      <c r="E1763" s="2" t="str">
        <f>'Posted Sales Invoice Lines'!F1763</f>
        <v>Cs. HBH Wheat Roll</v>
      </c>
      <c r="F1763" s="3">
        <f>'Posted Sales Invoice Lines'!G1763</f>
        <v>46184</v>
      </c>
      <c r="G1763" s="9">
        <f>'Posted Sales Invoice Lines'!L1763</f>
        <v>0</v>
      </c>
      <c r="H1763" s="8">
        <f>'Posted Sales Invoice Lines'!N1763</f>
        <v>26.22</v>
      </c>
      <c r="I1763" s="8">
        <f>'Posted Sales Invoice Lines'!O1763</f>
        <v>0</v>
      </c>
    </row>
    <row r="1764" spans="1:9" x14ac:dyDescent="0.25">
      <c r="A1764" s="2" t="str">
        <f>'Posted Sales Invoice Lines'!A1764</f>
        <v>PS-INV224542</v>
      </c>
      <c r="B1764" s="2" t="str">
        <f>'Posted Sales Invoice Lines'!B1764</f>
        <v>12988</v>
      </c>
      <c r="C1764" s="2" t="str">
        <f>'Posted Sales Invoice Lines'!C1764</f>
        <v>Sysco Norman OK</v>
      </c>
      <c r="D1764" s="2" t="str">
        <f>'Posted Sales Invoice Lines'!E1764</f>
        <v>F53001</v>
      </c>
      <c r="E1764" s="2" t="str">
        <f>'Posted Sales Invoice Lines'!F1764</f>
        <v>Cs. 4" Brioche Bun 8-12pk</v>
      </c>
      <c r="F1764" s="3">
        <f>'Posted Sales Invoice Lines'!G1764</f>
        <v>46190</v>
      </c>
      <c r="G1764" s="9">
        <f>'Posted Sales Invoice Lines'!L1764</f>
        <v>476</v>
      </c>
      <c r="H1764" s="8">
        <f>'Posted Sales Invoice Lines'!N1764</f>
        <v>46</v>
      </c>
      <c r="I1764" s="8">
        <f>'Posted Sales Invoice Lines'!O1764</f>
        <v>21896</v>
      </c>
    </row>
    <row r="1765" spans="1:9" x14ac:dyDescent="0.25">
      <c r="A1765" s="2" t="str">
        <f>'Posted Sales Invoice Lines'!A1765</f>
        <v>PS-INV224542</v>
      </c>
      <c r="B1765" s="2" t="str">
        <f>'Posted Sales Invoice Lines'!B1765</f>
        <v>12988</v>
      </c>
      <c r="C1765" s="2" t="str">
        <f>'Posted Sales Invoice Lines'!C1765</f>
        <v>Sysco Norman OK</v>
      </c>
      <c r="D1765" s="2" t="str">
        <f>'Posted Sales Invoice Lines'!E1765</f>
        <v>F530491</v>
      </c>
      <c r="E1765" s="2" t="str">
        <f>'Posted Sales Invoice Lines'!F1765</f>
        <v>Cs. 4.5 Brioche Bun 6-12pk</v>
      </c>
      <c r="F1765" s="3">
        <f>'Posted Sales Invoice Lines'!G1765</f>
        <v>46190</v>
      </c>
      <c r="G1765" s="9">
        <f>'Posted Sales Invoice Lines'!L1765</f>
        <v>49</v>
      </c>
      <c r="H1765" s="8">
        <f>'Posted Sales Invoice Lines'!N1765</f>
        <v>40</v>
      </c>
      <c r="I1765" s="8">
        <f>'Posted Sales Invoice Lines'!O1765</f>
        <v>1960</v>
      </c>
    </row>
    <row r="1766" spans="1:9" x14ac:dyDescent="0.25">
      <c r="A1766" s="2" t="str">
        <f>'Posted Sales Invoice Lines'!A1766</f>
        <v>PS-INV224543</v>
      </c>
      <c r="B1766" s="2" t="str">
        <f>'Posted Sales Invoice Lines'!B1766</f>
        <v>10540-03</v>
      </c>
      <c r="C1766" s="2" t="str">
        <f>'Posted Sales Invoice Lines'!C1766</f>
        <v>PFG Louisville TN</v>
      </c>
      <c r="D1766" s="2" t="str">
        <f>'Posted Sales Invoice Lines'!E1766</f>
        <v>F53001</v>
      </c>
      <c r="E1766" s="2" t="str">
        <f>'Posted Sales Invoice Lines'!F1766</f>
        <v>Cs. 4" Brioche Bun 8-12pk</v>
      </c>
      <c r="F1766" s="3">
        <f>'Posted Sales Invoice Lines'!G1766</f>
        <v>46183</v>
      </c>
      <c r="G1766" s="9">
        <f>'Posted Sales Invoice Lines'!L1766</f>
        <v>280</v>
      </c>
      <c r="H1766" s="8">
        <f>'Posted Sales Invoice Lines'!N1766</f>
        <v>42.6</v>
      </c>
      <c r="I1766" s="8">
        <f>'Posted Sales Invoice Lines'!O1766</f>
        <v>11928</v>
      </c>
    </row>
    <row r="1767" spans="1:9" x14ac:dyDescent="0.25">
      <c r="A1767" s="2" t="str">
        <f>'Posted Sales Invoice Lines'!A1767</f>
        <v>PS-INV224543</v>
      </c>
      <c r="B1767" s="2" t="str">
        <f>'Posted Sales Invoice Lines'!B1767</f>
        <v>10540-03</v>
      </c>
      <c r="C1767" s="2" t="str">
        <f>'Posted Sales Invoice Lines'!C1767</f>
        <v>PFG Louisville TN</v>
      </c>
      <c r="D1767" s="2" t="str">
        <f>'Posted Sales Invoice Lines'!E1767</f>
        <v>F53160</v>
      </c>
      <c r="E1767" s="2" t="str">
        <f>'Posted Sales Invoice Lines'!F1767</f>
        <v>Cs. Large White Sub 6-6pk</v>
      </c>
      <c r="F1767" s="3">
        <f>'Posted Sales Invoice Lines'!G1767</f>
        <v>46183</v>
      </c>
      <c r="G1767" s="9">
        <f>'Posted Sales Invoice Lines'!L1767</f>
        <v>56</v>
      </c>
      <c r="H1767" s="8">
        <f>'Posted Sales Invoice Lines'!N1767</f>
        <v>34.200000000000003</v>
      </c>
      <c r="I1767" s="8">
        <f>'Posted Sales Invoice Lines'!O1767</f>
        <v>1915.2</v>
      </c>
    </row>
    <row r="1768" spans="1:9" x14ac:dyDescent="0.25">
      <c r="A1768" s="2" t="str">
        <f>'Posted Sales Invoice Lines'!A1768</f>
        <v>PS-INV224543</v>
      </c>
      <c r="B1768" s="2" t="str">
        <f>'Posted Sales Invoice Lines'!B1768</f>
        <v>10540-03</v>
      </c>
      <c r="C1768" s="2" t="str">
        <f>'Posted Sales Invoice Lines'!C1768</f>
        <v>PFG Louisville TN</v>
      </c>
      <c r="D1768" s="2" t="str">
        <f>'Posted Sales Invoice Lines'!E1768</f>
        <v>F53180</v>
      </c>
      <c r="E1768" s="2" t="str">
        <f>'Posted Sales Invoice Lines'!F1768</f>
        <v>Cs. Large Pumpernickel Sub 6-6pk</v>
      </c>
      <c r="F1768" s="3">
        <f>'Posted Sales Invoice Lines'!G1768</f>
        <v>46183</v>
      </c>
      <c r="G1768" s="9">
        <f>'Posted Sales Invoice Lines'!L1768</f>
        <v>28</v>
      </c>
      <c r="H1768" s="8">
        <f>'Posted Sales Invoice Lines'!N1768</f>
        <v>35.65</v>
      </c>
      <c r="I1768" s="8">
        <f>'Posted Sales Invoice Lines'!O1768</f>
        <v>998.2</v>
      </c>
    </row>
    <row r="1769" spans="1:9" x14ac:dyDescent="0.25">
      <c r="A1769" s="2" t="str">
        <f>'Posted Sales Invoice Lines'!A1769</f>
        <v>PS-INV224543</v>
      </c>
      <c r="B1769" s="2" t="str">
        <f>'Posted Sales Invoice Lines'!B1769</f>
        <v>10540-03</v>
      </c>
      <c r="C1769" s="2" t="str">
        <f>'Posted Sales Invoice Lines'!C1769</f>
        <v>PFG Louisville TN</v>
      </c>
      <c r="D1769" s="2" t="str">
        <f>'Posted Sales Invoice Lines'!E1769</f>
        <v>F530501</v>
      </c>
      <c r="E1769" s="2" t="str">
        <f>'Posted Sales Invoice Lines'!F1769</f>
        <v>Cs. 4.5" Challah Kaiser 6-12pk</v>
      </c>
      <c r="F1769" s="3">
        <f>'Posted Sales Invoice Lines'!G1769</f>
        <v>46183</v>
      </c>
      <c r="G1769" s="9">
        <f>'Posted Sales Invoice Lines'!L1769</f>
        <v>28</v>
      </c>
      <c r="H1769" s="8">
        <f>'Posted Sales Invoice Lines'!N1769</f>
        <v>38.299999999999997</v>
      </c>
      <c r="I1769" s="8">
        <f>'Posted Sales Invoice Lines'!O1769</f>
        <v>1072.4000000000001</v>
      </c>
    </row>
    <row r="1770" spans="1:9" x14ac:dyDescent="0.25">
      <c r="A1770" s="2" t="str">
        <f>'Posted Sales Invoice Lines'!A1770</f>
        <v>PS-INV224543</v>
      </c>
      <c r="B1770" s="2" t="str">
        <f>'Posted Sales Invoice Lines'!B1770</f>
        <v>10540-03</v>
      </c>
      <c r="C1770" s="2" t="str">
        <f>'Posted Sales Invoice Lines'!C1770</f>
        <v>PFG Louisville TN</v>
      </c>
      <c r="D1770" s="2" t="str">
        <f>'Posted Sales Invoice Lines'!E1770</f>
        <v>F51137</v>
      </c>
      <c r="E1770" s="2" t="str">
        <f>'Posted Sales Invoice Lines'!F1770</f>
        <v>Cs. Texas Toast 3/4" 12lvs</v>
      </c>
      <c r="F1770" s="3">
        <f>'Posted Sales Invoice Lines'!G1770</f>
        <v>46183</v>
      </c>
      <c r="G1770" s="9">
        <f>'Posted Sales Invoice Lines'!L1770</f>
        <v>28</v>
      </c>
      <c r="H1770" s="8">
        <f>'Posted Sales Invoice Lines'!N1770</f>
        <v>40.619999999999997</v>
      </c>
      <c r="I1770" s="8">
        <f>'Posted Sales Invoice Lines'!O1770</f>
        <v>1137.3599999999999</v>
      </c>
    </row>
    <row r="1771" spans="1:9" x14ac:dyDescent="0.25">
      <c r="A1771" s="2" t="str">
        <f>'Posted Sales Invoice Lines'!A1771</f>
        <v>PS-INV224543</v>
      </c>
      <c r="B1771" s="2" t="str">
        <f>'Posted Sales Invoice Lines'!B1771</f>
        <v>10540-03</v>
      </c>
      <c r="C1771" s="2" t="str">
        <f>'Posted Sales Invoice Lines'!C1771</f>
        <v>PFG Louisville TN</v>
      </c>
      <c r="D1771" s="2" t="str">
        <f>'Posted Sales Invoice Lines'!E1771</f>
        <v>F53091</v>
      </c>
      <c r="E1771" s="2" t="str">
        <f>'Posted Sales Invoice Lines'!F1771</f>
        <v>Cs. 6" Hoagie Slab Cut 12-6pk</v>
      </c>
      <c r="F1771" s="3">
        <f>'Posted Sales Invoice Lines'!G1771</f>
        <v>46183</v>
      </c>
      <c r="G1771" s="9">
        <f>'Posted Sales Invoice Lines'!L1771</f>
        <v>12</v>
      </c>
      <c r="H1771" s="8">
        <f>'Posted Sales Invoice Lines'!N1771</f>
        <v>35</v>
      </c>
      <c r="I1771" s="8">
        <f>'Posted Sales Invoice Lines'!O1771</f>
        <v>420</v>
      </c>
    </row>
    <row r="1772" spans="1:9" x14ac:dyDescent="0.25">
      <c r="A1772" s="2" t="str">
        <f>'Posted Sales Invoice Lines'!A1772</f>
        <v>PS-INV224543</v>
      </c>
      <c r="B1772" s="2" t="str">
        <f>'Posted Sales Invoice Lines'!B1772</f>
        <v>10540-03</v>
      </c>
      <c r="C1772" s="2" t="str">
        <f>'Posted Sales Invoice Lines'!C1772</f>
        <v>PFG Louisville TN</v>
      </c>
      <c r="D1772" s="2" t="str">
        <f>'Posted Sales Invoice Lines'!E1772</f>
        <v>F53110</v>
      </c>
      <c r="E1772" s="2" t="str">
        <f>'Posted Sales Invoice Lines'!F1772</f>
        <v>Cs. Foot Long Challah Hot Dog Buns 10-6pk</v>
      </c>
      <c r="F1772" s="3">
        <f>'Posted Sales Invoice Lines'!G1772</f>
        <v>46183</v>
      </c>
      <c r="G1772" s="9">
        <f>'Posted Sales Invoice Lines'!L1772</f>
        <v>0</v>
      </c>
      <c r="H1772" s="8">
        <f>'Posted Sales Invoice Lines'!N1772</f>
        <v>39.25</v>
      </c>
      <c r="I1772" s="8">
        <f>'Posted Sales Invoice Lines'!O1772</f>
        <v>0</v>
      </c>
    </row>
    <row r="1773" spans="1:9" x14ac:dyDescent="0.25">
      <c r="A1773" s="2" t="str">
        <f>'Posted Sales Invoice Lines'!A1773</f>
        <v>PS-INV224543</v>
      </c>
      <c r="B1773" s="2" t="str">
        <f>'Posted Sales Invoice Lines'!B1773</f>
        <v>10540-03</v>
      </c>
      <c r="C1773" s="2" t="str">
        <f>'Posted Sales Invoice Lines'!C1773</f>
        <v>PFG Louisville TN</v>
      </c>
      <c r="D1773" s="2" t="str">
        <f>'Posted Sales Invoice Lines'!E1773</f>
        <v>F53105</v>
      </c>
      <c r="E1773" s="2" t="str">
        <f>'Posted Sales Invoice Lines'!F1773</f>
        <v>Cs. 6" White Hot Dog 16-8pk</v>
      </c>
      <c r="F1773" s="3">
        <f>'Posted Sales Invoice Lines'!G1773</f>
        <v>46183</v>
      </c>
      <c r="G1773" s="9">
        <f>'Posted Sales Invoice Lines'!L1773</f>
        <v>0</v>
      </c>
      <c r="H1773" s="8">
        <f>'Posted Sales Invoice Lines'!N1773</f>
        <v>34.5</v>
      </c>
      <c r="I1773" s="8">
        <f>'Posted Sales Invoice Lines'!O1773</f>
        <v>0</v>
      </c>
    </row>
    <row r="1774" spans="1:9" x14ac:dyDescent="0.25">
      <c r="A1774" s="2" t="str">
        <f>'Posted Sales Invoice Lines'!A1774</f>
        <v>PS-INV224543</v>
      </c>
      <c r="B1774" s="2" t="str">
        <f>'Posted Sales Invoice Lines'!B1774</f>
        <v>10540-03</v>
      </c>
      <c r="C1774" s="2" t="str">
        <f>'Posted Sales Invoice Lines'!C1774</f>
        <v>PFG Louisville TN</v>
      </c>
      <c r="D1774" s="2" t="str">
        <f>'Posted Sales Invoice Lines'!E1774</f>
        <v>F53094</v>
      </c>
      <c r="E1774" s="2" t="str">
        <f>'Posted Sales Invoice Lines'!F1774</f>
        <v>Cs. 6" Italian 12-6pks</v>
      </c>
      <c r="F1774" s="3">
        <f>'Posted Sales Invoice Lines'!G1774</f>
        <v>46183</v>
      </c>
      <c r="G1774" s="9">
        <f>'Posted Sales Invoice Lines'!L1774</f>
        <v>56</v>
      </c>
      <c r="H1774" s="8">
        <f>'Posted Sales Invoice Lines'!N1774</f>
        <v>35</v>
      </c>
      <c r="I1774" s="8">
        <f>'Posted Sales Invoice Lines'!O1774</f>
        <v>1960</v>
      </c>
    </row>
    <row r="1775" spans="1:9" x14ac:dyDescent="0.25">
      <c r="A1775" s="2" t="str">
        <f>'Posted Sales Invoice Lines'!A1775</f>
        <v>PS-INV224543</v>
      </c>
      <c r="B1775" s="2" t="str">
        <f>'Posted Sales Invoice Lines'!B1775</f>
        <v>10540-03</v>
      </c>
      <c r="C1775" s="2" t="str">
        <f>'Posted Sales Invoice Lines'!C1775</f>
        <v>PFG Louisville TN</v>
      </c>
      <c r="D1775" s="2" t="str">
        <f>'Posted Sales Invoice Lines'!E1775</f>
        <v>F51030</v>
      </c>
      <c r="E1775" s="2" t="str">
        <f>'Posted Sales Invoice Lines'!F1775</f>
        <v>Cs. Sour Dough Hearth 8lvs</v>
      </c>
      <c r="F1775" s="3">
        <f>'Posted Sales Invoice Lines'!G1775</f>
        <v>46183</v>
      </c>
      <c r="G1775" s="9">
        <f>'Posted Sales Invoice Lines'!L1775</f>
        <v>0</v>
      </c>
      <c r="H1775" s="8">
        <f>'Posted Sales Invoice Lines'!N1775</f>
        <v>43.82</v>
      </c>
      <c r="I1775" s="8">
        <f>'Posted Sales Invoice Lines'!O1775</f>
        <v>0</v>
      </c>
    </row>
    <row r="1776" spans="1:9" x14ac:dyDescent="0.25">
      <c r="A1776" s="2" t="str">
        <f>'Posted Sales Invoice Lines'!A1776</f>
        <v>PS-INV224543</v>
      </c>
      <c r="B1776" s="2" t="str">
        <f>'Posted Sales Invoice Lines'!B1776</f>
        <v>10540-03</v>
      </c>
      <c r="C1776" s="2" t="str">
        <f>'Posted Sales Invoice Lines'!C1776</f>
        <v>PFG Louisville TN</v>
      </c>
      <c r="D1776" s="2" t="str">
        <f>'Posted Sales Invoice Lines'!E1776</f>
        <v>F52007</v>
      </c>
      <c r="E1776" s="2" t="str">
        <f>'Posted Sales Invoice Lines'!F1776</f>
        <v>Cs. 22" 17oz French 10-2pk</v>
      </c>
      <c r="F1776" s="3">
        <f>'Posted Sales Invoice Lines'!G1776</f>
        <v>46183</v>
      </c>
      <c r="G1776" s="9">
        <f>'Posted Sales Invoice Lines'!L1776</f>
        <v>28</v>
      </c>
      <c r="H1776" s="8">
        <f>'Posted Sales Invoice Lines'!N1776</f>
        <v>42</v>
      </c>
      <c r="I1776" s="8">
        <f>'Posted Sales Invoice Lines'!O1776</f>
        <v>1176</v>
      </c>
    </row>
    <row r="1777" spans="1:9" x14ac:dyDescent="0.25">
      <c r="A1777" s="2" t="str">
        <f>'Posted Sales Invoice Lines'!A1777</f>
        <v>PS-INV224543</v>
      </c>
      <c r="B1777" s="2" t="str">
        <f>'Posted Sales Invoice Lines'!B1777</f>
        <v>10540-03</v>
      </c>
      <c r="C1777" s="2" t="str">
        <f>'Posted Sales Invoice Lines'!C1777</f>
        <v>PFG Louisville TN</v>
      </c>
      <c r="D1777" s="2" t="str">
        <f>'Posted Sales Invoice Lines'!E1777</f>
        <v>F51034</v>
      </c>
      <c r="E1777" s="2" t="str">
        <f>'Posted Sales Invoice Lines'!F1777</f>
        <v>Cs. Sour Dough Hearth 5/8" 8lvs</v>
      </c>
      <c r="F1777" s="3">
        <f>'Posted Sales Invoice Lines'!G1777</f>
        <v>46183</v>
      </c>
      <c r="G1777" s="9">
        <f>'Posted Sales Invoice Lines'!L1777</f>
        <v>32</v>
      </c>
      <c r="H1777" s="8">
        <f>'Posted Sales Invoice Lines'!N1777</f>
        <v>43.82</v>
      </c>
      <c r="I1777" s="8">
        <f>'Posted Sales Invoice Lines'!O1777</f>
        <v>1402.24</v>
      </c>
    </row>
    <row r="1778" spans="1:9" x14ac:dyDescent="0.25">
      <c r="A1778" s="2" t="str">
        <f>'Posted Sales Invoice Lines'!A1778</f>
        <v>PS-INV224543</v>
      </c>
      <c r="B1778" s="2" t="str">
        <f>'Posted Sales Invoice Lines'!B1778</f>
        <v>10540-03</v>
      </c>
      <c r="C1778" s="2" t="str">
        <f>'Posted Sales Invoice Lines'!C1778</f>
        <v>PFG Louisville TN</v>
      </c>
      <c r="D1778" s="2" t="str">
        <f>'Posted Sales Invoice Lines'!E1778</f>
        <v>F52550</v>
      </c>
      <c r="E1778" s="2" t="str">
        <f>'Posted Sales Invoice Lines'!F1778</f>
        <v>Cs. Multigrain Batard 1/2" 8lvs</v>
      </c>
      <c r="F1778" s="3">
        <f>'Posted Sales Invoice Lines'!G1778</f>
        <v>46183</v>
      </c>
      <c r="G1778" s="9">
        <f>'Posted Sales Invoice Lines'!L1778</f>
        <v>8</v>
      </c>
      <c r="H1778" s="8">
        <f>'Posted Sales Invoice Lines'!N1778</f>
        <v>64</v>
      </c>
      <c r="I1778" s="8">
        <f>'Posted Sales Invoice Lines'!O1778</f>
        <v>512</v>
      </c>
    </row>
    <row r="1779" spans="1:9" x14ac:dyDescent="0.25">
      <c r="A1779" s="2" t="str">
        <f>'Posted Sales Invoice Lines'!A1779</f>
        <v>PS-INV224544</v>
      </c>
      <c r="B1779" s="2" t="str">
        <f>'Posted Sales Invoice Lines'!B1779</f>
        <v>13128</v>
      </c>
      <c r="C1779" s="2" t="str">
        <f>'Posted Sales Invoice Lines'!C1779</f>
        <v>Gordon Food Service - Shepherdsville</v>
      </c>
      <c r="D1779" s="2" t="str">
        <f>'Posted Sales Invoice Lines'!E1779</f>
        <v>F56251</v>
      </c>
      <c r="E1779" s="2" t="str">
        <f>'Posted Sales Invoice Lines'!F1779</f>
        <v>Cs. Challah Sliders Sliced 18-12pks</v>
      </c>
      <c r="F1779" s="3">
        <f>'Posted Sales Invoice Lines'!G1779</f>
        <v>46185</v>
      </c>
      <c r="G1779" s="9">
        <f>'Posted Sales Invoice Lines'!L1779</f>
        <v>848</v>
      </c>
      <c r="H1779" s="8">
        <f>'Posted Sales Invoice Lines'!N1779</f>
        <v>39.700000000000003</v>
      </c>
      <c r="I1779" s="8">
        <f>'Posted Sales Invoice Lines'!O1779</f>
        <v>33665.599999999999</v>
      </c>
    </row>
    <row r="1780" spans="1:9" x14ac:dyDescent="0.25">
      <c r="A1780" s="2" t="str">
        <f>'Posted Sales Invoice Lines'!A1780</f>
        <v>PS-INV225007</v>
      </c>
      <c r="B1780" s="2" t="str">
        <f>'Posted Sales Invoice Lines'!B1780</f>
        <v>13244</v>
      </c>
      <c r="C1780" s="2" t="str">
        <f>'Posted Sales Invoice Lines'!C1780</f>
        <v>PFG Cedar Rapids IA</v>
      </c>
      <c r="D1780" s="2" t="str">
        <f>'Posted Sales Invoice Lines'!E1780</f>
        <v>F53001</v>
      </c>
      <c r="E1780" s="2" t="str">
        <f>'Posted Sales Invoice Lines'!F1780</f>
        <v>Cs. 4" Brioche Bun 8-12pk</v>
      </c>
      <c r="F1780" s="3">
        <f>'Posted Sales Invoice Lines'!G1780</f>
        <v>46191</v>
      </c>
      <c r="G1780" s="9">
        <f>'Posted Sales Invoice Lines'!L1780</f>
        <v>532</v>
      </c>
      <c r="H1780" s="8">
        <f>'Posted Sales Invoice Lines'!N1780</f>
        <v>42.6</v>
      </c>
      <c r="I1780" s="8">
        <f>'Posted Sales Invoice Lines'!O1780</f>
        <v>22663.200000000001</v>
      </c>
    </row>
    <row r="1781" spans="1:9" x14ac:dyDescent="0.25">
      <c r="A1781" s="2" t="str">
        <f>'Posted Sales Invoice Lines'!A1781</f>
        <v>PS-INV225007</v>
      </c>
      <c r="B1781" s="2" t="str">
        <f>'Posted Sales Invoice Lines'!B1781</f>
        <v>13244</v>
      </c>
      <c r="C1781" s="2" t="str">
        <f>'Posted Sales Invoice Lines'!C1781</f>
        <v>PFG Cedar Rapids IA</v>
      </c>
      <c r="D1781" s="2" t="str">
        <f>'Posted Sales Invoice Lines'!E1781</f>
        <v>F53110</v>
      </c>
      <c r="E1781" s="2" t="str">
        <f>'Posted Sales Invoice Lines'!F1781</f>
        <v>Cs. Foot Long Challah Hot Dog Buns 10-6pk</v>
      </c>
      <c r="F1781" s="3">
        <f>'Posted Sales Invoice Lines'!G1781</f>
        <v>46191</v>
      </c>
      <c r="G1781" s="9">
        <f>'Posted Sales Invoice Lines'!L1781</f>
        <v>48</v>
      </c>
      <c r="H1781" s="8">
        <f>'Posted Sales Invoice Lines'!N1781</f>
        <v>39.25</v>
      </c>
      <c r="I1781" s="8">
        <f>'Posted Sales Invoice Lines'!O1781</f>
        <v>1884</v>
      </c>
    </row>
    <row r="1782" spans="1:9" x14ac:dyDescent="0.25">
      <c r="A1782" s="2" t="str">
        <f>'Posted Sales Invoice Lines'!A1782</f>
        <v>PS-INV225007</v>
      </c>
      <c r="B1782" s="2" t="str">
        <f>'Posted Sales Invoice Lines'!B1782</f>
        <v>13244</v>
      </c>
      <c r="C1782" s="2" t="str">
        <f>'Posted Sales Invoice Lines'!C1782</f>
        <v>PFG Cedar Rapids IA</v>
      </c>
      <c r="D1782" s="2" t="str">
        <f>'Posted Sales Invoice Lines'!E1782</f>
        <v>F53105</v>
      </c>
      <c r="E1782" s="2" t="str">
        <f>'Posted Sales Invoice Lines'!F1782</f>
        <v>Cs. 6" White Hot Dog 16-8pk</v>
      </c>
      <c r="F1782" s="3">
        <f>'Posted Sales Invoice Lines'!G1782</f>
        <v>46191</v>
      </c>
      <c r="G1782" s="9">
        <f>'Posted Sales Invoice Lines'!L1782</f>
        <v>168</v>
      </c>
      <c r="H1782" s="8">
        <f>'Posted Sales Invoice Lines'!N1782</f>
        <v>34.5</v>
      </c>
      <c r="I1782" s="8">
        <f>'Posted Sales Invoice Lines'!O1782</f>
        <v>5796</v>
      </c>
    </row>
    <row r="1783" spans="1:9" x14ac:dyDescent="0.25">
      <c r="A1783" s="2" t="str">
        <f>'Posted Sales Invoice Lines'!A1783</f>
        <v>PS-INV225007</v>
      </c>
      <c r="B1783" s="2" t="str">
        <f>'Posted Sales Invoice Lines'!B1783</f>
        <v>13244</v>
      </c>
      <c r="C1783" s="2" t="str">
        <f>'Posted Sales Invoice Lines'!C1783</f>
        <v>PFG Cedar Rapids IA</v>
      </c>
      <c r="D1783" s="2" t="str">
        <f>'Posted Sales Invoice Lines'!E1783</f>
        <v>F53094</v>
      </c>
      <c r="E1783" s="2" t="str">
        <f>'Posted Sales Invoice Lines'!F1783</f>
        <v>Cs. 6" Italian 12-6pks</v>
      </c>
      <c r="F1783" s="3">
        <f>'Posted Sales Invoice Lines'!G1783</f>
        <v>46191</v>
      </c>
      <c r="G1783" s="9">
        <f>'Posted Sales Invoice Lines'!L1783</f>
        <v>84</v>
      </c>
      <c r="H1783" s="8">
        <f>'Posted Sales Invoice Lines'!N1783</f>
        <v>35</v>
      </c>
      <c r="I1783" s="8">
        <f>'Posted Sales Invoice Lines'!O1783</f>
        <v>2940</v>
      </c>
    </row>
    <row r="1784" spans="1:9" x14ac:dyDescent="0.25">
      <c r="A1784" s="2" t="str">
        <f>'Posted Sales Invoice Lines'!A1784</f>
        <v>PS-INV225174</v>
      </c>
      <c r="B1784" s="2" t="str">
        <f>'Posted Sales Invoice Lines'!B1784</f>
        <v>1-4</v>
      </c>
      <c r="C1784" s="2" t="str">
        <f>'Posted Sales Invoice Lines'!C1784</f>
        <v>Heath West</v>
      </c>
      <c r="D1784" s="2" t="str">
        <f>'Posted Sales Invoice Lines'!E1784</f>
        <v>F53124</v>
      </c>
      <c r="E1784" s="2" t="str">
        <f>'Posted Sales Invoice Lines'!F1784</f>
        <v>Cs. 8" Sesame Italian 12-6pk</v>
      </c>
      <c r="F1784" s="3">
        <f>'Posted Sales Invoice Lines'!G1784</f>
        <v>46176</v>
      </c>
      <c r="G1784" s="9">
        <f>'Posted Sales Invoice Lines'!L1784</f>
        <v>0</v>
      </c>
      <c r="H1784" s="8">
        <f>'Posted Sales Invoice Lines'!N1784</f>
        <v>0</v>
      </c>
      <c r="I1784" s="8">
        <f>'Posted Sales Invoice Lines'!O1784</f>
        <v>0</v>
      </c>
    </row>
    <row r="1785" spans="1:9" x14ac:dyDescent="0.25">
      <c r="A1785" s="2" t="str">
        <f>'Posted Sales Invoice Lines'!A1785</f>
        <v>PS-INV225250</v>
      </c>
      <c r="B1785" s="2" t="str">
        <f>'Posted Sales Invoice Lines'!B1785</f>
        <v>13077</v>
      </c>
      <c r="C1785" s="2" t="str">
        <f>'Posted Sales Invoice Lines'!C1785</f>
        <v>Ben E Keith - Little Rock, AR</v>
      </c>
      <c r="D1785" s="2" t="str">
        <f>'Posted Sales Invoice Lines'!E1785</f>
        <v>F53122</v>
      </c>
      <c r="E1785" s="2" t="str">
        <f>'Posted Sales Invoice Lines'!F1785</f>
        <v>Cs. 8" Italian Hinged 12-6pk</v>
      </c>
      <c r="F1785" s="3">
        <f>'Posted Sales Invoice Lines'!G1785</f>
        <v>46190</v>
      </c>
      <c r="G1785" s="9">
        <f>'Posted Sales Invoice Lines'!L1785</f>
        <v>224</v>
      </c>
      <c r="H1785" s="8">
        <f>'Posted Sales Invoice Lines'!N1785</f>
        <v>30</v>
      </c>
      <c r="I1785" s="8">
        <f>'Posted Sales Invoice Lines'!O1785</f>
        <v>6720</v>
      </c>
    </row>
    <row r="1786" spans="1:9" x14ac:dyDescent="0.25">
      <c r="A1786" s="2" t="str">
        <f>'Posted Sales Invoice Lines'!A1786</f>
        <v>PS-INV225260</v>
      </c>
      <c r="B1786" s="2" t="str">
        <f>'Posted Sales Invoice Lines'!B1786</f>
        <v>11005</v>
      </c>
      <c r="C1786" s="2" t="str">
        <f>'Posted Sales Invoice Lines'!C1786</f>
        <v>Dot Foods Inc.</v>
      </c>
      <c r="D1786" s="2" t="str">
        <f>'Posted Sales Invoice Lines'!E1786</f>
        <v>F530142</v>
      </c>
      <c r="E1786" s="2" t="str">
        <f>'Posted Sales Invoice Lines'!F1786</f>
        <v>Cs. Knot Roll 8-12pk</v>
      </c>
      <c r="F1786" s="3">
        <f>'Posted Sales Invoice Lines'!G1786</f>
        <v>46189</v>
      </c>
      <c r="G1786" s="9">
        <f>'Posted Sales Invoice Lines'!L1786</f>
        <v>960</v>
      </c>
      <c r="H1786" s="8">
        <f>'Posted Sales Invoice Lines'!N1786</f>
        <v>33.42</v>
      </c>
      <c r="I1786" s="8">
        <f>'Posted Sales Invoice Lines'!O1786</f>
        <v>32083.200000000001</v>
      </c>
    </row>
    <row r="1787" spans="1:9" x14ac:dyDescent="0.25">
      <c r="A1787" s="2" t="str">
        <f>'Posted Sales Invoice Lines'!A1787</f>
        <v>PS-INV225269</v>
      </c>
      <c r="B1787" s="2" t="str">
        <f>'Posted Sales Invoice Lines'!B1787</f>
        <v>12431</v>
      </c>
      <c r="C1787" s="2" t="str">
        <f>'Posted Sales Invoice Lines'!C1787</f>
        <v>Ben E Keith - New Brockton</v>
      </c>
      <c r="D1787" s="2" t="str">
        <f>'Posted Sales Invoice Lines'!E1787</f>
        <v>F54301</v>
      </c>
      <c r="E1787" s="2" t="str">
        <f>'Posted Sales Invoice Lines'!F1787</f>
        <v>Cs. Potato Roll Sliced 12-16pk</v>
      </c>
      <c r="F1787" s="3">
        <f>'Posted Sales Invoice Lines'!G1787</f>
        <v>46190</v>
      </c>
      <c r="G1787" s="9">
        <f>'Posted Sales Invoice Lines'!L1787</f>
        <v>28</v>
      </c>
      <c r="H1787" s="8">
        <f>'Posted Sales Invoice Lines'!N1787</f>
        <v>50.05</v>
      </c>
      <c r="I1787" s="8">
        <f>'Posted Sales Invoice Lines'!O1787</f>
        <v>1401.4</v>
      </c>
    </row>
    <row r="1788" spans="1:9" x14ac:dyDescent="0.25">
      <c r="A1788" s="2" t="str">
        <f>'Posted Sales Invoice Lines'!A1788</f>
        <v>PS-INV225269</v>
      </c>
      <c r="B1788" s="2" t="str">
        <f>'Posted Sales Invoice Lines'!B1788</f>
        <v>12431</v>
      </c>
      <c r="C1788" s="2" t="str">
        <f>'Posted Sales Invoice Lines'!C1788</f>
        <v>Ben E Keith - New Brockton</v>
      </c>
      <c r="D1788" s="2" t="str">
        <f>'Posted Sales Invoice Lines'!E1788</f>
        <v>F51137</v>
      </c>
      <c r="E1788" s="2" t="str">
        <f>'Posted Sales Invoice Lines'!F1788</f>
        <v>Cs. Texas Toast 3/4" 12lvs</v>
      </c>
      <c r="F1788" s="3">
        <f>'Posted Sales Invoice Lines'!G1788</f>
        <v>46190</v>
      </c>
      <c r="G1788" s="9">
        <f>'Posted Sales Invoice Lines'!L1788</f>
        <v>392</v>
      </c>
      <c r="H1788" s="8">
        <f>'Posted Sales Invoice Lines'!N1788</f>
        <v>36</v>
      </c>
      <c r="I1788" s="8">
        <f>'Posted Sales Invoice Lines'!O1788</f>
        <v>14112</v>
      </c>
    </row>
    <row r="1789" spans="1:9" x14ac:dyDescent="0.25">
      <c r="A1789" s="2" t="str">
        <f>'Posted Sales Invoice Lines'!A1789</f>
        <v>PS-INV225269</v>
      </c>
      <c r="B1789" s="2" t="str">
        <f>'Posted Sales Invoice Lines'!B1789</f>
        <v>12431</v>
      </c>
      <c r="C1789" s="2" t="str">
        <f>'Posted Sales Invoice Lines'!C1789</f>
        <v>Ben E Keith - New Brockton</v>
      </c>
      <c r="D1789" s="2" t="str">
        <f>'Posted Sales Invoice Lines'!E1789</f>
        <v>F53122</v>
      </c>
      <c r="E1789" s="2" t="str">
        <f>'Posted Sales Invoice Lines'!F1789</f>
        <v>Cs. 8" Italian Hinged 12-6pk</v>
      </c>
      <c r="F1789" s="3">
        <f>'Posted Sales Invoice Lines'!G1789</f>
        <v>46190</v>
      </c>
      <c r="G1789" s="9">
        <f>'Posted Sales Invoice Lines'!L1789</f>
        <v>56</v>
      </c>
      <c r="H1789" s="8">
        <f>'Posted Sales Invoice Lines'!N1789</f>
        <v>30</v>
      </c>
      <c r="I1789" s="8">
        <f>'Posted Sales Invoice Lines'!O1789</f>
        <v>1680</v>
      </c>
    </row>
    <row r="1790" spans="1:9" x14ac:dyDescent="0.25">
      <c r="A1790" s="2" t="str">
        <f>'Posted Sales Invoice Lines'!A1790</f>
        <v>PS-INV225269</v>
      </c>
      <c r="B1790" s="2" t="str">
        <f>'Posted Sales Invoice Lines'!B1790</f>
        <v>12431</v>
      </c>
      <c r="C1790" s="2" t="str">
        <f>'Posted Sales Invoice Lines'!C1790</f>
        <v>Ben E Keith - New Brockton</v>
      </c>
      <c r="D1790" s="2" t="str">
        <f>'Posted Sales Invoice Lines'!E1790</f>
        <v>F53087</v>
      </c>
      <c r="E1790" s="2" t="str">
        <f>'Posted Sales Invoice Lines'!F1790</f>
        <v>Cs. 3.5" Challah Bun 8-12 pk</v>
      </c>
      <c r="F1790" s="3">
        <f>'Posted Sales Invoice Lines'!G1790</f>
        <v>46190</v>
      </c>
      <c r="G1790" s="9">
        <f>'Posted Sales Invoice Lines'!L1790</f>
        <v>56</v>
      </c>
      <c r="H1790" s="8">
        <f>'Posted Sales Invoice Lines'!N1790</f>
        <v>40</v>
      </c>
      <c r="I1790" s="8">
        <f>'Posted Sales Invoice Lines'!O1790</f>
        <v>2240</v>
      </c>
    </row>
    <row r="1791" spans="1:9" x14ac:dyDescent="0.25">
      <c r="A1791" s="2" t="str">
        <f>'Posted Sales Invoice Lines'!A1791</f>
        <v>PS-INV225269</v>
      </c>
      <c r="B1791" s="2" t="str">
        <f>'Posted Sales Invoice Lines'!B1791</f>
        <v>12431</v>
      </c>
      <c r="C1791" s="2" t="str">
        <f>'Posted Sales Invoice Lines'!C1791</f>
        <v>Ben E Keith - New Brockton</v>
      </c>
      <c r="D1791" s="2" t="str">
        <f>'Posted Sales Invoice Lines'!E1791</f>
        <v>F51381</v>
      </c>
      <c r="E1791" s="2" t="str">
        <f>'Posted Sales Invoice Lines'!F1791</f>
        <v>Cs. Challah Pullman Unsliced 10lvs</v>
      </c>
      <c r="F1791" s="3">
        <f>'Posted Sales Invoice Lines'!G1791</f>
        <v>46190</v>
      </c>
      <c r="G1791" s="9">
        <f>'Posted Sales Invoice Lines'!L1791</f>
        <v>28</v>
      </c>
      <c r="H1791" s="8">
        <f>'Posted Sales Invoice Lines'!N1791</f>
        <v>50.95</v>
      </c>
      <c r="I1791" s="8">
        <f>'Posted Sales Invoice Lines'!O1791</f>
        <v>1426.6</v>
      </c>
    </row>
    <row r="1792" spans="1:9" x14ac:dyDescent="0.25">
      <c r="A1792" s="2" t="str">
        <f>'Posted Sales Invoice Lines'!A1792</f>
        <v>PS-INV225785</v>
      </c>
      <c r="B1792" s="2" t="str">
        <f>'Posted Sales Invoice Lines'!B1792</f>
        <v>10549</v>
      </c>
      <c r="C1792" s="2" t="str">
        <f>'Posted Sales Invoice Lines'!C1792</f>
        <v>PFG Nashville TN</v>
      </c>
      <c r="D1792" s="2" t="str">
        <f>'Posted Sales Invoice Lines'!E1792</f>
        <v>F53002</v>
      </c>
      <c r="E1792" s="2" t="str">
        <f>'Posted Sales Invoice Lines'!F1792</f>
        <v>Cs. 4" Challah Sesame Bun 8-12pk</v>
      </c>
      <c r="F1792" s="3">
        <f>'Posted Sales Invoice Lines'!G1792</f>
        <v>46195</v>
      </c>
      <c r="G1792" s="9">
        <f>'Posted Sales Invoice Lines'!L1792</f>
        <v>30</v>
      </c>
      <c r="H1792" s="8">
        <f>'Posted Sales Invoice Lines'!N1792</f>
        <v>37.5</v>
      </c>
      <c r="I1792" s="8">
        <f>'Posted Sales Invoice Lines'!O1792</f>
        <v>1125</v>
      </c>
    </row>
    <row r="1793" spans="1:9" x14ac:dyDescent="0.25">
      <c r="A1793" s="2" t="str">
        <f>'Posted Sales Invoice Lines'!A1793</f>
        <v>PS-INV225785</v>
      </c>
      <c r="B1793" s="2" t="str">
        <f>'Posted Sales Invoice Lines'!B1793</f>
        <v>10549</v>
      </c>
      <c r="C1793" s="2" t="str">
        <f>'Posted Sales Invoice Lines'!C1793</f>
        <v>PFG Nashville TN</v>
      </c>
      <c r="D1793" s="2" t="str">
        <f>'Posted Sales Invoice Lines'!E1793</f>
        <v>F53070</v>
      </c>
      <c r="E1793" s="2" t="str">
        <f>'Posted Sales Invoice Lines'!F1793</f>
        <v xml:space="preserve">Cs. 5" Challah Sesame Buns </v>
      </c>
      <c r="F1793" s="3">
        <f>'Posted Sales Invoice Lines'!G1793</f>
        <v>46195</v>
      </c>
      <c r="G1793" s="9">
        <f>'Posted Sales Invoice Lines'!L1793</f>
        <v>32</v>
      </c>
      <c r="H1793" s="8">
        <f>'Posted Sales Invoice Lines'!N1793</f>
        <v>34.5</v>
      </c>
      <c r="I1793" s="8">
        <f>'Posted Sales Invoice Lines'!O1793</f>
        <v>1104</v>
      </c>
    </row>
    <row r="1794" spans="1:9" x14ac:dyDescent="0.25">
      <c r="A1794" s="2" t="str">
        <f>'Posted Sales Invoice Lines'!A1794</f>
        <v>PS-INV225786</v>
      </c>
      <c r="B1794" s="2" t="str">
        <f>'Posted Sales Invoice Lines'!B1794</f>
        <v>11394</v>
      </c>
      <c r="C1794" s="2" t="str">
        <f>'Posted Sales Invoice Lines'!C1794</f>
        <v>La Cosecha Food Service</v>
      </c>
      <c r="D1794" s="2" t="str">
        <f>'Posted Sales Invoice Lines'!E1794</f>
        <v>F53003</v>
      </c>
      <c r="E1794" s="2" t="str">
        <f>'Posted Sales Invoice Lines'!F1794</f>
        <v>Cs. 4" Unseeded Challah Bun 8-12pk</v>
      </c>
      <c r="F1794" s="3">
        <f>'Posted Sales Invoice Lines'!G1794</f>
        <v>46183</v>
      </c>
      <c r="G1794" s="9">
        <f>'Posted Sales Invoice Lines'!L1794</f>
        <v>30</v>
      </c>
      <c r="H1794" s="8">
        <f>'Posted Sales Invoice Lines'!N1794</f>
        <v>30.32</v>
      </c>
      <c r="I1794" s="8">
        <f>'Posted Sales Invoice Lines'!O1794</f>
        <v>909.6</v>
      </c>
    </row>
    <row r="1795" spans="1:9" x14ac:dyDescent="0.25">
      <c r="A1795" s="2" t="str">
        <f>'Posted Sales Invoice Lines'!A1795</f>
        <v>PS-INV225786</v>
      </c>
      <c r="B1795" s="2" t="str">
        <f>'Posted Sales Invoice Lines'!B1795</f>
        <v>11394</v>
      </c>
      <c r="C1795" s="2" t="str">
        <f>'Posted Sales Invoice Lines'!C1795</f>
        <v>La Cosecha Food Service</v>
      </c>
      <c r="D1795" s="2" t="str">
        <f>'Posted Sales Invoice Lines'!E1795</f>
        <v>F530401</v>
      </c>
      <c r="E1795" s="2" t="str">
        <f>'Posted Sales Invoice Lines'!F1795</f>
        <v>Cs. 4.5" Sesame 6-12pk</v>
      </c>
      <c r="F1795" s="3">
        <f>'Posted Sales Invoice Lines'!G1795</f>
        <v>46183</v>
      </c>
      <c r="G1795" s="9">
        <f>'Posted Sales Invoice Lines'!L1795</f>
        <v>40</v>
      </c>
      <c r="H1795" s="8">
        <f>'Posted Sales Invoice Lines'!N1795</f>
        <v>34.18</v>
      </c>
      <c r="I1795" s="8">
        <f>'Posted Sales Invoice Lines'!O1795</f>
        <v>1367.2</v>
      </c>
    </row>
    <row r="1796" spans="1:9" x14ac:dyDescent="0.25">
      <c r="A1796" s="2" t="str">
        <f>'Posted Sales Invoice Lines'!A1796</f>
        <v>PS-INV225892</v>
      </c>
      <c r="B1796" s="2" t="str">
        <f>'Posted Sales Invoice Lines'!B1796</f>
        <v>20334</v>
      </c>
      <c r="C1796" s="2" t="str">
        <f>'Posted Sales Invoice Lines'!C1796</f>
        <v>Sysco Atlanta</v>
      </c>
      <c r="D1796" s="2" t="str">
        <f>'Posted Sales Invoice Lines'!E1796</f>
        <v>F53106</v>
      </c>
      <c r="E1796" s="2" t="str">
        <f>'Posted Sales Invoice Lines'!F1796</f>
        <v>Cs. Large Hot Dog 12-6pk</v>
      </c>
      <c r="F1796" s="3">
        <f>'Posted Sales Invoice Lines'!G1796</f>
        <v>46191</v>
      </c>
      <c r="G1796" s="9">
        <f>'Posted Sales Invoice Lines'!L1796</f>
        <v>16</v>
      </c>
      <c r="H1796" s="8">
        <f>'Posted Sales Invoice Lines'!N1796</f>
        <v>36.5</v>
      </c>
      <c r="I1796" s="8">
        <f>'Posted Sales Invoice Lines'!O1796</f>
        <v>584</v>
      </c>
    </row>
    <row r="1797" spans="1:9" x14ac:dyDescent="0.25">
      <c r="A1797" s="2" t="str">
        <f>'Posted Sales Invoice Lines'!A1797</f>
        <v>PS-INV225892</v>
      </c>
      <c r="B1797" s="2" t="str">
        <f>'Posted Sales Invoice Lines'!B1797</f>
        <v>20334</v>
      </c>
      <c r="C1797" s="2" t="str">
        <f>'Posted Sales Invoice Lines'!C1797</f>
        <v>Sysco Atlanta</v>
      </c>
      <c r="D1797" s="2" t="str">
        <f>'Posted Sales Invoice Lines'!E1797</f>
        <v>F53116</v>
      </c>
      <c r="E1797" s="2" t="str">
        <f>'Posted Sales Invoice Lines'!F1797</f>
        <v>Cs. 7" French Hinged 12-6pk</v>
      </c>
      <c r="F1797" s="3">
        <f>'Posted Sales Invoice Lines'!G1797</f>
        <v>46191</v>
      </c>
      <c r="G1797" s="9">
        <f>'Posted Sales Invoice Lines'!L1797</f>
        <v>56</v>
      </c>
      <c r="H1797" s="8">
        <f>'Posted Sales Invoice Lines'!N1797</f>
        <v>31.42</v>
      </c>
      <c r="I1797" s="8">
        <f>'Posted Sales Invoice Lines'!O1797</f>
        <v>1759.52</v>
      </c>
    </row>
    <row r="1798" spans="1:9" x14ac:dyDescent="0.25">
      <c r="A1798" s="2" t="str">
        <f>'Posted Sales Invoice Lines'!A1798</f>
        <v>PS-INV225892</v>
      </c>
      <c r="B1798" s="2" t="str">
        <f>'Posted Sales Invoice Lines'!B1798</f>
        <v>20334</v>
      </c>
      <c r="C1798" s="2" t="str">
        <f>'Posted Sales Invoice Lines'!C1798</f>
        <v>Sysco Atlanta</v>
      </c>
      <c r="D1798" s="2" t="str">
        <f>'Posted Sales Invoice Lines'!E1798</f>
        <v>F53087</v>
      </c>
      <c r="E1798" s="2" t="str">
        <f>'Posted Sales Invoice Lines'!F1798</f>
        <v>Cs. 3.5" Challah Bun 8-12 pk</v>
      </c>
      <c r="F1798" s="3">
        <f>'Posted Sales Invoice Lines'!G1798</f>
        <v>46191</v>
      </c>
      <c r="G1798" s="9">
        <f>'Posted Sales Invoice Lines'!L1798</f>
        <v>84</v>
      </c>
      <c r="H1798" s="8">
        <f>'Posted Sales Invoice Lines'!N1798</f>
        <v>34</v>
      </c>
      <c r="I1798" s="8">
        <f>'Posted Sales Invoice Lines'!O1798</f>
        <v>2856</v>
      </c>
    </row>
    <row r="1799" spans="1:9" x14ac:dyDescent="0.25">
      <c r="A1799" s="2" t="str">
        <f>'Posted Sales Invoice Lines'!A1799</f>
        <v>PS-INV225892</v>
      </c>
      <c r="B1799" s="2" t="str">
        <f>'Posted Sales Invoice Lines'!B1799</f>
        <v>20334</v>
      </c>
      <c r="C1799" s="2" t="str">
        <f>'Posted Sales Invoice Lines'!C1799</f>
        <v>Sysco Atlanta</v>
      </c>
      <c r="D1799" s="2" t="str">
        <f>'Posted Sales Invoice Lines'!E1799</f>
        <v>F51024</v>
      </c>
      <c r="E1799" s="2" t="str">
        <f>'Posted Sales Invoice Lines'!F1799</f>
        <v>Cs. Marble Rye 5/8" 8lvs</v>
      </c>
      <c r="F1799" s="3">
        <f>'Posted Sales Invoice Lines'!G1799</f>
        <v>46191</v>
      </c>
      <c r="G1799" s="9">
        <f>'Posted Sales Invoice Lines'!L1799</f>
        <v>12</v>
      </c>
      <c r="H1799" s="8">
        <f>'Posted Sales Invoice Lines'!N1799</f>
        <v>43.26</v>
      </c>
      <c r="I1799" s="8">
        <f>'Posted Sales Invoice Lines'!O1799</f>
        <v>519.12</v>
      </c>
    </row>
    <row r="1800" spans="1:9" x14ac:dyDescent="0.25">
      <c r="A1800" s="2" t="str">
        <f>'Posted Sales Invoice Lines'!A1800</f>
        <v>PS-INV225892</v>
      </c>
      <c r="B1800" s="2" t="str">
        <f>'Posted Sales Invoice Lines'!B1800</f>
        <v>20334</v>
      </c>
      <c r="C1800" s="2" t="str">
        <f>'Posted Sales Invoice Lines'!C1800</f>
        <v>Sysco Atlanta</v>
      </c>
      <c r="D1800" s="2" t="str">
        <f>'Posted Sales Invoice Lines'!E1800</f>
        <v>F53001</v>
      </c>
      <c r="E1800" s="2" t="str">
        <f>'Posted Sales Invoice Lines'!F1800</f>
        <v>Cs. 4" Brioche Bun 8-12pk</v>
      </c>
      <c r="F1800" s="3">
        <f>'Posted Sales Invoice Lines'!G1800</f>
        <v>46191</v>
      </c>
      <c r="G1800" s="9">
        <f>'Posted Sales Invoice Lines'!L1800</f>
        <v>112</v>
      </c>
      <c r="H1800" s="8">
        <f>'Posted Sales Invoice Lines'!N1800</f>
        <v>43.36</v>
      </c>
      <c r="I1800" s="8">
        <f>'Posted Sales Invoice Lines'!O1800</f>
        <v>4856.32</v>
      </c>
    </row>
    <row r="1801" spans="1:9" x14ac:dyDescent="0.25">
      <c r="A1801" s="2" t="str">
        <f>'Posted Sales Invoice Lines'!A1801</f>
        <v>PS-INV225892</v>
      </c>
      <c r="B1801" s="2" t="str">
        <f>'Posted Sales Invoice Lines'!B1801</f>
        <v>20334</v>
      </c>
      <c r="C1801" s="2" t="str">
        <f>'Posted Sales Invoice Lines'!C1801</f>
        <v>Sysco Atlanta</v>
      </c>
      <c r="D1801" s="2" t="str">
        <f>'Posted Sales Invoice Lines'!E1801</f>
        <v>F54044</v>
      </c>
      <c r="E1801" s="2" t="str">
        <f>'Posted Sales Invoice Lines'!F1801</f>
        <v>Cs. Buttons Parker House 12-12pk</v>
      </c>
      <c r="F1801" s="3">
        <f>'Posted Sales Invoice Lines'!G1801</f>
        <v>46191</v>
      </c>
      <c r="G1801" s="9">
        <f>'Posted Sales Invoice Lines'!L1801</f>
        <v>8</v>
      </c>
      <c r="H1801" s="8">
        <f>'Posted Sales Invoice Lines'!N1801</f>
        <v>36.979999999999997</v>
      </c>
      <c r="I1801" s="8">
        <f>'Posted Sales Invoice Lines'!O1801</f>
        <v>295.83999999999997</v>
      </c>
    </row>
    <row r="1802" spans="1:9" x14ac:dyDescent="0.25">
      <c r="A1802" s="2" t="str">
        <f>'Posted Sales Invoice Lines'!A1802</f>
        <v>PS-INV225892</v>
      </c>
      <c r="B1802" s="2" t="str">
        <f>'Posted Sales Invoice Lines'!B1802</f>
        <v>20334</v>
      </c>
      <c r="C1802" s="2" t="str">
        <f>'Posted Sales Invoice Lines'!C1802</f>
        <v>Sysco Atlanta</v>
      </c>
      <c r="D1802" s="2" t="str">
        <f>'Posted Sales Invoice Lines'!E1802</f>
        <v>F51034</v>
      </c>
      <c r="E1802" s="2" t="str">
        <f>'Posted Sales Invoice Lines'!F1802</f>
        <v>Cs. Sour Dough Hearth 5/8" 8lvs</v>
      </c>
      <c r="F1802" s="3">
        <f>'Posted Sales Invoice Lines'!G1802</f>
        <v>46191</v>
      </c>
      <c r="G1802" s="9">
        <f>'Posted Sales Invoice Lines'!L1802</f>
        <v>20</v>
      </c>
      <c r="H1802" s="8">
        <f>'Posted Sales Invoice Lines'!N1802</f>
        <v>41.2</v>
      </c>
      <c r="I1802" s="8">
        <f>'Posted Sales Invoice Lines'!O1802</f>
        <v>824</v>
      </c>
    </row>
    <row r="1803" spans="1:9" x14ac:dyDescent="0.25">
      <c r="A1803" s="2" t="str">
        <f>'Posted Sales Invoice Lines'!A1803</f>
        <v>PS-INV225892</v>
      </c>
      <c r="B1803" s="2" t="str">
        <f>'Posted Sales Invoice Lines'!B1803</f>
        <v>20334</v>
      </c>
      <c r="C1803" s="2" t="str">
        <f>'Posted Sales Invoice Lines'!C1803</f>
        <v>Sysco Atlanta</v>
      </c>
      <c r="D1803" s="2" t="str">
        <f>'Posted Sales Invoice Lines'!E1803</f>
        <v>F53140</v>
      </c>
      <c r="E1803" s="2" t="str">
        <f>'Posted Sales Invoice Lines'!F1803</f>
        <v>Cs. Knuckies 8" White 12-6pk</v>
      </c>
      <c r="F1803" s="3">
        <f>'Posted Sales Invoice Lines'!G1803</f>
        <v>46191</v>
      </c>
      <c r="G1803" s="9">
        <f>'Posted Sales Invoice Lines'!L1803</f>
        <v>140</v>
      </c>
      <c r="H1803" s="8">
        <f>'Posted Sales Invoice Lines'!N1803</f>
        <v>41</v>
      </c>
      <c r="I1803" s="8">
        <f>'Posted Sales Invoice Lines'!O1803</f>
        <v>5740</v>
      </c>
    </row>
    <row r="1804" spans="1:9" x14ac:dyDescent="0.25">
      <c r="A1804" s="2" t="str">
        <f>'Posted Sales Invoice Lines'!A1804</f>
        <v>PS-INV225932</v>
      </c>
      <c r="B1804" s="2" t="str">
        <f>'Posted Sales Invoice Lines'!B1804</f>
        <v>10719-13</v>
      </c>
      <c r="C1804" s="2" t="str">
        <f>'Posted Sales Invoice Lines'!C1804</f>
        <v>US Foods - Montgomery</v>
      </c>
      <c r="D1804" s="2" t="str">
        <f>'Posted Sales Invoice Lines'!E1804</f>
        <v>F53005</v>
      </c>
      <c r="E1804" s="2" t="str">
        <f>'Posted Sales Invoice Lines'!F1804</f>
        <v>Cs. 4" Gourmet PDS Bun 8-12pk</v>
      </c>
      <c r="F1804" s="3">
        <f>'Posted Sales Invoice Lines'!G1804</f>
        <v>46196</v>
      </c>
      <c r="G1804" s="9">
        <f>'Posted Sales Invoice Lines'!L1804</f>
        <v>112</v>
      </c>
      <c r="H1804" s="8">
        <f>'Posted Sales Invoice Lines'!N1804</f>
        <v>37</v>
      </c>
      <c r="I1804" s="8">
        <f>'Posted Sales Invoice Lines'!O1804</f>
        <v>4144</v>
      </c>
    </row>
    <row r="1805" spans="1:9" x14ac:dyDescent="0.25">
      <c r="A1805" s="2" t="str">
        <f>'Posted Sales Invoice Lines'!A1805</f>
        <v>PS-INV225932</v>
      </c>
      <c r="B1805" s="2" t="str">
        <f>'Posted Sales Invoice Lines'!B1805</f>
        <v>10719-13</v>
      </c>
      <c r="C1805" s="2" t="str">
        <f>'Posted Sales Invoice Lines'!C1805</f>
        <v>US Foods - Montgomery</v>
      </c>
      <c r="D1805" s="2" t="str">
        <f>'Posted Sales Invoice Lines'!E1805</f>
        <v>F53001</v>
      </c>
      <c r="E1805" s="2" t="str">
        <f>'Posted Sales Invoice Lines'!F1805</f>
        <v>Cs. 4" Brioche Bun 8-12pk</v>
      </c>
      <c r="F1805" s="3">
        <f>'Posted Sales Invoice Lines'!G1805</f>
        <v>46196</v>
      </c>
      <c r="G1805" s="9">
        <f>'Posted Sales Invoice Lines'!L1805</f>
        <v>168</v>
      </c>
      <c r="H1805" s="8">
        <f>'Posted Sales Invoice Lines'!N1805</f>
        <v>42</v>
      </c>
      <c r="I1805" s="8">
        <f>'Posted Sales Invoice Lines'!O1805</f>
        <v>7056</v>
      </c>
    </row>
    <row r="1806" spans="1:9" x14ac:dyDescent="0.25">
      <c r="A1806" s="2" t="str">
        <f>'Posted Sales Invoice Lines'!A1806</f>
        <v>PS-INV225932</v>
      </c>
      <c r="B1806" s="2" t="str">
        <f>'Posted Sales Invoice Lines'!B1806</f>
        <v>10719-13</v>
      </c>
      <c r="C1806" s="2" t="str">
        <f>'Posted Sales Invoice Lines'!C1806</f>
        <v>US Foods - Montgomery</v>
      </c>
      <c r="D1806" s="2" t="str">
        <f>'Posted Sales Invoice Lines'!E1806</f>
        <v>F53003</v>
      </c>
      <c r="E1806" s="2" t="str">
        <f>'Posted Sales Invoice Lines'!F1806</f>
        <v>Cs. 4" Unseeded Challah Bun 8-12pk</v>
      </c>
      <c r="F1806" s="3">
        <f>'Posted Sales Invoice Lines'!G1806</f>
        <v>46196</v>
      </c>
      <c r="G1806" s="9">
        <f>'Posted Sales Invoice Lines'!L1806</f>
        <v>280</v>
      </c>
      <c r="H1806" s="8">
        <f>'Posted Sales Invoice Lines'!N1806</f>
        <v>38.08</v>
      </c>
      <c r="I1806" s="8">
        <f>'Posted Sales Invoice Lines'!O1806</f>
        <v>10662.4</v>
      </c>
    </row>
    <row r="1807" spans="1:9" x14ac:dyDescent="0.25">
      <c r="A1807" s="2" t="str">
        <f>'Posted Sales Invoice Lines'!A1807</f>
        <v>PS-INV225952</v>
      </c>
      <c r="B1807" s="2" t="str">
        <f>'Posted Sales Invoice Lines'!B1807</f>
        <v>10700</v>
      </c>
      <c r="C1807" s="2" t="str">
        <f>'Posted Sales Invoice Lines'!C1807</f>
        <v>Gordon Food Service - Douglas</v>
      </c>
      <c r="D1807" s="2" t="str">
        <f>'Posted Sales Invoice Lines'!E1807</f>
        <v>F53002</v>
      </c>
      <c r="E1807" s="2" t="str">
        <f>'Posted Sales Invoice Lines'!F1807</f>
        <v>Cs. 4" Challah Sesame Bun 8-12pk</v>
      </c>
      <c r="F1807" s="3">
        <f>'Posted Sales Invoice Lines'!G1807</f>
        <v>46191</v>
      </c>
      <c r="G1807" s="9">
        <f>'Posted Sales Invoice Lines'!L1807</f>
        <v>48</v>
      </c>
      <c r="H1807" s="8">
        <f>'Posted Sales Invoice Lines'!N1807</f>
        <v>41.7</v>
      </c>
      <c r="I1807" s="8">
        <f>'Posted Sales Invoice Lines'!O1807</f>
        <v>2001.6</v>
      </c>
    </row>
    <row r="1808" spans="1:9" x14ac:dyDescent="0.25">
      <c r="A1808" s="2" t="str">
        <f>'Posted Sales Invoice Lines'!A1808</f>
        <v>PS-INV225952</v>
      </c>
      <c r="B1808" s="2" t="str">
        <f>'Posted Sales Invoice Lines'!B1808</f>
        <v>10700</v>
      </c>
      <c r="C1808" s="2" t="str">
        <f>'Posted Sales Invoice Lines'!C1808</f>
        <v>Gordon Food Service - Douglas</v>
      </c>
      <c r="D1808" s="2" t="str">
        <f>'Posted Sales Invoice Lines'!E1808</f>
        <v>F51384</v>
      </c>
      <c r="E1808" s="2" t="str">
        <f>'Posted Sales Invoice Lines'!F1808</f>
        <v>Cs. Challah Pullman 7/8"</v>
      </c>
      <c r="F1808" s="3">
        <f>'Posted Sales Invoice Lines'!G1808</f>
        <v>46191</v>
      </c>
      <c r="G1808" s="9">
        <f>'Posted Sales Invoice Lines'!L1808</f>
        <v>264</v>
      </c>
      <c r="H1808" s="8">
        <f>'Posted Sales Invoice Lines'!N1808</f>
        <v>48.49</v>
      </c>
      <c r="I1808" s="8">
        <f>'Posted Sales Invoice Lines'!O1808</f>
        <v>12801.36</v>
      </c>
    </row>
    <row r="1809" spans="1:9" x14ac:dyDescent="0.25">
      <c r="A1809" s="2" t="str">
        <f>'Posted Sales Invoice Lines'!A1809</f>
        <v>PS-INV225952</v>
      </c>
      <c r="B1809" s="2" t="str">
        <f>'Posted Sales Invoice Lines'!B1809</f>
        <v>10700</v>
      </c>
      <c r="C1809" s="2" t="str">
        <f>'Posted Sales Invoice Lines'!C1809</f>
        <v>Gordon Food Service - Douglas</v>
      </c>
      <c r="D1809" s="2" t="str">
        <f>'Posted Sales Invoice Lines'!E1809</f>
        <v>F56255</v>
      </c>
      <c r="E1809" s="2" t="str">
        <f>'Posted Sales Invoice Lines'!F1809</f>
        <v>Cs. English Muffin 30-6pk</v>
      </c>
      <c r="F1809" s="3">
        <f>'Posted Sales Invoice Lines'!G1809</f>
        <v>46191</v>
      </c>
      <c r="G1809" s="9">
        <f>'Posted Sales Invoice Lines'!L1809</f>
        <v>32</v>
      </c>
      <c r="H1809" s="8">
        <f>'Posted Sales Invoice Lines'!N1809</f>
        <v>36.299999999999997</v>
      </c>
      <c r="I1809" s="8">
        <f>'Posted Sales Invoice Lines'!O1809</f>
        <v>1161.5999999999999</v>
      </c>
    </row>
    <row r="1810" spans="1:9" x14ac:dyDescent="0.25">
      <c r="A1810" s="2" t="str">
        <f>'Posted Sales Invoice Lines'!A1810</f>
        <v>PS-INV225952</v>
      </c>
      <c r="B1810" s="2" t="str">
        <f>'Posted Sales Invoice Lines'!B1810</f>
        <v>10700</v>
      </c>
      <c r="C1810" s="2" t="str">
        <f>'Posted Sales Invoice Lines'!C1810</f>
        <v>Gordon Food Service - Douglas</v>
      </c>
      <c r="D1810" s="2" t="str">
        <f>'Posted Sales Invoice Lines'!E1810</f>
        <v>F53001</v>
      </c>
      <c r="E1810" s="2" t="str">
        <f>'Posted Sales Invoice Lines'!F1810</f>
        <v>Cs. 4" Brioche Bun 8-12pk</v>
      </c>
      <c r="F1810" s="3">
        <f>'Posted Sales Invoice Lines'!G1810</f>
        <v>46191</v>
      </c>
      <c r="G1810" s="9">
        <f>'Posted Sales Invoice Lines'!L1810</f>
        <v>84</v>
      </c>
      <c r="H1810" s="8">
        <f>'Posted Sales Invoice Lines'!N1810</f>
        <v>36.82</v>
      </c>
      <c r="I1810" s="8">
        <f>'Posted Sales Invoice Lines'!O1810</f>
        <v>3092.88</v>
      </c>
    </row>
    <row r="1811" spans="1:9" x14ac:dyDescent="0.25">
      <c r="A1811" s="2" t="str">
        <f>'Posted Sales Invoice Lines'!A1811</f>
        <v>PS-INV225952</v>
      </c>
      <c r="B1811" s="2" t="str">
        <f>'Posted Sales Invoice Lines'!B1811</f>
        <v>10700</v>
      </c>
      <c r="C1811" s="2" t="str">
        <f>'Posted Sales Invoice Lines'!C1811</f>
        <v>Gordon Food Service - Douglas</v>
      </c>
      <c r="D1811" s="2" t="str">
        <f>'Posted Sales Invoice Lines'!E1811</f>
        <v>F56251</v>
      </c>
      <c r="E1811" s="2" t="str">
        <f>'Posted Sales Invoice Lines'!F1811</f>
        <v>Cs. Challah Sliders Sliced 18-12pks</v>
      </c>
      <c r="F1811" s="3">
        <f>'Posted Sales Invoice Lines'!G1811</f>
        <v>46191</v>
      </c>
      <c r="G1811" s="9">
        <f>'Posted Sales Invoice Lines'!L1811</f>
        <v>164</v>
      </c>
      <c r="H1811" s="8">
        <f>'Posted Sales Invoice Lines'!N1811</f>
        <v>39.700000000000003</v>
      </c>
      <c r="I1811" s="8">
        <f>'Posted Sales Invoice Lines'!O1811</f>
        <v>6510.8</v>
      </c>
    </row>
    <row r="1812" spans="1:9" x14ac:dyDescent="0.25">
      <c r="A1812" s="2" t="str">
        <f>'Posted Sales Invoice Lines'!A1812</f>
        <v>PS-INV225952</v>
      </c>
      <c r="B1812" s="2" t="str">
        <f>'Posted Sales Invoice Lines'!B1812</f>
        <v>10700</v>
      </c>
      <c r="C1812" s="2" t="str">
        <f>'Posted Sales Invoice Lines'!C1812</f>
        <v>Gordon Food Service - Douglas</v>
      </c>
      <c r="D1812" s="2" t="str">
        <f>'Posted Sales Invoice Lines'!E1812</f>
        <v>F53005</v>
      </c>
      <c r="E1812" s="2" t="str">
        <f>'Posted Sales Invoice Lines'!F1812</f>
        <v>Cs. 4" Gourmet PDS Bun 8-12pk</v>
      </c>
      <c r="F1812" s="3">
        <f>'Posted Sales Invoice Lines'!G1812</f>
        <v>46191</v>
      </c>
      <c r="G1812" s="9">
        <f>'Posted Sales Invoice Lines'!L1812</f>
        <v>72</v>
      </c>
      <c r="H1812" s="8">
        <f>'Posted Sales Invoice Lines'!N1812</f>
        <v>36</v>
      </c>
      <c r="I1812" s="8">
        <f>'Posted Sales Invoice Lines'!O1812</f>
        <v>2592</v>
      </c>
    </row>
    <row r="1813" spans="1:9" x14ac:dyDescent="0.25">
      <c r="A1813" s="2" t="str">
        <f>'Posted Sales Invoice Lines'!A1813</f>
        <v>PS-INV225952</v>
      </c>
      <c r="B1813" s="2" t="str">
        <f>'Posted Sales Invoice Lines'!B1813</f>
        <v>10700</v>
      </c>
      <c r="C1813" s="2" t="str">
        <f>'Posted Sales Invoice Lines'!C1813</f>
        <v>Gordon Food Service - Douglas</v>
      </c>
      <c r="D1813" s="2" t="str">
        <f>'Posted Sales Invoice Lines'!E1813</f>
        <v>F51084</v>
      </c>
      <c r="E1813" s="2" t="str">
        <f>'Posted Sales Invoice Lines'!F1813</f>
        <v>Cs. Wheatberry Hearth</v>
      </c>
      <c r="F1813" s="3">
        <f>'Posted Sales Invoice Lines'!G1813</f>
        <v>46191</v>
      </c>
      <c r="G1813" s="9">
        <f>'Posted Sales Invoice Lines'!L1813</f>
        <v>28</v>
      </c>
      <c r="H1813" s="8">
        <f>'Posted Sales Invoice Lines'!N1813</f>
        <v>33.299999999999997</v>
      </c>
      <c r="I1813" s="8">
        <f>'Posted Sales Invoice Lines'!O1813</f>
        <v>932.4</v>
      </c>
    </row>
    <row r="1814" spans="1:9" x14ac:dyDescent="0.25">
      <c r="A1814" s="2" t="str">
        <f>'Posted Sales Invoice Lines'!A1814</f>
        <v>PS-INV225952</v>
      </c>
      <c r="B1814" s="2" t="str">
        <f>'Posted Sales Invoice Lines'!B1814</f>
        <v>10700</v>
      </c>
      <c r="C1814" s="2" t="str">
        <f>'Posted Sales Invoice Lines'!C1814</f>
        <v>Gordon Food Service - Douglas</v>
      </c>
      <c r="D1814" s="2" t="str">
        <f>'Posted Sales Invoice Lines'!E1814</f>
        <v>F51114</v>
      </c>
      <c r="E1814" s="2" t="str">
        <f>'Posted Sales Invoice Lines'!F1814</f>
        <v>Cs. Old Fashioned Hearth 5/8" 8lvs</v>
      </c>
      <c r="F1814" s="3">
        <f>'Posted Sales Invoice Lines'!G1814</f>
        <v>46191</v>
      </c>
      <c r="G1814" s="9">
        <f>'Posted Sales Invoice Lines'!L1814</f>
        <v>28</v>
      </c>
      <c r="H1814" s="8">
        <f>'Posted Sales Invoice Lines'!N1814</f>
        <v>39.700000000000003</v>
      </c>
      <c r="I1814" s="8">
        <f>'Posted Sales Invoice Lines'!O1814</f>
        <v>1111.5999999999999</v>
      </c>
    </row>
    <row r="1815" spans="1:9" x14ac:dyDescent="0.25">
      <c r="A1815" s="2" t="str">
        <f>'Posted Sales Invoice Lines'!A1815</f>
        <v>PS-INV226049</v>
      </c>
      <c r="B1815" s="2" t="str">
        <f>'Posted Sales Invoice Lines'!B1815</f>
        <v>11005</v>
      </c>
      <c r="C1815" s="2" t="str">
        <f>'Posted Sales Invoice Lines'!C1815</f>
        <v>Dot Foods Inc.</v>
      </c>
      <c r="D1815" s="2" t="str">
        <f>'Posted Sales Invoice Lines'!E1815</f>
        <v>F530142</v>
      </c>
      <c r="E1815" s="2" t="str">
        <f>'Posted Sales Invoice Lines'!F1815</f>
        <v>Cs. Knot Roll 8-12pk</v>
      </c>
      <c r="F1815" s="3">
        <f>'Posted Sales Invoice Lines'!G1815</f>
        <v>46191</v>
      </c>
      <c r="G1815" s="9">
        <f>'Posted Sales Invoice Lines'!L1815</f>
        <v>640</v>
      </c>
      <c r="H1815" s="8">
        <f>'Posted Sales Invoice Lines'!N1815</f>
        <v>33.42</v>
      </c>
      <c r="I1815" s="8">
        <f>'Posted Sales Invoice Lines'!O1815</f>
        <v>21388.799999999999</v>
      </c>
    </row>
    <row r="1816" spans="1:9" x14ac:dyDescent="0.25">
      <c r="A1816" s="2" t="str">
        <f>'Posted Sales Invoice Lines'!A1816</f>
        <v>PS-INV226163</v>
      </c>
      <c r="B1816" s="2" t="str">
        <f>'Posted Sales Invoice Lines'!B1816</f>
        <v>11394</v>
      </c>
      <c r="C1816" s="2" t="str">
        <f>'Posted Sales Invoice Lines'!C1816</f>
        <v>La Cosecha Food Service</v>
      </c>
      <c r="D1816" s="2" t="str">
        <f>'Posted Sales Invoice Lines'!E1816</f>
        <v>F53003</v>
      </c>
      <c r="E1816" s="2" t="str">
        <f>'Posted Sales Invoice Lines'!F1816</f>
        <v>Cs. 4" Unseeded Challah Bun 8-12pk</v>
      </c>
      <c r="F1816" s="3">
        <f>'Posted Sales Invoice Lines'!G1816</f>
        <v>46190</v>
      </c>
      <c r="G1816" s="9">
        <f>'Posted Sales Invoice Lines'!L1816</f>
        <v>30</v>
      </c>
      <c r="H1816" s="8">
        <f>'Posted Sales Invoice Lines'!N1816</f>
        <v>30.32</v>
      </c>
      <c r="I1816" s="8">
        <f>'Posted Sales Invoice Lines'!O1816</f>
        <v>909.6</v>
      </c>
    </row>
    <row r="1817" spans="1:9" x14ac:dyDescent="0.25">
      <c r="A1817" s="2" t="str">
        <f>'Posted Sales Invoice Lines'!A1817</f>
        <v>PS-INV226163</v>
      </c>
      <c r="B1817" s="2" t="str">
        <f>'Posted Sales Invoice Lines'!B1817</f>
        <v>11394</v>
      </c>
      <c r="C1817" s="2" t="str">
        <f>'Posted Sales Invoice Lines'!C1817</f>
        <v>La Cosecha Food Service</v>
      </c>
      <c r="D1817" s="2" t="str">
        <f>'Posted Sales Invoice Lines'!E1817</f>
        <v>F530401</v>
      </c>
      <c r="E1817" s="2" t="str">
        <f>'Posted Sales Invoice Lines'!F1817</f>
        <v>Cs. 4.5" Sesame 6-12pk</v>
      </c>
      <c r="F1817" s="3">
        <f>'Posted Sales Invoice Lines'!G1817</f>
        <v>46190</v>
      </c>
      <c r="G1817" s="9">
        <f>'Posted Sales Invoice Lines'!L1817</f>
        <v>45</v>
      </c>
      <c r="H1817" s="8">
        <f>'Posted Sales Invoice Lines'!N1817</f>
        <v>34.18</v>
      </c>
      <c r="I1817" s="8">
        <f>'Posted Sales Invoice Lines'!O1817</f>
        <v>1538.1</v>
      </c>
    </row>
    <row r="1818" spans="1:9" x14ac:dyDescent="0.25">
      <c r="A1818" s="2" t="str">
        <f>'Posted Sales Invoice Lines'!A1818</f>
        <v>PS-INV226163</v>
      </c>
      <c r="B1818" s="2" t="str">
        <f>'Posted Sales Invoice Lines'!B1818</f>
        <v>11394</v>
      </c>
      <c r="C1818" s="2" t="str">
        <f>'Posted Sales Invoice Lines'!C1818</f>
        <v>La Cosecha Food Service</v>
      </c>
      <c r="D1818" s="2" t="str">
        <f>'Posted Sales Invoice Lines'!E1818</f>
        <v>F53127</v>
      </c>
      <c r="E1818" s="2" t="str">
        <f>'Posted Sales Invoice Lines'!F1818</f>
        <v>Cs. 8" Philly 10-6pks</v>
      </c>
      <c r="F1818" s="3">
        <f>'Posted Sales Invoice Lines'!G1818</f>
        <v>46190</v>
      </c>
      <c r="G1818" s="9">
        <f>'Posted Sales Invoice Lines'!L1818</f>
        <v>30</v>
      </c>
      <c r="H1818" s="8">
        <f>'Posted Sales Invoice Lines'!N1818</f>
        <v>53.2</v>
      </c>
      <c r="I1818" s="8">
        <f>'Posted Sales Invoice Lines'!O1818</f>
        <v>1596</v>
      </c>
    </row>
    <row r="1819" spans="1:9" x14ac:dyDescent="0.25">
      <c r="A1819" s="2" t="str">
        <f>'Posted Sales Invoice Lines'!A1819</f>
        <v>PS-INV226637</v>
      </c>
      <c r="B1819" s="2" t="str">
        <f>'Posted Sales Invoice Lines'!B1819</f>
        <v>10540-03</v>
      </c>
      <c r="C1819" s="2" t="str">
        <f>'Posted Sales Invoice Lines'!C1819</f>
        <v>PFG Louisville TN</v>
      </c>
      <c r="D1819" s="2" t="str">
        <f>'Posted Sales Invoice Lines'!E1819</f>
        <v>F53001</v>
      </c>
      <c r="E1819" s="2" t="str">
        <f>'Posted Sales Invoice Lines'!F1819</f>
        <v>Cs. 4" Brioche Bun 8-12pk</v>
      </c>
      <c r="F1819" s="3">
        <f>'Posted Sales Invoice Lines'!G1819</f>
        <v>46191</v>
      </c>
      <c r="G1819" s="9">
        <f>'Posted Sales Invoice Lines'!L1819</f>
        <v>392</v>
      </c>
      <c r="H1819" s="8">
        <f>'Posted Sales Invoice Lines'!N1819</f>
        <v>42.6</v>
      </c>
      <c r="I1819" s="8">
        <f>'Posted Sales Invoice Lines'!O1819</f>
        <v>16699.2</v>
      </c>
    </row>
    <row r="1820" spans="1:9" x14ac:dyDescent="0.25">
      <c r="A1820" s="2" t="str">
        <f>'Posted Sales Invoice Lines'!A1820</f>
        <v>PS-INV226637</v>
      </c>
      <c r="B1820" s="2" t="str">
        <f>'Posted Sales Invoice Lines'!B1820</f>
        <v>10540-03</v>
      </c>
      <c r="C1820" s="2" t="str">
        <f>'Posted Sales Invoice Lines'!C1820</f>
        <v>PFG Louisville TN</v>
      </c>
      <c r="D1820" s="2" t="str">
        <f>'Posted Sales Invoice Lines'!E1820</f>
        <v>F52552</v>
      </c>
      <c r="E1820" s="2" t="str">
        <f>'Posted Sales Invoice Lines'!F1820</f>
        <v>Cs. Multigrain Batard Unsliced 8lvs</v>
      </c>
      <c r="F1820" s="3">
        <f>'Posted Sales Invoice Lines'!G1820</f>
        <v>46191</v>
      </c>
      <c r="G1820" s="9">
        <f>'Posted Sales Invoice Lines'!L1820</f>
        <v>4</v>
      </c>
      <c r="H1820" s="8">
        <f>'Posted Sales Invoice Lines'!N1820</f>
        <v>64</v>
      </c>
      <c r="I1820" s="8">
        <f>'Posted Sales Invoice Lines'!O1820</f>
        <v>256</v>
      </c>
    </row>
    <row r="1821" spans="1:9" x14ac:dyDescent="0.25">
      <c r="A1821" s="2" t="str">
        <f>'Posted Sales Invoice Lines'!A1821</f>
        <v>PS-INV226637</v>
      </c>
      <c r="B1821" s="2" t="str">
        <f>'Posted Sales Invoice Lines'!B1821</f>
        <v>10540-03</v>
      </c>
      <c r="C1821" s="2" t="str">
        <f>'Posted Sales Invoice Lines'!C1821</f>
        <v>PFG Louisville TN</v>
      </c>
      <c r="D1821" s="2" t="str">
        <f>'Posted Sales Invoice Lines'!E1821</f>
        <v>F51137</v>
      </c>
      <c r="E1821" s="2" t="str">
        <f>'Posted Sales Invoice Lines'!F1821</f>
        <v>Cs. Texas Toast 3/4" 12lvs</v>
      </c>
      <c r="F1821" s="3">
        <f>'Posted Sales Invoice Lines'!G1821</f>
        <v>46191</v>
      </c>
      <c r="G1821" s="9">
        <f>'Posted Sales Invoice Lines'!L1821</f>
        <v>44</v>
      </c>
      <c r="H1821" s="8">
        <f>'Posted Sales Invoice Lines'!N1821</f>
        <v>40.619999999999997</v>
      </c>
      <c r="I1821" s="8">
        <f>'Posted Sales Invoice Lines'!O1821</f>
        <v>1787.28</v>
      </c>
    </row>
    <row r="1822" spans="1:9" x14ac:dyDescent="0.25">
      <c r="A1822" s="2" t="str">
        <f>'Posted Sales Invoice Lines'!A1822</f>
        <v>PS-INV226637</v>
      </c>
      <c r="B1822" s="2" t="str">
        <f>'Posted Sales Invoice Lines'!B1822</f>
        <v>10540-03</v>
      </c>
      <c r="C1822" s="2" t="str">
        <f>'Posted Sales Invoice Lines'!C1822</f>
        <v>PFG Louisville TN</v>
      </c>
      <c r="D1822" s="2" t="str">
        <f>'Posted Sales Invoice Lines'!E1822</f>
        <v>F53091</v>
      </c>
      <c r="E1822" s="2" t="str">
        <f>'Posted Sales Invoice Lines'!F1822</f>
        <v>Cs. 6" Hoagie Slab Cut 12-6pk</v>
      </c>
      <c r="F1822" s="3">
        <f>'Posted Sales Invoice Lines'!G1822</f>
        <v>46191</v>
      </c>
      <c r="G1822" s="9">
        <f>'Posted Sales Invoice Lines'!L1822</f>
        <v>16</v>
      </c>
      <c r="H1822" s="8">
        <f>'Posted Sales Invoice Lines'!N1822</f>
        <v>35</v>
      </c>
      <c r="I1822" s="8">
        <f>'Posted Sales Invoice Lines'!O1822</f>
        <v>560</v>
      </c>
    </row>
    <row r="1823" spans="1:9" x14ac:dyDescent="0.25">
      <c r="A1823" s="2" t="str">
        <f>'Posted Sales Invoice Lines'!A1823</f>
        <v>PS-INV226637</v>
      </c>
      <c r="B1823" s="2" t="str">
        <f>'Posted Sales Invoice Lines'!B1823</f>
        <v>10540-03</v>
      </c>
      <c r="C1823" s="2" t="str">
        <f>'Posted Sales Invoice Lines'!C1823</f>
        <v>PFG Louisville TN</v>
      </c>
      <c r="D1823" s="2" t="str">
        <f>'Posted Sales Invoice Lines'!E1823</f>
        <v>F53110</v>
      </c>
      <c r="E1823" s="2" t="str">
        <f>'Posted Sales Invoice Lines'!F1823</f>
        <v>Cs. Foot Long Challah Hot Dog Buns 10-6pk</v>
      </c>
      <c r="F1823" s="3">
        <f>'Posted Sales Invoice Lines'!G1823</f>
        <v>46191</v>
      </c>
      <c r="G1823" s="9">
        <f>'Posted Sales Invoice Lines'!L1823</f>
        <v>84</v>
      </c>
      <c r="H1823" s="8">
        <f>'Posted Sales Invoice Lines'!N1823</f>
        <v>39.25</v>
      </c>
      <c r="I1823" s="8">
        <f>'Posted Sales Invoice Lines'!O1823</f>
        <v>3297</v>
      </c>
    </row>
    <row r="1824" spans="1:9" x14ac:dyDescent="0.25">
      <c r="A1824" s="2" t="str">
        <f>'Posted Sales Invoice Lines'!A1824</f>
        <v>PS-INV226637</v>
      </c>
      <c r="B1824" s="2" t="str">
        <f>'Posted Sales Invoice Lines'!B1824</f>
        <v>10540-03</v>
      </c>
      <c r="C1824" s="2" t="str">
        <f>'Posted Sales Invoice Lines'!C1824</f>
        <v>PFG Louisville TN</v>
      </c>
      <c r="D1824" s="2" t="str">
        <f>'Posted Sales Invoice Lines'!E1824</f>
        <v>F530421</v>
      </c>
      <c r="E1824" s="2" t="str">
        <f>'Posted Sales Invoice Lines'!F1824</f>
        <v>Cs. 4.5" Challah Buns 6-12pk.</v>
      </c>
      <c r="F1824" s="3">
        <f>'Posted Sales Invoice Lines'!G1824</f>
        <v>46191</v>
      </c>
      <c r="G1824" s="9">
        <f>'Posted Sales Invoice Lines'!L1824</f>
        <v>20</v>
      </c>
      <c r="H1824" s="8">
        <f>'Posted Sales Invoice Lines'!N1824</f>
        <v>38.299999999999997</v>
      </c>
      <c r="I1824" s="8">
        <f>'Posted Sales Invoice Lines'!O1824</f>
        <v>766</v>
      </c>
    </row>
    <row r="1825" spans="1:9" x14ac:dyDescent="0.25">
      <c r="A1825" s="2" t="str">
        <f>'Posted Sales Invoice Lines'!A1825</f>
        <v>PS-INV226637</v>
      </c>
      <c r="B1825" s="2" t="str">
        <f>'Posted Sales Invoice Lines'!B1825</f>
        <v>10540-03</v>
      </c>
      <c r="C1825" s="2" t="str">
        <f>'Posted Sales Invoice Lines'!C1825</f>
        <v>PFG Louisville TN</v>
      </c>
      <c r="D1825" s="2" t="str">
        <f>'Posted Sales Invoice Lines'!E1825</f>
        <v>F53105</v>
      </c>
      <c r="E1825" s="2" t="str">
        <f>'Posted Sales Invoice Lines'!F1825</f>
        <v>Cs. 6" White Hot Dog 16-8pk</v>
      </c>
      <c r="F1825" s="3">
        <f>'Posted Sales Invoice Lines'!G1825</f>
        <v>46191</v>
      </c>
      <c r="G1825" s="9">
        <f>'Posted Sales Invoice Lines'!L1825</f>
        <v>0</v>
      </c>
      <c r="H1825" s="8">
        <f>'Posted Sales Invoice Lines'!N1825</f>
        <v>34.5</v>
      </c>
      <c r="I1825" s="8">
        <f>'Posted Sales Invoice Lines'!O1825</f>
        <v>0</v>
      </c>
    </row>
    <row r="1826" spans="1:9" x14ac:dyDescent="0.25">
      <c r="A1826" s="2" t="str">
        <f>'Posted Sales Invoice Lines'!A1826</f>
        <v>PS-INV226637</v>
      </c>
      <c r="B1826" s="2" t="str">
        <f>'Posted Sales Invoice Lines'!B1826</f>
        <v>10540-03</v>
      </c>
      <c r="C1826" s="2" t="str">
        <f>'Posted Sales Invoice Lines'!C1826</f>
        <v>PFG Louisville TN</v>
      </c>
      <c r="D1826" s="2" t="str">
        <f>'Posted Sales Invoice Lines'!E1826</f>
        <v>F53094</v>
      </c>
      <c r="E1826" s="2" t="str">
        <f>'Posted Sales Invoice Lines'!F1826</f>
        <v>Cs. 6" Italian 12-6pks</v>
      </c>
      <c r="F1826" s="3">
        <f>'Posted Sales Invoice Lines'!G1826</f>
        <v>46191</v>
      </c>
      <c r="G1826" s="9">
        <f>'Posted Sales Invoice Lines'!L1826</f>
        <v>56</v>
      </c>
      <c r="H1826" s="8">
        <f>'Posted Sales Invoice Lines'!N1826</f>
        <v>35</v>
      </c>
      <c r="I1826" s="8">
        <f>'Posted Sales Invoice Lines'!O1826</f>
        <v>1960</v>
      </c>
    </row>
    <row r="1827" spans="1:9" x14ac:dyDescent="0.25">
      <c r="A1827" s="2" t="str">
        <f>'Posted Sales Invoice Lines'!A1827</f>
        <v>PS-INV226637</v>
      </c>
      <c r="B1827" s="2" t="str">
        <f>'Posted Sales Invoice Lines'!B1827</f>
        <v>10540-03</v>
      </c>
      <c r="C1827" s="2" t="str">
        <f>'Posted Sales Invoice Lines'!C1827</f>
        <v>PFG Louisville TN</v>
      </c>
      <c r="D1827" s="2" t="str">
        <f>'Posted Sales Invoice Lines'!E1827</f>
        <v>F51030</v>
      </c>
      <c r="E1827" s="2" t="str">
        <f>'Posted Sales Invoice Lines'!F1827</f>
        <v>Cs. Sour Dough Hearth 8lvs</v>
      </c>
      <c r="F1827" s="3">
        <f>'Posted Sales Invoice Lines'!G1827</f>
        <v>46191</v>
      </c>
      <c r="G1827" s="9">
        <f>'Posted Sales Invoice Lines'!L1827</f>
        <v>8</v>
      </c>
      <c r="H1827" s="8">
        <f>'Posted Sales Invoice Lines'!N1827</f>
        <v>43.82</v>
      </c>
      <c r="I1827" s="8">
        <f>'Posted Sales Invoice Lines'!O1827</f>
        <v>350.56</v>
      </c>
    </row>
    <row r="1828" spans="1:9" x14ac:dyDescent="0.25">
      <c r="A1828" s="2" t="str">
        <f>'Posted Sales Invoice Lines'!A1828</f>
        <v>PS-INV226637</v>
      </c>
      <c r="B1828" s="2" t="str">
        <f>'Posted Sales Invoice Lines'!B1828</f>
        <v>10540-03</v>
      </c>
      <c r="C1828" s="2" t="str">
        <f>'Posted Sales Invoice Lines'!C1828</f>
        <v>PFG Louisville TN</v>
      </c>
      <c r="D1828" s="2" t="str">
        <f>'Posted Sales Invoice Lines'!E1828</f>
        <v>F53072</v>
      </c>
      <c r="E1828" s="2" t="str">
        <f>'Posted Sales Invoice Lines'!F1828</f>
        <v>Cs. 5" Challah Bun 8-8pk</v>
      </c>
      <c r="F1828" s="3">
        <f>'Posted Sales Invoice Lines'!G1828</f>
        <v>46191</v>
      </c>
      <c r="G1828" s="9">
        <f>'Posted Sales Invoice Lines'!L1828</f>
        <v>4</v>
      </c>
      <c r="H1828" s="8">
        <f>'Posted Sales Invoice Lines'!N1828</f>
        <v>38.07</v>
      </c>
      <c r="I1828" s="8">
        <f>'Posted Sales Invoice Lines'!O1828</f>
        <v>152.28</v>
      </c>
    </row>
    <row r="1829" spans="1:9" x14ac:dyDescent="0.25">
      <c r="A1829" s="2" t="str">
        <f>'Posted Sales Invoice Lines'!A1829</f>
        <v>PS-INV226637</v>
      </c>
      <c r="B1829" s="2" t="str">
        <f>'Posted Sales Invoice Lines'!B1829</f>
        <v>10540-03</v>
      </c>
      <c r="C1829" s="2" t="str">
        <f>'Posted Sales Invoice Lines'!C1829</f>
        <v>PFG Louisville TN</v>
      </c>
      <c r="D1829" s="2" t="str">
        <f>'Posted Sales Invoice Lines'!E1829</f>
        <v>F53100</v>
      </c>
      <c r="E1829" s="2" t="str">
        <f>'Posted Sales Invoice Lines'!F1829</f>
        <v>Cs. Hot Dog pl/sl 12-8pk</v>
      </c>
      <c r="F1829" s="3">
        <f>'Posted Sales Invoice Lines'!G1829</f>
        <v>46191</v>
      </c>
      <c r="G1829" s="9">
        <f>'Posted Sales Invoice Lines'!L1829</f>
        <v>30</v>
      </c>
      <c r="H1829" s="8">
        <f>'Posted Sales Invoice Lines'!N1829</f>
        <v>36.18</v>
      </c>
      <c r="I1829" s="8">
        <f>'Posted Sales Invoice Lines'!O1829</f>
        <v>1085.4000000000001</v>
      </c>
    </row>
    <row r="1830" spans="1:9" x14ac:dyDescent="0.25">
      <c r="A1830" s="2" t="str">
        <f>'Posted Sales Invoice Lines'!A1830</f>
        <v>PS-INV226637</v>
      </c>
      <c r="B1830" s="2" t="str">
        <f>'Posted Sales Invoice Lines'!B1830</f>
        <v>10540-03</v>
      </c>
      <c r="C1830" s="2" t="str">
        <f>'Posted Sales Invoice Lines'!C1830</f>
        <v>PFG Louisville TN</v>
      </c>
      <c r="D1830" s="2" t="str">
        <f>'Posted Sales Invoice Lines'!E1830</f>
        <v>F53106</v>
      </c>
      <c r="E1830" s="2" t="str">
        <f>'Posted Sales Invoice Lines'!F1830</f>
        <v>Cs. Large Hot Dog 12-6pk</v>
      </c>
      <c r="F1830" s="3">
        <f>'Posted Sales Invoice Lines'!G1830</f>
        <v>46191</v>
      </c>
      <c r="G1830" s="9">
        <f>'Posted Sales Invoice Lines'!L1830</f>
        <v>8</v>
      </c>
      <c r="H1830" s="8">
        <f>'Posted Sales Invoice Lines'!N1830</f>
        <v>36.07</v>
      </c>
      <c r="I1830" s="8">
        <f>'Posted Sales Invoice Lines'!O1830</f>
        <v>288.56</v>
      </c>
    </row>
    <row r="1831" spans="1:9" x14ac:dyDescent="0.25">
      <c r="A1831" s="2" t="str">
        <f>'Posted Sales Invoice Lines'!A1831</f>
        <v>PS-INV226637</v>
      </c>
      <c r="B1831" s="2" t="str">
        <f>'Posted Sales Invoice Lines'!B1831</f>
        <v>10540-03</v>
      </c>
      <c r="C1831" s="2" t="str">
        <f>'Posted Sales Invoice Lines'!C1831</f>
        <v>PFG Louisville TN</v>
      </c>
      <c r="D1831" s="2" t="str">
        <f>'Posted Sales Invoice Lines'!E1831</f>
        <v>F51034</v>
      </c>
      <c r="E1831" s="2" t="str">
        <f>'Posted Sales Invoice Lines'!F1831</f>
        <v>Cs. Sour Dough Hearth 5/8" 8lvs</v>
      </c>
      <c r="F1831" s="3">
        <f>'Posted Sales Invoice Lines'!G1831</f>
        <v>46191</v>
      </c>
      <c r="G1831" s="9">
        <f>'Posted Sales Invoice Lines'!L1831</f>
        <v>48</v>
      </c>
      <c r="H1831" s="8">
        <f>'Posted Sales Invoice Lines'!N1831</f>
        <v>43.82</v>
      </c>
      <c r="I1831" s="8">
        <f>'Posted Sales Invoice Lines'!O1831</f>
        <v>2103.36</v>
      </c>
    </row>
    <row r="1832" spans="1:9" x14ac:dyDescent="0.25">
      <c r="A1832" s="2" t="str">
        <f>'Posted Sales Invoice Lines'!A1832</f>
        <v>PS-INV226973</v>
      </c>
      <c r="B1832" s="2" t="str">
        <f>'Posted Sales Invoice Lines'!B1832</f>
        <v>12438</v>
      </c>
      <c r="C1832" s="2" t="str">
        <f>'Posted Sales Invoice Lines'!C1832</f>
        <v>SGC Foodservice</v>
      </c>
      <c r="D1832" s="2" t="str">
        <f>'Posted Sales Invoice Lines'!E1832</f>
        <v>F54014</v>
      </c>
      <c r="E1832" s="2" t="str">
        <f>'Posted Sales Invoice Lines'!F1832</f>
        <v>Cs. White Mountain Dinner Rolls 12-12pk</v>
      </c>
      <c r="F1832" s="3">
        <f>'Posted Sales Invoice Lines'!G1832</f>
        <v>46195</v>
      </c>
      <c r="G1832" s="9">
        <f>'Posted Sales Invoice Lines'!L1832</f>
        <v>28</v>
      </c>
      <c r="H1832" s="8">
        <f>'Posted Sales Invoice Lines'!N1832</f>
        <v>38</v>
      </c>
      <c r="I1832" s="8">
        <f>'Posted Sales Invoice Lines'!O1832</f>
        <v>1064</v>
      </c>
    </row>
    <row r="1833" spans="1:9" x14ac:dyDescent="0.25">
      <c r="A1833" s="2" t="str">
        <f>'Posted Sales Invoice Lines'!A1833</f>
        <v>PS-INV226973</v>
      </c>
      <c r="B1833" s="2" t="str">
        <f>'Posted Sales Invoice Lines'!B1833</f>
        <v>12438</v>
      </c>
      <c r="C1833" s="2" t="str">
        <f>'Posted Sales Invoice Lines'!C1833</f>
        <v>SGC Foodservice</v>
      </c>
      <c r="D1833" s="2" t="str">
        <f>'Posted Sales Invoice Lines'!E1833</f>
        <v>F53116</v>
      </c>
      <c r="E1833" s="2" t="str">
        <f>'Posted Sales Invoice Lines'!F1833</f>
        <v>Cs. 7" French Hinged 12-6pk</v>
      </c>
      <c r="F1833" s="3">
        <f>'Posted Sales Invoice Lines'!G1833</f>
        <v>46195</v>
      </c>
      <c r="G1833" s="9">
        <f>'Posted Sales Invoice Lines'!L1833</f>
        <v>84</v>
      </c>
      <c r="H1833" s="8">
        <f>'Posted Sales Invoice Lines'!N1833</f>
        <v>36</v>
      </c>
      <c r="I1833" s="8">
        <f>'Posted Sales Invoice Lines'!O1833</f>
        <v>3024</v>
      </c>
    </row>
    <row r="1834" spans="1:9" x14ac:dyDescent="0.25">
      <c r="A1834" s="2" t="str">
        <f>'Posted Sales Invoice Lines'!A1834</f>
        <v>PS-INV226973</v>
      </c>
      <c r="B1834" s="2" t="str">
        <f>'Posted Sales Invoice Lines'!B1834</f>
        <v>12438</v>
      </c>
      <c r="C1834" s="2" t="str">
        <f>'Posted Sales Invoice Lines'!C1834</f>
        <v>SGC Foodservice</v>
      </c>
      <c r="D1834" s="2" t="str">
        <f>'Posted Sales Invoice Lines'!E1834</f>
        <v>F51034</v>
      </c>
      <c r="E1834" s="2" t="str">
        <f>'Posted Sales Invoice Lines'!F1834</f>
        <v>Cs. Sour Dough Hearth 5/8" 8lvs</v>
      </c>
      <c r="F1834" s="3">
        <f>'Posted Sales Invoice Lines'!G1834</f>
        <v>46195</v>
      </c>
      <c r="G1834" s="9">
        <f>'Posted Sales Invoice Lines'!L1834</f>
        <v>112</v>
      </c>
      <c r="H1834" s="8">
        <f>'Posted Sales Invoice Lines'!N1834</f>
        <v>43.82</v>
      </c>
      <c r="I1834" s="8">
        <f>'Posted Sales Invoice Lines'!O1834</f>
        <v>4907.84</v>
      </c>
    </row>
    <row r="1835" spans="1:9" x14ac:dyDescent="0.25">
      <c r="A1835" s="2" t="str">
        <f>'Posted Sales Invoice Lines'!A1835</f>
        <v>PS-INV226973</v>
      </c>
      <c r="B1835" s="2" t="str">
        <f>'Posted Sales Invoice Lines'!B1835</f>
        <v>12438</v>
      </c>
      <c r="C1835" s="2" t="str">
        <f>'Posted Sales Invoice Lines'!C1835</f>
        <v>SGC Foodservice</v>
      </c>
      <c r="D1835" s="2" t="str">
        <f>'Posted Sales Invoice Lines'!E1835</f>
        <v>F53001</v>
      </c>
      <c r="E1835" s="2" t="str">
        <f>'Posted Sales Invoice Lines'!F1835</f>
        <v>Cs. 4" Brioche Bun 8-12pk</v>
      </c>
      <c r="F1835" s="3">
        <f>'Posted Sales Invoice Lines'!G1835</f>
        <v>46195</v>
      </c>
      <c r="G1835" s="9">
        <f>'Posted Sales Invoice Lines'!L1835</f>
        <v>504</v>
      </c>
      <c r="H1835" s="8">
        <f>'Posted Sales Invoice Lines'!N1835</f>
        <v>42.6</v>
      </c>
      <c r="I1835" s="8">
        <f>'Posted Sales Invoice Lines'!O1835</f>
        <v>21470.400000000001</v>
      </c>
    </row>
    <row r="1836" spans="1:9" x14ac:dyDescent="0.25">
      <c r="A1836" s="2" t="str">
        <f>'Posted Sales Invoice Lines'!A1836</f>
        <v>PS-INV227180</v>
      </c>
      <c r="B1836" s="2" t="str">
        <f>'Posted Sales Invoice Lines'!B1836</f>
        <v>10899</v>
      </c>
      <c r="C1836" s="2" t="str">
        <f>'Posted Sales Invoice Lines'!C1836</f>
        <v>Wood Fruitticher Grocery Co.</v>
      </c>
      <c r="D1836" s="2" t="str">
        <f>'Posted Sales Invoice Lines'!E1836</f>
        <v>F53072</v>
      </c>
      <c r="E1836" s="2" t="str">
        <f>'Posted Sales Invoice Lines'!F1836</f>
        <v>Cs. 5" Challah Bun 8-8pk</v>
      </c>
      <c r="F1836" s="3">
        <f>'Posted Sales Invoice Lines'!G1836</f>
        <v>46195</v>
      </c>
      <c r="G1836" s="9">
        <f>'Posted Sales Invoice Lines'!L1836</f>
        <v>16</v>
      </c>
      <c r="H1836" s="8">
        <f>'Posted Sales Invoice Lines'!N1836</f>
        <v>34.93</v>
      </c>
      <c r="I1836" s="8">
        <f>'Posted Sales Invoice Lines'!O1836</f>
        <v>558.88</v>
      </c>
    </row>
    <row r="1837" spans="1:9" x14ac:dyDescent="0.25">
      <c r="A1837" s="2" t="str">
        <f>'Posted Sales Invoice Lines'!A1837</f>
        <v>PS-INV227180</v>
      </c>
      <c r="B1837" s="2" t="str">
        <f>'Posted Sales Invoice Lines'!B1837</f>
        <v>10899</v>
      </c>
      <c r="C1837" s="2" t="str">
        <f>'Posted Sales Invoice Lines'!C1837</f>
        <v>Wood Fruitticher Grocery Co.</v>
      </c>
      <c r="D1837" s="2" t="str">
        <f>'Posted Sales Invoice Lines'!E1837</f>
        <v>F53003</v>
      </c>
      <c r="E1837" s="2" t="str">
        <f>'Posted Sales Invoice Lines'!F1837</f>
        <v>Cs. 4" Unseeded Challah Bun 8-12pk</v>
      </c>
      <c r="F1837" s="3">
        <f>'Posted Sales Invoice Lines'!G1837</f>
        <v>46195</v>
      </c>
      <c r="G1837" s="9">
        <f>'Posted Sales Invoice Lines'!L1837</f>
        <v>48</v>
      </c>
      <c r="H1837" s="8">
        <f>'Posted Sales Invoice Lines'!N1837</f>
        <v>35.479999999999997</v>
      </c>
      <c r="I1837" s="8">
        <f>'Posted Sales Invoice Lines'!O1837</f>
        <v>1703.04</v>
      </c>
    </row>
    <row r="1838" spans="1:9" x14ac:dyDescent="0.25">
      <c r="A1838" s="2" t="str">
        <f>'Posted Sales Invoice Lines'!A1838</f>
        <v>PS-INV227180</v>
      </c>
      <c r="B1838" s="2" t="str">
        <f>'Posted Sales Invoice Lines'!B1838</f>
        <v>10899</v>
      </c>
      <c r="C1838" s="2" t="str">
        <f>'Posted Sales Invoice Lines'!C1838</f>
        <v>Wood Fruitticher Grocery Co.</v>
      </c>
      <c r="D1838" s="2" t="str">
        <f>'Posted Sales Invoice Lines'!E1838</f>
        <v>F51137</v>
      </c>
      <c r="E1838" s="2" t="str">
        <f>'Posted Sales Invoice Lines'!F1838</f>
        <v>Cs. Texas Toast 3/4" 12lvs</v>
      </c>
      <c r="F1838" s="3">
        <f>'Posted Sales Invoice Lines'!G1838</f>
        <v>46195</v>
      </c>
      <c r="G1838" s="9">
        <f>'Posted Sales Invoice Lines'!L1838</f>
        <v>120</v>
      </c>
      <c r="H1838" s="8">
        <f>'Posted Sales Invoice Lines'!N1838</f>
        <v>28.49</v>
      </c>
      <c r="I1838" s="8">
        <f>'Posted Sales Invoice Lines'!O1838</f>
        <v>3418.8</v>
      </c>
    </row>
    <row r="1839" spans="1:9" x14ac:dyDescent="0.25">
      <c r="A1839" s="2" t="str">
        <f>'Posted Sales Invoice Lines'!A1839</f>
        <v>PS-INV227180</v>
      </c>
      <c r="B1839" s="2" t="str">
        <f>'Posted Sales Invoice Lines'!B1839</f>
        <v>10899</v>
      </c>
      <c r="C1839" s="2" t="str">
        <f>'Posted Sales Invoice Lines'!C1839</f>
        <v>Wood Fruitticher Grocery Co.</v>
      </c>
      <c r="D1839" s="2" t="str">
        <f>'Posted Sales Invoice Lines'!E1839</f>
        <v>F51136</v>
      </c>
      <c r="E1839" s="2" t="str">
        <f>'Posted Sales Invoice Lines'!F1839</f>
        <v>Cs. Texas Toast 1" 12lvs</v>
      </c>
      <c r="F1839" s="3">
        <f>'Posted Sales Invoice Lines'!G1839</f>
        <v>46195</v>
      </c>
      <c r="G1839" s="9">
        <f>'Posted Sales Invoice Lines'!L1839</f>
        <v>56</v>
      </c>
      <c r="H1839" s="8">
        <f>'Posted Sales Invoice Lines'!N1839</f>
        <v>28.49</v>
      </c>
      <c r="I1839" s="8">
        <f>'Posted Sales Invoice Lines'!O1839</f>
        <v>1595.44</v>
      </c>
    </row>
    <row r="1840" spans="1:9" x14ac:dyDescent="0.25">
      <c r="A1840" s="2" t="str">
        <f>'Posted Sales Invoice Lines'!A1840</f>
        <v>PS-INV227180</v>
      </c>
      <c r="B1840" s="2" t="str">
        <f>'Posted Sales Invoice Lines'!B1840</f>
        <v>10899</v>
      </c>
      <c r="C1840" s="2" t="str">
        <f>'Posted Sales Invoice Lines'!C1840</f>
        <v>Wood Fruitticher Grocery Co.</v>
      </c>
      <c r="D1840" s="2" t="str">
        <f>'Posted Sales Invoice Lines'!E1840</f>
        <v>F51134</v>
      </c>
      <c r="E1840" s="2" t="str">
        <f>'Posted Sales Invoice Lines'!F1840</f>
        <v>Cs. Club Wheat 12lvs</v>
      </c>
      <c r="F1840" s="3">
        <f>'Posted Sales Invoice Lines'!G1840</f>
        <v>46195</v>
      </c>
      <c r="G1840" s="9">
        <f>'Posted Sales Invoice Lines'!L1840</f>
        <v>64</v>
      </c>
      <c r="H1840" s="8">
        <f>'Posted Sales Invoice Lines'!N1840</f>
        <v>28.49</v>
      </c>
      <c r="I1840" s="8">
        <f>'Posted Sales Invoice Lines'!O1840</f>
        <v>1823.36</v>
      </c>
    </row>
    <row r="1841" spans="1:9" x14ac:dyDescent="0.25">
      <c r="A1841" s="2" t="str">
        <f>'Posted Sales Invoice Lines'!A1841</f>
        <v>PS-INV227180</v>
      </c>
      <c r="B1841" s="2" t="str">
        <f>'Posted Sales Invoice Lines'!B1841</f>
        <v>10899</v>
      </c>
      <c r="C1841" s="2" t="str">
        <f>'Posted Sales Invoice Lines'!C1841</f>
        <v>Wood Fruitticher Grocery Co.</v>
      </c>
      <c r="D1841" s="2" t="str">
        <f>'Posted Sales Invoice Lines'!E1841</f>
        <v>F51130</v>
      </c>
      <c r="E1841" s="2" t="str">
        <f>'Posted Sales Invoice Lines'!F1841</f>
        <v>Cs. Club White 12lvs</v>
      </c>
      <c r="F1841" s="3">
        <f>'Posted Sales Invoice Lines'!G1841</f>
        <v>46195</v>
      </c>
      <c r="G1841" s="9">
        <f>'Posted Sales Invoice Lines'!L1841</f>
        <v>64</v>
      </c>
      <c r="H1841" s="8">
        <f>'Posted Sales Invoice Lines'!N1841</f>
        <v>28.49</v>
      </c>
      <c r="I1841" s="8">
        <f>'Posted Sales Invoice Lines'!O1841</f>
        <v>1823.36</v>
      </c>
    </row>
    <row r="1842" spans="1:9" x14ac:dyDescent="0.25">
      <c r="A1842" s="2" t="str">
        <f>'Posted Sales Invoice Lines'!A1842</f>
        <v>PS-INV227180</v>
      </c>
      <c r="B1842" s="2" t="str">
        <f>'Posted Sales Invoice Lines'!B1842</f>
        <v>10899</v>
      </c>
      <c r="C1842" s="2" t="str">
        <f>'Posted Sales Invoice Lines'!C1842</f>
        <v>Wood Fruitticher Grocery Co.</v>
      </c>
      <c r="D1842" s="2" t="str">
        <f>'Posted Sales Invoice Lines'!E1842</f>
        <v>F53094</v>
      </c>
      <c r="E1842" s="2" t="str">
        <f>'Posted Sales Invoice Lines'!F1842</f>
        <v>Cs. 6" Italian 12-6pks</v>
      </c>
      <c r="F1842" s="3">
        <f>'Posted Sales Invoice Lines'!G1842</f>
        <v>46195</v>
      </c>
      <c r="G1842" s="9">
        <f>'Posted Sales Invoice Lines'!L1842</f>
        <v>224</v>
      </c>
      <c r="H1842" s="8">
        <f>'Posted Sales Invoice Lines'!N1842</f>
        <v>25.25</v>
      </c>
      <c r="I1842" s="8">
        <f>'Posted Sales Invoice Lines'!O1842</f>
        <v>5656</v>
      </c>
    </row>
    <row r="1843" spans="1:9" x14ac:dyDescent="0.25">
      <c r="A1843" s="2" t="str">
        <f>'Posted Sales Invoice Lines'!A1843</f>
        <v>PS-INV227180</v>
      </c>
      <c r="B1843" s="2" t="str">
        <f>'Posted Sales Invoice Lines'!B1843</f>
        <v>10899</v>
      </c>
      <c r="C1843" s="2" t="str">
        <f>'Posted Sales Invoice Lines'!C1843</f>
        <v>Wood Fruitticher Grocery Co.</v>
      </c>
      <c r="D1843" s="2" t="str">
        <f>'Posted Sales Invoice Lines'!E1843</f>
        <v>F51006</v>
      </c>
      <c r="E1843" s="2" t="str">
        <f>'Posted Sales Invoice Lines'!F1843</f>
        <v>Cs. Rye 3/4" 8lvs</v>
      </c>
      <c r="F1843" s="3">
        <f>'Posted Sales Invoice Lines'!G1843</f>
        <v>46195</v>
      </c>
      <c r="G1843" s="9">
        <f>'Posted Sales Invoice Lines'!L1843</f>
        <v>16</v>
      </c>
      <c r="H1843" s="8">
        <f>'Posted Sales Invoice Lines'!N1843</f>
        <v>36.630000000000003</v>
      </c>
      <c r="I1843" s="8">
        <f>'Posted Sales Invoice Lines'!O1843</f>
        <v>586.08000000000004</v>
      </c>
    </row>
    <row r="1844" spans="1:9" x14ac:dyDescent="0.25">
      <c r="A1844" s="2" t="str">
        <f>'Posted Sales Invoice Lines'!A1844</f>
        <v>PS-INV227180</v>
      </c>
      <c r="B1844" s="2" t="str">
        <f>'Posted Sales Invoice Lines'!B1844</f>
        <v>10899</v>
      </c>
      <c r="C1844" s="2" t="str">
        <f>'Posted Sales Invoice Lines'!C1844</f>
        <v>Wood Fruitticher Grocery Co.</v>
      </c>
      <c r="D1844" s="2" t="str">
        <f>'Posted Sales Invoice Lines'!E1844</f>
        <v>F51034</v>
      </c>
      <c r="E1844" s="2" t="str">
        <f>'Posted Sales Invoice Lines'!F1844</f>
        <v>Cs. Sour Dough Hearth 5/8" 8lvs</v>
      </c>
      <c r="F1844" s="3">
        <f>'Posted Sales Invoice Lines'!G1844</f>
        <v>46195</v>
      </c>
      <c r="G1844" s="9">
        <f>'Posted Sales Invoice Lines'!L1844</f>
        <v>24</v>
      </c>
      <c r="H1844" s="8">
        <f>'Posted Sales Invoice Lines'!N1844</f>
        <v>37.950000000000003</v>
      </c>
      <c r="I1844" s="8">
        <f>'Posted Sales Invoice Lines'!O1844</f>
        <v>910.8</v>
      </c>
    </row>
    <row r="1845" spans="1:9" x14ac:dyDescent="0.25">
      <c r="A1845" s="2" t="str">
        <f>'Posted Sales Invoice Lines'!A1845</f>
        <v>PS-INV227180</v>
      </c>
      <c r="B1845" s="2" t="str">
        <f>'Posted Sales Invoice Lines'!B1845</f>
        <v>10899</v>
      </c>
      <c r="C1845" s="2" t="str">
        <f>'Posted Sales Invoice Lines'!C1845</f>
        <v>Wood Fruitticher Grocery Co.</v>
      </c>
      <c r="D1845" s="2" t="str">
        <f>'Posted Sales Invoice Lines'!E1845</f>
        <v>F51024</v>
      </c>
      <c r="E1845" s="2" t="str">
        <f>'Posted Sales Invoice Lines'!F1845</f>
        <v>Cs. Marble Rye 5/8" 8lvs</v>
      </c>
      <c r="F1845" s="3">
        <f>'Posted Sales Invoice Lines'!G1845</f>
        <v>46195</v>
      </c>
      <c r="G1845" s="9">
        <f>'Posted Sales Invoice Lines'!L1845</f>
        <v>36</v>
      </c>
      <c r="H1845" s="8">
        <f>'Posted Sales Invoice Lines'!N1845</f>
        <v>36.630000000000003</v>
      </c>
      <c r="I1845" s="8">
        <f>'Posted Sales Invoice Lines'!O1845</f>
        <v>1318.68</v>
      </c>
    </row>
    <row r="1846" spans="1:9" x14ac:dyDescent="0.25">
      <c r="A1846" s="2" t="str">
        <f>'Posted Sales Invoice Lines'!A1846</f>
        <v>PS-INV227180</v>
      </c>
      <c r="B1846" s="2" t="str">
        <f>'Posted Sales Invoice Lines'!B1846</f>
        <v>10899</v>
      </c>
      <c r="C1846" s="2" t="str">
        <f>'Posted Sales Invoice Lines'!C1846</f>
        <v>Wood Fruitticher Grocery Co.</v>
      </c>
      <c r="D1846" s="2" t="str">
        <f>'Posted Sales Invoice Lines'!E1846</f>
        <v>F53001</v>
      </c>
      <c r="E1846" s="2" t="str">
        <f>'Posted Sales Invoice Lines'!F1846</f>
        <v>Cs. 4" Brioche Bun 8-12pk</v>
      </c>
      <c r="F1846" s="3">
        <f>'Posted Sales Invoice Lines'!G1846</f>
        <v>46195</v>
      </c>
      <c r="G1846" s="9">
        <f>'Posted Sales Invoice Lines'!L1846</f>
        <v>168</v>
      </c>
      <c r="H1846" s="8">
        <f>'Posted Sales Invoice Lines'!N1846</f>
        <v>40.43</v>
      </c>
      <c r="I1846" s="8">
        <f>'Posted Sales Invoice Lines'!O1846</f>
        <v>6792.24</v>
      </c>
    </row>
    <row r="1847" spans="1:9" x14ac:dyDescent="0.25">
      <c r="A1847" s="2" t="str">
        <f>'Posted Sales Invoice Lines'!A1847</f>
        <v>PS-INV227566</v>
      </c>
      <c r="B1847" s="2" t="str">
        <f>'Posted Sales Invoice Lines'!B1847</f>
        <v>10511</v>
      </c>
      <c r="C1847" s="2" t="str">
        <f>'Posted Sales Invoice Lines'!C1847</f>
        <v>Sysco Nashville, LLC</v>
      </c>
      <c r="D1847" s="2" t="str">
        <f>'Posted Sales Invoice Lines'!E1847</f>
        <v>F53072</v>
      </c>
      <c r="E1847" s="2" t="str">
        <f>'Posted Sales Invoice Lines'!F1847</f>
        <v>Cs. 5" Challah Bun 8-8pk</v>
      </c>
      <c r="F1847" s="3">
        <f>'Posted Sales Invoice Lines'!G1847</f>
        <v>46196</v>
      </c>
      <c r="G1847" s="9">
        <f>'Posted Sales Invoice Lines'!L1847</f>
        <v>16</v>
      </c>
      <c r="H1847" s="8">
        <f>'Posted Sales Invoice Lines'!N1847</f>
        <v>37.049999999999997</v>
      </c>
      <c r="I1847" s="8">
        <f>'Posted Sales Invoice Lines'!O1847</f>
        <v>592.79999999999995</v>
      </c>
    </row>
    <row r="1848" spans="1:9" x14ac:dyDescent="0.25">
      <c r="A1848" s="2" t="str">
        <f>'Posted Sales Invoice Lines'!A1848</f>
        <v>PS-INV227566</v>
      </c>
      <c r="B1848" s="2" t="str">
        <f>'Posted Sales Invoice Lines'!B1848</f>
        <v>10511</v>
      </c>
      <c r="C1848" s="2" t="str">
        <f>'Posted Sales Invoice Lines'!C1848</f>
        <v>Sysco Nashville, LLC</v>
      </c>
      <c r="D1848" s="2" t="str">
        <f>'Posted Sales Invoice Lines'!E1848</f>
        <v>F51200</v>
      </c>
      <c r="E1848" s="2" t="str">
        <f>'Posted Sales Invoice Lines'!F1848</f>
        <v>Cs. Jalapeno Corn Hearth 5/8" 8lvs</v>
      </c>
      <c r="F1848" s="3">
        <f>'Posted Sales Invoice Lines'!G1848</f>
        <v>46196</v>
      </c>
      <c r="G1848" s="9">
        <f>'Posted Sales Invoice Lines'!L1848</f>
        <v>64</v>
      </c>
      <c r="H1848" s="8">
        <f>'Posted Sales Invoice Lines'!N1848</f>
        <v>60.07</v>
      </c>
      <c r="I1848" s="8">
        <f>'Posted Sales Invoice Lines'!O1848</f>
        <v>3844.48</v>
      </c>
    </row>
    <row r="1849" spans="1:9" x14ac:dyDescent="0.25">
      <c r="A1849" s="2" t="str">
        <f>'Posted Sales Invoice Lines'!A1849</f>
        <v>PS-INV227566</v>
      </c>
      <c r="B1849" s="2" t="str">
        <f>'Posted Sales Invoice Lines'!B1849</f>
        <v>10511</v>
      </c>
      <c r="C1849" s="2" t="str">
        <f>'Posted Sales Invoice Lines'!C1849</f>
        <v>Sysco Nashville, LLC</v>
      </c>
      <c r="D1849" s="2" t="str">
        <f>'Posted Sales Invoice Lines'!E1849</f>
        <v>F51414</v>
      </c>
      <c r="E1849" s="2" t="str">
        <f>'Posted Sales Invoice Lines'!F1849</f>
        <v>Cs. Cranberry 9 Grain Hearth 5/8" 8lvs</v>
      </c>
      <c r="F1849" s="3">
        <f>'Posted Sales Invoice Lines'!G1849</f>
        <v>46196</v>
      </c>
      <c r="G1849" s="9">
        <f>'Posted Sales Invoice Lines'!L1849</f>
        <v>56</v>
      </c>
      <c r="H1849" s="8">
        <f>'Posted Sales Invoice Lines'!N1849</f>
        <v>64</v>
      </c>
      <c r="I1849" s="8">
        <f>'Posted Sales Invoice Lines'!O1849</f>
        <v>3584</v>
      </c>
    </row>
    <row r="1850" spans="1:9" x14ac:dyDescent="0.25">
      <c r="A1850" s="2" t="str">
        <f>'Posted Sales Invoice Lines'!A1850</f>
        <v>PS-INV227566</v>
      </c>
      <c r="B1850" s="2" t="str">
        <f>'Posted Sales Invoice Lines'!B1850</f>
        <v>10511</v>
      </c>
      <c r="C1850" s="2" t="str">
        <f>'Posted Sales Invoice Lines'!C1850</f>
        <v>Sysco Nashville, LLC</v>
      </c>
      <c r="D1850" s="2" t="str">
        <f>'Posted Sales Invoice Lines'!E1850</f>
        <v>F53001</v>
      </c>
      <c r="E1850" s="2" t="str">
        <f>'Posted Sales Invoice Lines'!F1850</f>
        <v>Cs. 4" Brioche Bun 8-12pk</v>
      </c>
      <c r="F1850" s="3">
        <f>'Posted Sales Invoice Lines'!G1850</f>
        <v>46196</v>
      </c>
      <c r="G1850" s="9">
        <f>'Posted Sales Invoice Lines'!L1850</f>
        <v>252</v>
      </c>
      <c r="H1850" s="8">
        <f>'Posted Sales Invoice Lines'!N1850</f>
        <v>46.1</v>
      </c>
      <c r="I1850" s="8">
        <f>'Posted Sales Invoice Lines'!O1850</f>
        <v>11617.2</v>
      </c>
    </row>
    <row r="1851" spans="1:9" x14ac:dyDescent="0.25">
      <c r="A1851" s="2" t="str">
        <f>'Posted Sales Invoice Lines'!A1851</f>
        <v>PS-INV227566</v>
      </c>
      <c r="B1851" s="2" t="str">
        <f>'Posted Sales Invoice Lines'!B1851</f>
        <v>10511</v>
      </c>
      <c r="C1851" s="2" t="str">
        <f>'Posted Sales Invoice Lines'!C1851</f>
        <v>Sysco Nashville, LLC</v>
      </c>
      <c r="D1851" s="2" t="str">
        <f>'Posted Sales Invoice Lines'!E1851</f>
        <v>F53116</v>
      </c>
      <c r="E1851" s="2" t="str">
        <f>'Posted Sales Invoice Lines'!F1851</f>
        <v>Cs. 7" French Hinged 12-6pk</v>
      </c>
      <c r="F1851" s="3">
        <f>'Posted Sales Invoice Lines'!G1851</f>
        <v>46196</v>
      </c>
      <c r="G1851" s="9">
        <f>'Posted Sales Invoice Lines'!L1851</f>
        <v>80</v>
      </c>
      <c r="H1851" s="8">
        <f>'Posted Sales Invoice Lines'!N1851</f>
        <v>38</v>
      </c>
      <c r="I1851" s="8">
        <f>'Posted Sales Invoice Lines'!O1851</f>
        <v>3040</v>
      </c>
    </row>
    <row r="1852" spans="1:9" x14ac:dyDescent="0.25">
      <c r="A1852" s="2" t="str">
        <f>'Posted Sales Invoice Lines'!A1852</f>
        <v>PS-INV227566</v>
      </c>
      <c r="B1852" s="2" t="str">
        <f>'Posted Sales Invoice Lines'!B1852</f>
        <v>10511</v>
      </c>
      <c r="C1852" s="2" t="str">
        <f>'Posted Sales Invoice Lines'!C1852</f>
        <v>Sysco Nashville, LLC</v>
      </c>
      <c r="D1852" s="2" t="str">
        <f>'Posted Sales Invoice Lines'!E1852</f>
        <v>F53128</v>
      </c>
      <c r="E1852" s="2" t="str">
        <f>'Posted Sales Invoice Lines'!F1852</f>
        <v>Cs. 8" Philly Unsliced 10-6pk</v>
      </c>
      <c r="F1852" s="3">
        <f>'Posted Sales Invoice Lines'!G1852</f>
        <v>46196</v>
      </c>
      <c r="G1852" s="9">
        <f>'Posted Sales Invoice Lines'!L1852</f>
        <v>168</v>
      </c>
      <c r="H1852" s="8">
        <f>'Posted Sales Invoice Lines'!N1852</f>
        <v>45</v>
      </c>
      <c r="I1852" s="8">
        <f>'Posted Sales Invoice Lines'!O1852</f>
        <v>7560</v>
      </c>
    </row>
    <row r="1853" spans="1:9" x14ac:dyDescent="0.25">
      <c r="A1853" s="2" t="str">
        <f>'Posted Sales Invoice Lines'!A1853</f>
        <v>PS-INV227629</v>
      </c>
      <c r="B1853" s="2" t="str">
        <f>'Posted Sales Invoice Lines'!B1853</f>
        <v>10719-4</v>
      </c>
      <c r="C1853" s="2" t="str">
        <f>'Posted Sales Invoice Lines'!C1853</f>
        <v>US Foods - Columbia/Lexington</v>
      </c>
      <c r="D1853" s="2" t="str">
        <f>'Posted Sales Invoice Lines'!E1853</f>
        <v>F51077</v>
      </c>
      <c r="E1853" s="2" t="str">
        <f>'Posted Sales Invoice Lines'!F1853</f>
        <v>Cs. Oatie Multigrain 5/8" 8lvs</v>
      </c>
      <c r="F1853" s="3">
        <f>'Posted Sales Invoice Lines'!G1853</f>
        <v>46197</v>
      </c>
      <c r="G1853" s="9">
        <f>'Posted Sales Invoice Lines'!L1853</f>
        <v>32</v>
      </c>
      <c r="H1853" s="8">
        <f>'Posted Sales Invoice Lines'!N1853</f>
        <v>56</v>
      </c>
      <c r="I1853" s="8">
        <f>'Posted Sales Invoice Lines'!O1853</f>
        <v>1792</v>
      </c>
    </row>
    <row r="1854" spans="1:9" x14ac:dyDescent="0.25">
      <c r="A1854" s="2" t="str">
        <f>'Posted Sales Invoice Lines'!A1854</f>
        <v>PS-INV227629</v>
      </c>
      <c r="B1854" s="2" t="str">
        <f>'Posted Sales Invoice Lines'!B1854</f>
        <v>10719-4</v>
      </c>
      <c r="C1854" s="2" t="str">
        <f>'Posted Sales Invoice Lines'!C1854</f>
        <v>US Foods - Columbia/Lexington</v>
      </c>
      <c r="D1854" s="2" t="str">
        <f>'Posted Sales Invoice Lines'!E1854</f>
        <v>F51044</v>
      </c>
      <c r="E1854" s="2" t="str">
        <f>'Posted Sales Invoice Lines'!F1854</f>
        <v>Cs. Vienna 5/8" 8lvs</v>
      </c>
      <c r="F1854" s="3">
        <f>'Posted Sales Invoice Lines'!G1854</f>
        <v>46197</v>
      </c>
      <c r="G1854" s="9">
        <f>'Posted Sales Invoice Lines'!L1854</f>
        <v>16</v>
      </c>
      <c r="H1854" s="8">
        <f>'Posted Sales Invoice Lines'!N1854</f>
        <v>40</v>
      </c>
      <c r="I1854" s="8">
        <f>'Posted Sales Invoice Lines'!O1854</f>
        <v>640</v>
      </c>
    </row>
    <row r="1855" spans="1:9" x14ac:dyDescent="0.25">
      <c r="A1855" s="2" t="str">
        <f>'Posted Sales Invoice Lines'!A1855</f>
        <v>PS-INV227629</v>
      </c>
      <c r="B1855" s="2" t="str">
        <f>'Posted Sales Invoice Lines'!B1855</f>
        <v>10719-4</v>
      </c>
      <c r="C1855" s="2" t="str">
        <f>'Posted Sales Invoice Lines'!C1855</f>
        <v>US Foods - Columbia/Lexington</v>
      </c>
      <c r="D1855" s="2" t="str">
        <f>'Posted Sales Invoice Lines'!E1855</f>
        <v>F53010</v>
      </c>
      <c r="E1855" s="2" t="str">
        <f>'Posted Sales Invoice Lines'!F1855</f>
        <v>Cs. Onion Roll 8-12pk</v>
      </c>
      <c r="F1855" s="3">
        <f>'Posted Sales Invoice Lines'!G1855</f>
        <v>46197</v>
      </c>
      <c r="G1855" s="9">
        <f>'Posted Sales Invoice Lines'!L1855</f>
        <v>16</v>
      </c>
      <c r="H1855" s="8">
        <f>'Posted Sales Invoice Lines'!N1855</f>
        <v>41.85</v>
      </c>
      <c r="I1855" s="8">
        <f>'Posted Sales Invoice Lines'!O1855</f>
        <v>669.6</v>
      </c>
    </row>
    <row r="1856" spans="1:9" x14ac:dyDescent="0.25">
      <c r="A1856" s="2" t="str">
        <f>'Posted Sales Invoice Lines'!A1856</f>
        <v>PS-INV227629</v>
      </c>
      <c r="B1856" s="2" t="str">
        <f>'Posted Sales Invoice Lines'!B1856</f>
        <v>10719-4</v>
      </c>
      <c r="C1856" s="2" t="str">
        <f>'Posted Sales Invoice Lines'!C1856</f>
        <v>US Foods - Columbia/Lexington</v>
      </c>
      <c r="D1856" s="2" t="str">
        <f>'Posted Sales Invoice Lines'!E1856</f>
        <v>F53093</v>
      </c>
      <c r="E1856" s="2" t="str">
        <f>'Posted Sales Invoice Lines'!F1856</f>
        <v>Cs. 6" Philly Unsliced 12-6pk</v>
      </c>
      <c r="F1856" s="3">
        <f>'Posted Sales Invoice Lines'!G1856</f>
        <v>46197</v>
      </c>
      <c r="G1856" s="9">
        <f>'Posted Sales Invoice Lines'!L1856</f>
        <v>12</v>
      </c>
      <c r="H1856" s="8">
        <f>'Posted Sales Invoice Lines'!N1856</f>
        <v>47.2</v>
      </c>
      <c r="I1856" s="8">
        <f>'Posted Sales Invoice Lines'!O1856</f>
        <v>566.4</v>
      </c>
    </row>
    <row r="1857" spans="1:9" x14ac:dyDescent="0.25">
      <c r="A1857" s="2" t="str">
        <f>'Posted Sales Invoice Lines'!A1857</f>
        <v>PS-INV227629</v>
      </c>
      <c r="B1857" s="2" t="str">
        <f>'Posted Sales Invoice Lines'!B1857</f>
        <v>10719-4</v>
      </c>
      <c r="C1857" s="2" t="str">
        <f>'Posted Sales Invoice Lines'!C1857</f>
        <v>US Foods - Columbia/Lexington</v>
      </c>
      <c r="D1857" s="2" t="str">
        <f>'Posted Sales Invoice Lines'!E1857</f>
        <v>F51026</v>
      </c>
      <c r="E1857" s="2" t="str">
        <f>'Posted Sales Invoice Lines'!F1857</f>
        <v>Cs. Marble Rye 3/4" 8lvs</v>
      </c>
      <c r="F1857" s="3">
        <f>'Posted Sales Invoice Lines'!G1857</f>
        <v>46197</v>
      </c>
      <c r="G1857" s="9">
        <f>'Posted Sales Invoice Lines'!L1857</f>
        <v>28</v>
      </c>
      <c r="H1857" s="8">
        <f>'Posted Sales Invoice Lines'!N1857</f>
        <v>52</v>
      </c>
      <c r="I1857" s="8">
        <f>'Posted Sales Invoice Lines'!O1857</f>
        <v>1456</v>
      </c>
    </row>
    <row r="1858" spans="1:9" x14ac:dyDescent="0.25">
      <c r="A1858" s="2" t="str">
        <f>'Posted Sales Invoice Lines'!A1858</f>
        <v>PS-INV227629</v>
      </c>
      <c r="B1858" s="2" t="str">
        <f>'Posted Sales Invoice Lines'!B1858</f>
        <v>10719-4</v>
      </c>
      <c r="C1858" s="2" t="str">
        <f>'Posted Sales Invoice Lines'!C1858</f>
        <v>US Foods - Columbia/Lexington</v>
      </c>
      <c r="D1858" s="2" t="str">
        <f>'Posted Sales Invoice Lines'!E1858</f>
        <v>F51024</v>
      </c>
      <c r="E1858" s="2" t="str">
        <f>'Posted Sales Invoice Lines'!F1858</f>
        <v>Cs. Marble Rye 5/8" 8lvs</v>
      </c>
      <c r="F1858" s="3">
        <f>'Posted Sales Invoice Lines'!G1858</f>
        <v>46197</v>
      </c>
      <c r="G1858" s="9">
        <f>'Posted Sales Invoice Lines'!L1858</f>
        <v>1</v>
      </c>
      <c r="H1858" s="8">
        <f>'Posted Sales Invoice Lines'!N1858</f>
        <v>54</v>
      </c>
      <c r="I1858" s="8">
        <f>'Posted Sales Invoice Lines'!O1858</f>
        <v>54</v>
      </c>
    </row>
    <row r="1859" spans="1:9" x14ac:dyDescent="0.25">
      <c r="A1859" s="2" t="str">
        <f>'Posted Sales Invoice Lines'!A1859</f>
        <v>PS-INV227629</v>
      </c>
      <c r="B1859" s="2" t="str">
        <f>'Posted Sales Invoice Lines'!B1859</f>
        <v>10719-4</v>
      </c>
      <c r="C1859" s="2" t="str">
        <f>'Posted Sales Invoice Lines'!C1859</f>
        <v>US Foods - Columbia/Lexington</v>
      </c>
      <c r="D1859" s="2" t="str">
        <f>'Posted Sales Invoice Lines'!E1859</f>
        <v>F51020</v>
      </c>
      <c r="E1859" s="2" t="str">
        <f>'Posted Sales Invoice Lines'!F1859</f>
        <v>Cs. Marble Rye 1/2" 8lvs</v>
      </c>
      <c r="F1859" s="3">
        <f>'Posted Sales Invoice Lines'!G1859</f>
        <v>46197</v>
      </c>
      <c r="G1859" s="9">
        <f>'Posted Sales Invoice Lines'!L1859</f>
        <v>8</v>
      </c>
      <c r="H1859" s="8">
        <f>'Posted Sales Invoice Lines'!N1859</f>
        <v>52</v>
      </c>
      <c r="I1859" s="8">
        <f>'Posted Sales Invoice Lines'!O1859</f>
        <v>416</v>
      </c>
    </row>
    <row r="1860" spans="1:9" x14ac:dyDescent="0.25">
      <c r="A1860" s="2" t="str">
        <f>'Posted Sales Invoice Lines'!A1860</f>
        <v>PS-INV227629</v>
      </c>
      <c r="B1860" s="2" t="str">
        <f>'Posted Sales Invoice Lines'!B1860</f>
        <v>10719-4</v>
      </c>
      <c r="C1860" s="2" t="str">
        <f>'Posted Sales Invoice Lines'!C1860</f>
        <v>US Foods - Columbia/Lexington</v>
      </c>
      <c r="D1860" s="2" t="str">
        <f>'Posted Sales Invoice Lines'!E1860</f>
        <v>F53024</v>
      </c>
      <c r="E1860" s="2" t="str">
        <f>'Posted Sales Invoice Lines'!F1860</f>
        <v>Cs. 4" Challah Kaiser 8-12pk</v>
      </c>
      <c r="F1860" s="3">
        <f>'Posted Sales Invoice Lines'!G1860</f>
        <v>46197</v>
      </c>
      <c r="G1860" s="9">
        <f>'Posted Sales Invoice Lines'!L1860</f>
        <v>28</v>
      </c>
      <c r="H1860" s="8">
        <f>'Posted Sales Invoice Lines'!N1860</f>
        <v>38.25</v>
      </c>
      <c r="I1860" s="8">
        <f>'Posted Sales Invoice Lines'!O1860</f>
        <v>1071</v>
      </c>
    </row>
    <row r="1861" spans="1:9" x14ac:dyDescent="0.25">
      <c r="A1861" s="2" t="str">
        <f>'Posted Sales Invoice Lines'!A1861</f>
        <v>PS-INV227718</v>
      </c>
      <c r="B1861" s="2" t="str">
        <f>'Posted Sales Invoice Lines'!B1861</f>
        <v>20334</v>
      </c>
      <c r="C1861" s="2" t="str">
        <f>'Posted Sales Invoice Lines'!C1861</f>
        <v>Sysco Atlanta</v>
      </c>
      <c r="D1861" s="2" t="str">
        <f>'Posted Sales Invoice Lines'!E1861</f>
        <v>F53106</v>
      </c>
      <c r="E1861" s="2" t="str">
        <f>'Posted Sales Invoice Lines'!F1861</f>
        <v>Cs. Large Hot Dog 12-6pk</v>
      </c>
      <c r="F1861" s="3">
        <f>'Posted Sales Invoice Lines'!G1861</f>
        <v>46196</v>
      </c>
      <c r="G1861" s="9">
        <f>'Posted Sales Invoice Lines'!L1861</f>
        <v>28</v>
      </c>
      <c r="H1861" s="8">
        <f>'Posted Sales Invoice Lines'!N1861</f>
        <v>36.5</v>
      </c>
      <c r="I1861" s="8">
        <f>'Posted Sales Invoice Lines'!O1861</f>
        <v>1022</v>
      </c>
    </row>
    <row r="1862" spans="1:9" x14ac:dyDescent="0.25">
      <c r="A1862" s="2" t="str">
        <f>'Posted Sales Invoice Lines'!A1862</f>
        <v>PS-INV227718</v>
      </c>
      <c r="B1862" s="2" t="str">
        <f>'Posted Sales Invoice Lines'!B1862</f>
        <v>20334</v>
      </c>
      <c r="C1862" s="2" t="str">
        <f>'Posted Sales Invoice Lines'!C1862</f>
        <v>Sysco Atlanta</v>
      </c>
      <c r="D1862" s="2" t="str">
        <f>'Posted Sales Invoice Lines'!E1862</f>
        <v>F53116</v>
      </c>
      <c r="E1862" s="2" t="str">
        <f>'Posted Sales Invoice Lines'!F1862</f>
        <v>Cs. 7" French Hinged 12-6pk</v>
      </c>
      <c r="F1862" s="3">
        <f>'Posted Sales Invoice Lines'!G1862</f>
        <v>46196</v>
      </c>
      <c r="G1862" s="9">
        <f>'Posted Sales Invoice Lines'!L1862</f>
        <v>56</v>
      </c>
      <c r="H1862" s="8">
        <f>'Posted Sales Invoice Lines'!N1862</f>
        <v>31.42</v>
      </c>
      <c r="I1862" s="8">
        <f>'Posted Sales Invoice Lines'!O1862</f>
        <v>1759.52</v>
      </c>
    </row>
    <row r="1863" spans="1:9" x14ac:dyDescent="0.25">
      <c r="A1863" s="2" t="str">
        <f>'Posted Sales Invoice Lines'!A1863</f>
        <v>PS-INV227718</v>
      </c>
      <c r="B1863" s="2" t="str">
        <f>'Posted Sales Invoice Lines'!B1863</f>
        <v>20334</v>
      </c>
      <c r="C1863" s="2" t="str">
        <f>'Posted Sales Invoice Lines'!C1863</f>
        <v>Sysco Atlanta</v>
      </c>
      <c r="D1863" s="2" t="str">
        <f>'Posted Sales Invoice Lines'!E1863</f>
        <v>F53087</v>
      </c>
      <c r="E1863" s="2" t="str">
        <f>'Posted Sales Invoice Lines'!F1863</f>
        <v>Cs. 3.5" Challah Bun 8-12 pk</v>
      </c>
      <c r="F1863" s="3">
        <f>'Posted Sales Invoice Lines'!G1863</f>
        <v>46196</v>
      </c>
      <c r="G1863" s="9">
        <f>'Posted Sales Invoice Lines'!L1863</f>
        <v>140</v>
      </c>
      <c r="H1863" s="8">
        <f>'Posted Sales Invoice Lines'!N1863</f>
        <v>34</v>
      </c>
      <c r="I1863" s="8">
        <f>'Posted Sales Invoice Lines'!O1863</f>
        <v>4760</v>
      </c>
    </row>
    <row r="1864" spans="1:9" x14ac:dyDescent="0.25">
      <c r="A1864" s="2" t="str">
        <f>'Posted Sales Invoice Lines'!A1864</f>
        <v>PS-INV227718</v>
      </c>
      <c r="B1864" s="2" t="str">
        <f>'Posted Sales Invoice Lines'!B1864</f>
        <v>20334</v>
      </c>
      <c r="C1864" s="2" t="str">
        <f>'Posted Sales Invoice Lines'!C1864</f>
        <v>Sysco Atlanta</v>
      </c>
      <c r="D1864" s="2" t="str">
        <f>'Posted Sales Invoice Lines'!E1864</f>
        <v>F51024</v>
      </c>
      <c r="E1864" s="2" t="str">
        <f>'Posted Sales Invoice Lines'!F1864</f>
        <v>Cs. Marble Rye 5/8" 8lvs</v>
      </c>
      <c r="F1864" s="3">
        <f>'Posted Sales Invoice Lines'!G1864</f>
        <v>46196</v>
      </c>
      <c r="G1864" s="9">
        <f>'Posted Sales Invoice Lines'!L1864</f>
        <v>12</v>
      </c>
      <c r="H1864" s="8">
        <f>'Posted Sales Invoice Lines'!N1864</f>
        <v>43.26</v>
      </c>
      <c r="I1864" s="8">
        <f>'Posted Sales Invoice Lines'!O1864</f>
        <v>519.12</v>
      </c>
    </row>
    <row r="1865" spans="1:9" x14ac:dyDescent="0.25">
      <c r="A1865" s="2" t="str">
        <f>'Posted Sales Invoice Lines'!A1865</f>
        <v>PS-INV227718</v>
      </c>
      <c r="B1865" s="2" t="str">
        <f>'Posted Sales Invoice Lines'!B1865</f>
        <v>20334</v>
      </c>
      <c r="C1865" s="2" t="str">
        <f>'Posted Sales Invoice Lines'!C1865</f>
        <v>Sysco Atlanta</v>
      </c>
      <c r="D1865" s="2" t="str">
        <f>'Posted Sales Invoice Lines'!E1865</f>
        <v>F51127</v>
      </c>
      <c r="E1865" s="2" t="str">
        <f>'Posted Sales Invoice Lines'!F1865</f>
        <v>Cs. Challah 3-Braid 8</v>
      </c>
      <c r="F1865" s="3">
        <f>'Posted Sales Invoice Lines'!G1865</f>
        <v>46196</v>
      </c>
      <c r="G1865" s="9">
        <f>'Posted Sales Invoice Lines'!L1865</f>
        <v>20</v>
      </c>
      <c r="H1865" s="8">
        <f>'Posted Sales Invoice Lines'!N1865</f>
        <v>43.26</v>
      </c>
      <c r="I1865" s="8">
        <f>'Posted Sales Invoice Lines'!O1865</f>
        <v>865.2</v>
      </c>
    </row>
    <row r="1866" spans="1:9" x14ac:dyDescent="0.25">
      <c r="A1866" s="2" t="str">
        <f>'Posted Sales Invoice Lines'!A1866</f>
        <v>PS-INV227718</v>
      </c>
      <c r="B1866" s="2" t="str">
        <f>'Posted Sales Invoice Lines'!B1866</f>
        <v>20334</v>
      </c>
      <c r="C1866" s="2" t="str">
        <f>'Posted Sales Invoice Lines'!C1866</f>
        <v>Sysco Atlanta</v>
      </c>
      <c r="D1866" s="2" t="str">
        <f>'Posted Sales Invoice Lines'!E1866</f>
        <v>F53001</v>
      </c>
      <c r="E1866" s="2" t="str">
        <f>'Posted Sales Invoice Lines'!F1866</f>
        <v>Cs. 4" Brioche Bun 8-12pk</v>
      </c>
      <c r="F1866" s="3">
        <f>'Posted Sales Invoice Lines'!G1866</f>
        <v>46196</v>
      </c>
      <c r="G1866" s="9">
        <f>'Posted Sales Invoice Lines'!L1866</f>
        <v>84</v>
      </c>
      <c r="H1866" s="8">
        <f>'Posted Sales Invoice Lines'!N1866</f>
        <v>43.36</v>
      </c>
      <c r="I1866" s="8">
        <f>'Posted Sales Invoice Lines'!O1866</f>
        <v>3642.24</v>
      </c>
    </row>
    <row r="1867" spans="1:9" x14ac:dyDescent="0.25">
      <c r="A1867" s="2" t="str">
        <f>'Posted Sales Invoice Lines'!A1867</f>
        <v>PS-INV227718</v>
      </c>
      <c r="B1867" s="2" t="str">
        <f>'Posted Sales Invoice Lines'!B1867</f>
        <v>20334</v>
      </c>
      <c r="C1867" s="2" t="str">
        <f>'Posted Sales Invoice Lines'!C1867</f>
        <v>Sysco Atlanta</v>
      </c>
      <c r="D1867" s="2" t="str">
        <f>'Posted Sales Invoice Lines'!E1867</f>
        <v>F53033</v>
      </c>
      <c r="E1867" s="2" t="str">
        <f>'Posted Sales Invoice Lines'!F1867</f>
        <v>Cs. 4" Parker House 8-12pk</v>
      </c>
      <c r="F1867" s="3">
        <f>'Posted Sales Invoice Lines'!G1867</f>
        <v>46196</v>
      </c>
      <c r="G1867" s="9">
        <f>'Posted Sales Invoice Lines'!L1867</f>
        <v>28</v>
      </c>
      <c r="H1867" s="8">
        <f>'Posted Sales Invoice Lines'!N1867</f>
        <v>39.53</v>
      </c>
      <c r="I1867" s="8">
        <f>'Posted Sales Invoice Lines'!O1867</f>
        <v>1106.8399999999999</v>
      </c>
    </row>
    <row r="1868" spans="1:9" x14ac:dyDescent="0.25">
      <c r="A1868" s="2" t="str">
        <f>'Posted Sales Invoice Lines'!A1868</f>
        <v>PS-INV227718</v>
      </c>
      <c r="B1868" s="2" t="str">
        <f>'Posted Sales Invoice Lines'!B1868</f>
        <v>20334</v>
      </c>
      <c r="C1868" s="2" t="str">
        <f>'Posted Sales Invoice Lines'!C1868</f>
        <v>Sysco Atlanta</v>
      </c>
      <c r="D1868" s="2" t="str">
        <f>'Posted Sales Invoice Lines'!E1868</f>
        <v>F51034</v>
      </c>
      <c r="E1868" s="2" t="str">
        <f>'Posted Sales Invoice Lines'!F1868</f>
        <v>Cs. Sour Dough Hearth 5/8" 8lvs</v>
      </c>
      <c r="F1868" s="3">
        <f>'Posted Sales Invoice Lines'!G1868</f>
        <v>46196</v>
      </c>
      <c r="G1868" s="9">
        <f>'Posted Sales Invoice Lines'!L1868</f>
        <v>20</v>
      </c>
      <c r="H1868" s="8">
        <f>'Posted Sales Invoice Lines'!N1868</f>
        <v>41.2</v>
      </c>
      <c r="I1868" s="8">
        <f>'Posted Sales Invoice Lines'!O1868</f>
        <v>824</v>
      </c>
    </row>
    <row r="1869" spans="1:9" x14ac:dyDescent="0.25">
      <c r="A1869" s="2" t="str">
        <f>'Posted Sales Invoice Lines'!A1869</f>
        <v>PS-INV227718</v>
      </c>
      <c r="B1869" s="2" t="str">
        <f>'Posted Sales Invoice Lines'!B1869</f>
        <v>20334</v>
      </c>
      <c r="C1869" s="2" t="str">
        <f>'Posted Sales Invoice Lines'!C1869</f>
        <v>Sysco Atlanta</v>
      </c>
      <c r="D1869" s="2" t="str">
        <f>'Posted Sales Invoice Lines'!E1869</f>
        <v>F51157</v>
      </c>
      <c r="E1869" s="2" t="str">
        <f>'Posted Sales Invoice Lines'!F1869</f>
        <v>Cs. Challah Hearth 7/8" 8lvs</v>
      </c>
      <c r="F1869" s="3">
        <f>'Posted Sales Invoice Lines'!G1869</f>
        <v>46196</v>
      </c>
      <c r="G1869" s="9">
        <f>'Posted Sales Invoice Lines'!L1869</f>
        <v>12</v>
      </c>
      <c r="H1869" s="8">
        <f>'Posted Sales Invoice Lines'!N1869</f>
        <v>42.02</v>
      </c>
      <c r="I1869" s="8">
        <f>'Posted Sales Invoice Lines'!O1869</f>
        <v>504.24</v>
      </c>
    </row>
    <row r="1870" spans="1:9" x14ac:dyDescent="0.25">
      <c r="A1870" s="2" t="str">
        <f>'Posted Sales Invoice Lines'!A1870</f>
        <v>PS-INV227718</v>
      </c>
      <c r="B1870" s="2" t="str">
        <f>'Posted Sales Invoice Lines'!B1870</f>
        <v>20334</v>
      </c>
      <c r="C1870" s="2" t="str">
        <f>'Posted Sales Invoice Lines'!C1870</f>
        <v>Sysco Atlanta</v>
      </c>
      <c r="D1870" s="2" t="str">
        <f>'Posted Sales Invoice Lines'!E1870</f>
        <v>F53140</v>
      </c>
      <c r="E1870" s="2" t="str">
        <f>'Posted Sales Invoice Lines'!F1870</f>
        <v>Cs. Knuckies 8" White 12-6pk</v>
      </c>
      <c r="F1870" s="3">
        <f>'Posted Sales Invoice Lines'!G1870</f>
        <v>46196</v>
      </c>
      <c r="G1870" s="9">
        <f>'Posted Sales Invoice Lines'!L1870</f>
        <v>180</v>
      </c>
      <c r="H1870" s="8">
        <f>'Posted Sales Invoice Lines'!N1870</f>
        <v>41</v>
      </c>
      <c r="I1870" s="8">
        <f>'Posted Sales Invoice Lines'!O1870</f>
        <v>7380</v>
      </c>
    </row>
    <row r="1871" spans="1:9" x14ac:dyDescent="0.25">
      <c r="A1871" s="2" t="str">
        <f>'Posted Sales Invoice Lines'!A1871</f>
        <v>PS-INV228046</v>
      </c>
      <c r="B1871" s="2" t="str">
        <f>'Posted Sales Invoice Lines'!B1871</f>
        <v>13288</v>
      </c>
      <c r="C1871" s="2" t="str">
        <f>'Posted Sales Invoice Lines'!C1871</f>
        <v>Exotic-Que</v>
      </c>
      <c r="D1871" s="2" t="str">
        <f>'Posted Sales Invoice Lines'!E1871</f>
        <v>F56251</v>
      </c>
      <c r="E1871" s="2" t="str">
        <f>'Posted Sales Invoice Lines'!F1871</f>
        <v>Cs. Challah Sliders Sliced 18-12pks</v>
      </c>
      <c r="F1871" s="3">
        <f>'Posted Sales Invoice Lines'!G1871</f>
        <v>46185</v>
      </c>
      <c r="G1871" s="9">
        <f>'Posted Sales Invoice Lines'!L1871</f>
        <v>2</v>
      </c>
      <c r="H1871" s="8">
        <f>'Posted Sales Invoice Lines'!N1871</f>
        <v>0</v>
      </c>
      <c r="I1871" s="8">
        <f>'Posted Sales Invoice Lines'!O1871</f>
        <v>0</v>
      </c>
    </row>
    <row r="1872" spans="1:9" x14ac:dyDescent="0.25">
      <c r="A1872" s="2" t="str">
        <f>'Posted Sales Invoice Lines'!A1872</f>
        <v>PS-INV228483</v>
      </c>
      <c r="B1872" s="2" t="str">
        <f>'Posted Sales Invoice Lines'!B1872</f>
        <v>10540-03</v>
      </c>
      <c r="C1872" s="2" t="str">
        <f>'Posted Sales Invoice Lines'!C1872</f>
        <v>PFG Louisville TN</v>
      </c>
      <c r="D1872" s="2" t="str">
        <f>'Posted Sales Invoice Lines'!E1872</f>
        <v>F53001</v>
      </c>
      <c r="E1872" s="2" t="str">
        <f>'Posted Sales Invoice Lines'!F1872</f>
        <v>Cs. 4" Brioche Bun 8-12pk</v>
      </c>
      <c r="F1872" s="3">
        <f>'Posted Sales Invoice Lines'!G1872</f>
        <v>46197</v>
      </c>
      <c r="G1872" s="9">
        <f>'Posted Sales Invoice Lines'!L1872</f>
        <v>336</v>
      </c>
      <c r="H1872" s="8">
        <f>'Posted Sales Invoice Lines'!N1872</f>
        <v>42.6</v>
      </c>
      <c r="I1872" s="8">
        <f>'Posted Sales Invoice Lines'!O1872</f>
        <v>14313.6</v>
      </c>
    </row>
    <row r="1873" spans="1:9" x14ac:dyDescent="0.25">
      <c r="A1873" s="2" t="str">
        <f>'Posted Sales Invoice Lines'!A1873</f>
        <v>PS-INV228483</v>
      </c>
      <c r="B1873" s="2" t="str">
        <f>'Posted Sales Invoice Lines'!B1873</f>
        <v>10540-03</v>
      </c>
      <c r="C1873" s="2" t="str">
        <f>'Posted Sales Invoice Lines'!C1873</f>
        <v>PFG Louisville TN</v>
      </c>
      <c r="D1873" s="2" t="str">
        <f>'Posted Sales Invoice Lines'!E1873</f>
        <v>F53160</v>
      </c>
      <c r="E1873" s="2" t="str">
        <f>'Posted Sales Invoice Lines'!F1873</f>
        <v>Cs. Large White Sub 6-6pk</v>
      </c>
      <c r="F1873" s="3">
        <f>'Posted Sales Invoice Lines'!G1873</f>
        <v>46197</v>
      </c>
      <c r="G1873" s="9">
        <f>'Posted Sales Invoice Lines'!L1873</f>
        <v>12</v>
      </c>
      <c r="H1873" s="8">
        <f>'Posted Sales Invoice Lines'!N1873</f>
        <v>34.200000000000003</v>
      </c>
      <c r="I1873" s="8">
        <f>'Posted Sales Invoice Lines'!O1873</f>
        <v>410.4</v>
      </c>
    </row>
    <row r="1874" spans="1:9" x14ac:dyDescent="0.25">
      <c r="A1874" s="2" t="str">
        <f>'Posted Sales Invoice Lines'!A1874</f>
        <v>PS-INV228483</v>
      </c>
      <c r="B1874" s="2" t="str">
        <f>'Posted Sales Invoice Lines'!B1874</f>
        <v>10540-03</v>
      </c>
      <c r="C1874" s="2" t="str">
        <f>'Posted Sales Invoice Lines'!C1874</f>
        <v>PFG Louisville TN</v>
      </c>
      <c r="D1874" s="2" t="str">
        <f>'Posted Sales Invoice Lines'!E1874</f>
        <v>F53170</v>
      </c>
      <c r="E1874" s="2" t="str">
        <f>'Posted Sales Invoice Lines'!F1874</f>
        <v>Cs. Large Country Wheat Sub 6-6pk</v>
      </c>
      <c r="F1874" s="3">
        <f>'Posted Sales Invoice Lines'!G1874</f>
        <v>46197</v>
      </c>
      <c r="G1874" s="9">
        <f>'Posted Sales Invoice Lines'!L1874</f>
        <v>4</v>
      </c>
      <c r="H1874" s="8">
        <f>'Posted Sales Invoice Lines'!N1874</f>
        <v>35.65</v>
      </c>
      <c r="I1874" s="8">
        <f>'Posted Sales Invoice Lines'!O1874</f>
        <v>142.6</v>
      </c>
    </row>
    <row r="1875" spans="1:9" x14ac:dyDescent="0.25">
      <c r="A1875" s="2" t="str">
        <f>'Posted Sales Invoice Lines'!A1875</f>
        <v>PS-INV228483</v>
      </c>
      <c r="B1875" s="2" t="str">
        <f>'Posted Sales Invoice Lines'!B1875</f>
        <v>10540-03</v>
      </c>
      <c r="C1875" s="2" t="str">
        <f>'Posted Sales Invoice Lines'!C1875</f>
        <v>PFG Louisville TN</v>
      </c>
      <c r="D1875" s="2" t="str">
        <f>'Posted Sales Invoice Lines'!E1875</f>
        <v>F53180</v>
      </c>
      <c r="E1875" s="2" t="str">
        <f>'Posted Sales Invoice Lines'!F1875</f>
        <v>Cs. Large Pumpernickel Sub 6-6pk</v>
      </c>
      <c r="F1875" s="3">
        <f>'Posted Sales Invoice Lines'!G1875</f>
        <v>46197</v>
      </c>
      <c r="G1875" s="9">
        <f>'Posted Sales Invoice Lines'!L1875</f>
        <v>16</v>
      </c>
      <c r="H1875" s="8">
        <f>'Posted Sales Invoice Lines'!N1875</f>
        <v>35.65</v>
      </c>
      <c r="I1875" s="8">
        <f>'Posted Sales Invoice Lines'!O1875</f>
        <v>570.4</v>
      </c>
    </row>
    <row r="1876" spans="1:9" x14ac:dyDescent="0.25">
      <c r="A1876" s="2" t="str">
        <f>'Posted Sales Invoice Lines'!A1876</f>
        <v>PS-INV228483</v>
      </c>
      <c r="B1876" s="2" t="str">
        <f>'Posted Sales Invoice Lines'!B1876</f>
        <v>10540-03</v>
      </c>
      <c r="C1876" s="2" t="str">
        <f>'Posted Sales Invoice Lines'!C1876</f>
        <v>PFG Louisville TN</v>
      </c>
      <c r="D1876" s="2" t="str">
        <f>'Posted Sales Invoice Lines'!E1876</f>
        <v>F51137</v>
      </c>
      <c r="E1876" s="2" t="str">
        <f>'Posted Sales Invoice Lines'!F1876</f>
        <v>Cs. Texas Toast 3/4" 12lvs</v>
      </c>
      <c r="F1876" s="3">
        <f>'Posted Sales Invoice Lines'!G1876</f>
        <v>46197</v>
      </c>
      <c r="G1876" s="9">
        <f>'Posted Sales Invoice Lines'!L1876</f>
        <v>12</v>
      </c>
      <c r="H1876" s="8">
        <f>'Posted Sales Invoice Lines'!N1876</f>
        <v>40.619999999999997</v>
      </c>
      <c r="I1876" s="8">
        <f>'Posted Sales Invoice Lines'!O1876</f>
        <v>487.44</v>
      </c>
    </row>
    <row r="1877" spans="1:9" x14ac:dyDescent="0.25">
      <c r="A1877" s="2" t="str">
        <f>'Posted Sales Invoice Lines'!A1877</f>
        <v>PS-INV228483</v>
      </c>
      <c r="B1877" s="2" t="str">
        <f>'Posted Sales Invoice Lines'!B1877</f>
        <v>10540-03</v>
      </c>
      <c r="C1877" s="2" t="str">
        <f>'Posted Sales Invoice Lines'!C1877</f>
        <v>PFG Louisville TN</v>
      </c>
      <c r="D1877" s="2" t="str">
        <f>'Posted Sales Invoice Lines'!E1877</f>
        <v>F53091</v>
      </c>
      <c r="E1877" s="2" t="str">
        <f>'Posted Sales Invoice Lines'!F1877</f>
        <v>Cs. 6" Hoagie Slab Cut 12-6pk</v>
      </c>
      <c r="F1877" s="3">
        <f>'Posted Sales Invoice Lines'!G1877</f>
        <v>46197</v>
      </c>
      <c r="G1877" s="9">
        <f>'Posted Sales Invoice Lines'!L1877</f>
        <v>12</v>
      </c>
      <c r="H1877" s="8">
        <f>'Posted Sales Invoice Lines'!N1877</f>
        <v>35</v>
      </c>
      <c r="I1877" s="8">
        <f>'Posted Sales Invoice Lines'!O1877</f>
        <v>420</v>
      </c>
    </row>
    <row r="1878" spans="1:9" x14ac:dyDescent="0.25">
      <c r="A1878" s="2" t="str">
        <f>'Posted Sales Invoice Lines'!A1878</f>
        <v>PS-INV228483</v>
      </c>
      <c r="B1878" s="2" t="str">
        <f>'Posted Sales Invoice Lines'!B1878</f>
        <v>10540-03</v>
      </c>
      <c r="C1878" s="2" t="str">
        <f>'Posted Sales Invoice Lines'!C1878</f>
        <v>PFG Louisville TN</v>
      </c>
      <c r="D1878" s="2" t="str">
        <f>'Posted Sales Invoice Lines'!E1878</f>
        <v>F53110</v>
      </c>
      <c r="E1878" s="2" t="str">
        <f>'Posted Sales Invoice Lines'!F1878</f>
        <v>Cs. Foot Long Challah Hot Dog Buns 10-6pk</v>
      </c>
      <c r="F1878" s="3">
        <f>'Posted Sales Invoice Lines'!G1878</f>
        <v>46197</v>
      </c>
      <c r="G1878" s="9">
        <f>'Posted Sales Invoice Lines'!L1878</f>
        <v>56</v>
      </c>
      <c r="H1878" s="8">
        <f>'Posted Sales Invoice Lines'!N1878</f>
        <v>39.25</v>
      </c>
      <c r="I1878" s="8">
        <f>'Posted Sales Invoice Lines'!O1878</f>
        <v>2198</v>
      </c>
    </row>
    <row r="1879" spans="1:9" x14ac:dyDescent="0.25">
      <c r="A1879" s="2" t="str">
        <f>'Posted Sales Invoice Lines'!A1879</f>
        <v>PS-INV228483</v>
      </c>
      <c r="B1879" s="2" t="str">
        <f>'Posted Sales Invoice Lines'!B1879</f>
        <v>10540-03</v>
      </c>
      <c r="C1879" s="2" t="str">
        <f>'Posted Sales Invoice Lines'!C1879</f>
        <v>PFG Louisville TN</v>
      </c>
      <c r="D1879" s="2" t="str">
        <f>'Posted Sales Invoice Lines'!E1879</f>
        <v>F530421</v>
      </c>
      <c r="E1879" s="2" t="str">
        <f>'Posted Sales Invoice Lines'!F1879</f>
        <v>Cs. 4.5" Challah Buns 6-12pk.</v>
      </c>
      <c r="F1879" s="3">
        <f>'Posted Sales Invoice Lines'!G1879</f>
        <v>46197</v>
      </c>
      <c r="G1879" s="9">
        <f>'Posted Sales Invoice Lines'!L1879</f>
        <v>32</v>
      </c>
      <c r="H1879" s="8">
        <f>'Posted Sales Invoice Lines'!N1879</f>
        <v>38.299999999999997</v>
      </c>
      <c r="I1879" s="8">
        <f>'Posted Sales Invoice Lines'!O1879</f>
        <v>1225.5999999999999</v>
      </c>
    </row>
    <row r="1880" spans="1:9" x14ac:dyDescent="0.25">
      <c r="A1880" s="2" t="str">
        <f>'Posted Sales Invoice Lines'!A1880</f>
        <v>PS-INV228483</v>
      </c>
      <c r="B1880" s="2" t="str">
        <f>'Posted Sales Invoice Lines'!B1880</f>
        <v>10540-03</v>
      </c>
      <c r="C1880" s="2" t="str">
        <f>'Posted Sales Invoice Lines'!C1880</f>
        <v>PFG Louisville TN</v>
      </c>
      <c r="D1880" s="2" t="str">
        <f>'Posted Sales Invoice Lines'!E1880</f>
        <v>F53094</v>
      </c>
      <c r="E1880" s="2" t="str">
        <f>'Posted Sales Invoice Lines'!F1880</f>
        <v>Cs. 6" Italian 12-6pks</v>
      </c>
      <c r="F1880" s="3">
        <f>'Posted Sales Invoice Lines'!G1880</f>
        <v>46197</v>
      </c>
      <c r="G1880" s="9">
        <f>'Posted Sales Invoice Lines'!L1880</f>
        <v>28</v>
      </c>
      <c r="H1880" s="8">
        <f>'Posted Sales Invoice Lines'!N1880</f>
        <v>35</v>
      </c>
      <c r="I1880" s="8">
        <f>'Posted Sales Invoice Lines'!O1880</f>
        <v>980</v>
      </c>
    </row>
    <row r="1881" spans="1:9" x14ac:dyDescent="0.25">
      <c r="A1881" s="2" t="str">
        <f>'Posted Sales Invoice Lines'!A1881</f>
        <v>PS-INV228483</v>
      </c>
      <c r="B1881" s="2" t="str">
        <f>'Posted Sales Invoice Lines'!B1881</f>
        <v>10540-03</v>
      </c>
      <c r="C1881" s="2" t="str">
        <f>'Posted Sales Invoice Lines'!C1881</f>
        <v>PFG Louisville TN</v>
      </c>
      <c r="D1881" s="2" t="str">
        <f>'Posted Sales Invoice Lines'!E1881</f>
        <v>F53072</v>
      </c>
      <c r="E1881" s="2" t="str">
        <f>'Posted Sales Invoice Lines'!F1881</f>
        <v>Cs. 5" Challah Bun 8-8pk</v>
      </c>
      <c r="F1881" s="3">
        <f>'Posted Sales Invoice Lines'!G1881</f>
        <v>46197</v>
      </c>
      <c r="G1881" s="9">
        <f>'Posted Sales Invoice Lines'!L1881</f>
        <v>8</v>
      </c>
      <c r="H1881" s="8">
        <f>'Posted Sales Invoice Lines'!N1881</f>
        <v>38.07</v>
      </c>
      <c r="I1881" s="8">
        <f>'Posted Sales Invoice Lines'!O1881</f>
        <v>304.56</v>
      </c>
    </row>
    <row r="1882" spans="1:9" x14ac:dyDescent="0.25">
      <c r="A1882" s="2" t="str">
        <f>'Posted Sales Invoice Lines'!A1882</f>
        <v>PS-INV228483</v>
      </c>
      <c r="B1882" s="2" t="str">
        <f>'Posted Sales Invoice Lines'!B1882</f>
        <v>10540-03</v>
      </c>
      <c r="C1882" s="2" t="str">
        <f>'Posted Sales Invoice Lines'!C1882</f>
        <v>PFG Louisville TN</v>
      </c>
      <c r="D1882" s="2" t="str">
        <f>'Posted Sales Invoice Lines'!E1882</f>
        <v>F53100</v>
      </c>
      <c r="E1882" s="2" t="str">
        <f>'Posted Sales Invoice Lines'!F1882</f>
        <v>Cs. Hot Dog pl/sl 12-8pk</v>
      </c>
      <c r="F1882" s="3">
        <f>'Posted Sales Invoice Lines'!G1882</f>
        <v>46197</v>
      </c>
      <c r="G1882" s="9">
        <f>'Posted Sales Invoice Lines'!L1882</f>
        <v>10</v>
      </c>
      <c r="H1882" s="8">
        <f>'Posted Sales Invoice Lines'!N1882</f>
        <v>36.18</v>
      </c>
      <c r="I1882" s="8">
        <f>'Posted Sales Invoice Lines'!O1882</f>
        <v>361.8</v>
      </c>
    </row>
    <row r="1883" spans="1:9" x14ac:dyDescent="0.25">
      <c r="A1883" s="2" t="str">
        <f>'Posted Sales Invoice Lines'!A1883</f>
        <v>PS-INV228483</v>
      </c>
      <c r="B1883" s="2" t="str">
        <f>'Posted Sales Invoice Lines'!B1883</f>
        <v>10540-03</v>
      </c>
      <c r="C1883" s="2" t="str">
        <f>'Posted Sales Invoice Lines'!C1883</f>
        <v>PFG Louisville TN</v>
      </c>
      <c r="D1883" s="2" t="str">
        <f>'Posted Sales Invoice Lines'!E1883</f>
        <v>F53106</v>
      </c>
      <c r="E1883" s="2" t="str">
        <f>'Posted Sales Invoice Lines'!F1883</f>
        <v>Cs. Large Hot Dog 12-6pk</v>
      </c>
      <c r="F1883" s="3">
        <f>'Posted Sales Invoice Lines'!G1883</f>
        <v>46197</v>
      </c>
      <c r="G1883" s="9">
        <f>'Posted Sales Invoice Lines'!L1883</f>
        <v>4</v>
      </c>
      <c r="H1883" s="8">
        <f>'Posted Sales Invoice Lines'!N1883</f>
        <v>36.07</v>
      </c>
      <c r="I1883" s="8">
        <f>'Posted Sales Invoice Lines'!O1883</f>
        <v>144.28</v>
      </c>
    </row>
    <row r="1884" spans="1:9" x14ac:dyDescent="0.25">
      <c r="A1884" s="2" t="str">
        <f>'Posted Sales Invoice Lines'!A1884</f>
        <v>PS-INV228483</v>
      </c>
      <c r="B1884" s="2" t="str">
        <f>'Posted Sales Invoice Lines'!B1884</f>
        <v>10540-03</v>
      </c>
      <c r="C1884" s="2" t="str">
        <f>'Posted Sales Invoice Lines'!C1884</f>
        <v>PFG Louisville TN</v>
      </c>
      <c r="D1884" s="2" t="str">
        <f>'Posted Sales Invoice Lines'!E1884</f>
        <v>F52007</v>
      </c>
      <c r="E1884" s="2" t="str">
        <f>'Posted Sales Invoice Lines'!F1884</f>
        <v>Cs. 22" 17oz French 10-2pk</v>
      </c>
      <c r="F1884" s="3">
        <f>'Posted Sales Invoice Lines'!G1884</f>
        <v>46197</v>
      </c>
      <c r="G1884" s="9">
        <f>'Posted Sales Invoice Lines'!L1884</f>
        <v>4</v>
      </c>
      <c r="H1884" s="8">
        <f>'Posted Sales Invoice Lines'!N1884</f>
        <v>42</v>
      </c>
      <c r="I1884" s="8">
        <f>'Posted Sales Invoice Lines'!O1884</f>
        <v>168</v>
      </c>
    </row>
    <row r="1885" spans="1:9" x14ac:dyDescent="0.25">
      <c r="A1885" s="2" t="str">
        <f>'Posted Sales Invoice Lines'!A1885</f>
        <v>PS-INV228483</v>
      </c>
      <c r="B1885" s="2" t="str">
        <f>'Posted Sales Invoice Lines'!B1885</f>
        <v>10540-03</v>
      </c>
      <c r="C1885" s="2" t="str">
        <f>'Posted Sales Invoice Lines'!C1885</f>
        <v>PFG Louisville TN</v>
      </c>
      <c r="D1885" s="2" t="str">
        <f>'Posted Sales Invoice Lines'!E1885</f>
        <v>F51034</v>
      </c>
      <c r="E1885" s="2" t="str">
        <f>'Posted Sales Invoice Lines'!F1885</f>
        <v>Cs. Sour Dough Hearth 5/8" 8lvs</v>
      </c>
      <c r="F1885" s="3">
        <f>'Posted Sales Invoice Lines'!G1885</f>
        <v>46197</v>
      </c>
      <c r="G1885" s="9">
        <f>'Posted Sales Invoice Lines'!L1885</f>
        <v>48</v>
      </c>
      <c r="H1885" s="8">
        <f>'Posted Sales Invoice Lines'!N1885</f>
        <v>43.82</v>
      </c>
      <c r="I1885" s="8">
        <f>'Posted Sales Invoice Lines'!O1885</f>
        <v>2103.36</v>
      </c>
    </row>
    <row r="1886" spans="1:9" x14ac:dyDescent="0.25">
      <c r="A1886" s="2" t="str">
        <f>'Posted Sales Invoice Lines'!A1886</f>
        <v>PS-INV228483</v>
      </c>
      <c r="B1886" s="2" t="str">
        <f>'Posted Sales Invoice Lines'!B1886</f>
        <v>10540-03</v>
      </c>
      <c r="C1886" s="2" t="str">
        <f>'Posted Sales Invoice Lines'!C1886</f>
        <v>PFG Louisville TN</v>
      </c>
      <c r="D1886" s="2" t="str">
        <f>'Posted Sales Invoice Lines'!E1886</f>
        <v>F530501</v>
      </c>
      <c r="E1886" s="2" t="str">
        <f>'Posted Sales Invoice Lines'!F1886</f>
        <v>Cs. 4.5" Challah Kaiser 6-12pk</v>
      </c>
      <c r="F1886" s="3">
        <f>'Posted Sales Invoice Lines'!G1886</f>
        <v>46197</v>
      </c>
      <c r="G1886" s="9">
        <f>'Posted Sales Invoice Lines'!L1886</f>
        <v>16</v>
      </c>
      <c r="H1886" s="8">
        <f>'Posted Sales Invoice Lines'!N1886</f>
        <v>38.299999999999997</v>
      </c>
      <c r="I1886" s="8">
        <f>'Posted Sales Invoice Lines'!O1886</f>
        <v>612.79999999999995</v>
      </c>
    </row>
    <row r="1887" spans="1:9" x14ac:dyDescent="0.25">
      <c r="A1887" s="2" t="str">
        <f>'Posted Sales Invoice Lines'!A1887</f>
        <v>PS-INV229528</v>
      </c>
      <c r="B1887" s="2" t="str">
        <f>'Posted Sales Invoice Lines'!B1887</f>
        <v>13257</v>
      </c>
      <c r="C1887" s="2" t="str">
        <f>'Posted Sales Invoice Lines'!C1887</f>
        <v>PFG Springfield MA</v>
      </c>
      <c r="D1887" s="2" t="str">
        <f>'Posted Sales Invoice Lines'!E1887</f>
        <v>F53001</v>
      </c>
      <c r="E1887" s="2" t="str">
        <f>'Posted Sales Invoice Lines'!F1887</f>
        <v>Cs. 4" Brioche Bun 8-12pk</v>
      </c>
      <c r="F1887" s="3">
        <f>'Posted Sales Invoice Lines'!G1887</f>
        <v>46197</v>
      </c>
      <c r="G1887" s="9">
        <f>'Posted Sales Invoice Lines'!L1887</f>
        <v>364</v>
      </c>
      <c r="H1887" s="8">
        <f>'Posted Sales Invoice Lines'!N1887</f>
        <v>42.6</v>
      </c>
      <c r="I1887" s="8">
        <f>'Posted Sales Invoice Lines'!O1887</f>
        <v>15506.4</v>
      </c>
    </row>
    <row r="1888" spans="1:9" x14ac:dyDescent="0.25">
      <c r="A1888" s="2" t="str">
        <f>'Posted Sales Invoice Lines'!A1888</f>
        <v>PS-INV229528</v>
      </c>
      <c r="B1888" s="2" t="str">
        <f>'Posted Sales Invoice Lines'!B1888</f>
        <v>13257</v>
      </c>
      <c r="C1888" s="2" t="str">
        <f>'Posted Sales Invoice Lines'!C1888</f>
        <v>PFG Springfield MA</v>
      </c>
      <c r="D1888" s="2" t="str">
        <f>'Posted Sales Invoice Lines'!E1888</f>
        <v>F53105</v>
      </c>
      <c r="E1888" s="2" t="str">
        <f>'Posted Sales Invoice Lines'!F1888</f>
        <v>Cs. 6" White Hot Dog 16-8pk</v>
      </c>
      <c r="F1888" s="3">
        <f>'Posted Sales Invoice Lines'!G1888</f>
        <v>46197</v>
      </c>
      <c r="G1888" s="9">
        <f>'Posted Sales Invoice Lines'!L1888</f>
        <v>476</v>
      </c>
      <c r="H1888" s="8">
        <f>'Posted Sales Invoice Lines'!N1888</f>
        <v>34.5</v>
      </c>
      <c r="I1888" s="8">
        <f>'Posted Sales Invoice Lines'!O1888</f>
        <v>16422</v>
      </c>
    </row>
    <row r="1889" spans="1:9" x14ac:dyDescent="0.25">
      <c r="A1889" s="2" t="str">
        <f>'Posted Sales Invoice Lines'!A1889</f>
        <v>PS-INV230837</v>
      </c>
      <c r="B1889" s="2" t="str">
        <f>'Posted Sales Invoice Lines'!B1889</f>
        <v>10123-1</v>
      </c>
      <c r="C1889" s="2" t="str">
        <f>'Posted Sales Invoice Lines'!C1889</f>
        <v>Westin Atlanta Airport</v>
      </c>
      <c r="D1889" s="2" t="str">
        <f>'Posted Sales Invoice Lines'!E1889</f>
        <v>F530491</v>
      </c>
      <c r="E1889" s="2" t="str">
        <f>'Posted Sales Invoice Lines'!F1889</f>
        <v>Cs. 4.5 Brioche Bun 6-12pk</v>
      </c>
      <c r="F1889" s="3">
        <f>'Posted Sales Invoice Lines'!G1889</f>
        <v>46193</v>
      </c>
      <c r="G1889" s="9">
        <f>'Posted Sales Invoice Lines'!L1889</f>
        <v>0</v>
      </c>
      <c r="H1889" s="8">
        <f>'Posted Sales Invoice Lines'!N1889</f>
        <v>0</v>
      </c>
      <c r="I1889" s="8">
        <f>'Posted Sales Invoice Lines'!O1889</f>
        <v>0</v>
      </c>
    </row>
    <row r="1890" spans="1:9" x14ac:dyDescent="0.25">
      <c r="A1890" s="2" t="str">
        <f>'Posted Sales Invoice Lines'!A1890</f>
        <v>PS-INV231311</v>
      </c>
      <c r="B1890" s="2" t="str">
        <f>'Posted Sales Invoice Lines'!B1890</f>
        <v>1-4</v>
      </c>
      <c r="C1890" s="2" t="str">
        <f>'Posted Sales Invoice Lines'!C1890</f>
        <v>Heath West</v>
      </c>
      <c r="D1890" s="2" t="str">
        <f>'Posted Sales Invoice Lines'!E1890</f>
        <v>F53001</v>
      </c>
      <c r="E1890" s="2" t="str">
        <f>'Posted Sales Invoice Lines'!F1890</f>
        <v>Cs. 4" Brioche Bun 8-12pk</v>
      </c>
      <c r="F1890" s="3">
        <f>'Posted Sales Invoice Lines'!G1890</f>
        <v>46196</v>
      </c>
      <c r="G1890" s="9">
        <f>'Posted Sales Invoice Lines'!L1890</f>
        <v>4</v>
      </c>
      <c r="H1890" s="8">
        <f>'Posted Sales Invoice Lines'!N1890</f>
        <v>0</v>
      </c>
      <c r="I1890" s="8">
        <f>'Posted Sales Invoice Lines'!O1890</f>
        <v>0</v>
      </c>
    </row>
    <row r="1891" spans="1:9" x14ac:dyDescent="0.25">
      <c r="A1891" s="2" t="str">
        <f>'Posted Sales Invoice Lines'!A1891</f>
        <v>PS-INV231387</v>
      </c>
      <c r="B1891" s="2" t="str">
        <f>'Posted Sales Invoice Lines'!B1891</f>
        <v>1-4</v>
      </c>
      <c r="C1891" s="2" t="str">
        <f>'Posted Sales Invoice Lines'!C1891</f>
        <v>Heath West</v>
      </c>
      <c r="D1891" s="2" t="str">
        <f>'Posted Sales Invoice Lines'!E1891</f>
        <v>F56251</v>
      </c>
      <c r="E1891" s="2" t="str">
        <f>'Posted Sales Invoice Lines'!F1891</f>
        <v>Cs. Challah Sliders Sliced 18-12pks</v>
      </c>
      <c r="F1891" s="3">
        <f>'Posted Sales Invoice Lines'!G1891</f>
        <v>46196</v>
      </c>
      <c r="G1891" s="9">
        <f>'Posted Sales Invoice Lines'!L1891</f>
        <v>1</v>
      </c>
      <c r="H1891" s="8">
        <f>'Posted Sales Invoice Lines'!N1891</f>
        <v>0</v>
      </c>
      <c r="I1891" s="8">
        <f>'Posted Sales Invoice Lines'!O1891</f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44AE063EB1F4BA2E8DCAD5FD7456F" ma:contentTypeVersion="19" ma:contentTypeDescription="Create a new document." ma:contentTypeScope="" ma:versionID="aabf924ac58eccf9bb4208bd2e381f87">
  <xsd:schema xmlns:xsd="http://www.w3.org/2001/XMLSchema" xmlns:xs="http://www.w3.org/2001/XMLSchema" xmlns:p="http://schemas.microsoft.com/office/2006/metadata/properties" xmlns:ns2="ab4fa7bf-a053-4caa-86fc-c0e950078a7e" xmlns:ns3="340f51c2-b244-4d0d-a70d-3f85a55aa12c" targetNamespace="http://schemas.microsoft.com/office/2006/metadata/properties" ma:root="true" ma:fieldsID="16eb8ee2e77b7e7f7feff7f721305dd5" ns2:_="" ns3:_="">
    <xsd:import namespace="ab4fa7bf-a053-4caa-86fc-c0e950078a7e"/>
    <xsd:import namespace="340f51c2-b244-4d0d-a70d-3f85a55aa1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fa7bf-a053-4caa-86fc-c0e950078a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0533f53-b32c-4d8a-baca-ca9a0b2755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f51c2-b244-4d0d-a70d-3f85a55aa12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2b48b51-fe23-479f-8fee-dc1cca9db364}" ma:internalName="TaxCatchAll" ma:showField="CatchAllData" ma:web="340f51c2-b244-4d0d-a70d-3f85a55aa1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4fa7bf-a053-4caa-86fc-c0e950078a7e">
      <Terms xmlns="http://schemas.microsoft.com/office/infopath/2007/PartnerControls"/>
    </lcf76f155ced4ddcb4097134ff3c332f>
    <TaxCatchAll xmlns="340f51c2-b244-4d0d-a70d-3f85a55aa12c" xsi:nil="true"/>
  </documentManagement>
</p:properties>
</file>

<file path=customXml/itemProps1.xml><?xml version="1.0" encoding="utf-8"?>
<ds:datastoreItem xmlns:ds="http://schemas.openxmlformats.org/officeDocument/2006/customXml" ds:itemID="{7B061E08-831E-4043-A371-6EEB42FB7630}"/>
</file>

<file path=customXml/itemProps2.xml><?xml version="1.0" encoding="utf-8"?>
<ds:datastoreItem xmlns:ds="http://schemas.openxmlformats.org/officeDocument/2006/customXml" ds:itemID="{E380A9F6-30C9-4B4F-81E8-EE9D61636AE3}"/>
</file>

<file path=customXml/itemProps3.xml><?xml version="1.0" encoding="utf-8"?>
<ds:datastoreItem xmlns:ds="http://schemas.openxmlformats.org/officeDocument/2006/customXml" ds:itemID="{CEC8E248-7923-47CE-8E0D-F82C363554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Posted Sales Invoices</vt:lpstr>
      <vt:lpstr>Posted Sales Invoice Lines</vt:lpstr>
      <vt:lpstr>Combined Invoices &amp; 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Gabe Press</dc:creator>
  <cp:lastModifiedBy>Gabe Press</cp:lastModifiedBy>
  <dcterms:created xsi:type="dcterms:W3CDTF">2026-06-26T18:16:57Z</dcterms:created>
  <dcterms:modified xsi:type="dcterms:W3CDTF">2026-06-26T18:30:59Z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0x01010005D44AE063EB1F4BA2E8DCAD5FD7456F</vt:lpwstr>
  </property>
</Properties>
</file>